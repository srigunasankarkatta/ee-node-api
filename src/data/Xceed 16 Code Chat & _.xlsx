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 activeTab="4"/>
  </bookViews>
  <sheets>
    <sheet name="11000" sheetId="2" r:id="rId1"/>
    <sheet name="22000" sheetId="3" r:id="rId2"/>
    <sheet name="33000" sheetId="4" r:id="rId3"/>
    <sheet name="44000" sheetId="5" r:id="rId4"/>
    <sheet name="55000" sheetId="6" r:id="rId5"/>
    <sheet name="Sheet5" sheetId="7" r:id="rId6"/>
  </sheets>
  <calcPr calcId="144525"/>
</workbook>
</file>

<file path=xl/calcChain.xml><?xml version="1.0" encoding="utf-8"?>
<calcChain xmlns="http://schemas.openxmlformats.org/spreadsheetml/2006/main">
  <c r="F4" i="6" l="1"/>
  <c r="G4" i="6" s="1"/>
  <c r="H4" i="6" s="1"/>
  <c r="N4" i="6" s="1"/>
  <c r="O4" i="6" s="1"/>
  <c r="F4" i="5"/>
  <c r="G4" i="5" s="1"/>
  <c r="H4" i="5" s="1"/>
  <c r="N4" i="5" s="1"/>
  <c r="O4" i="5" s="1"/>
  <c r="F4" i="4"/>
  <c r="G4" i="4" s="1"/>
  <c r="H4" i="4" s="1"/>
  <c r="N4" i="4" s="1"/>
  <c r="O4" i="4" s="1"/>
  <c r="F4" i="3"/>
  <c r="G4" i="3" s="1"/>
  <c r="H4" i="3" s="1"/>
  <c r="N4" i="3" s="1"/>
  <c r="O4" i="3" s="1"/>
  <c r="F4" i="2"/>
  <c r="G4" i="2" s="1"/>
  <c r="H4" i="2" s="1"/>
  <c r="N4" i="2" s="1"/>
  <c r="O4" i="2" s="1"/>
  <c r="R4" i="6" l="1"/>
  <c r="P4" i="6"/>
  <c r="E5" i="6" s="1"/>
  <c r="F5" i="6" s="1"/>
  <c r="G5" i="6" s="1"/>
  <c r="H5" i="6" s="1"/>
  <c r="N5" i="6" s="1"/>
  <c r="O5" i="6" s="1"/>
  <c r="R4" i="5"/>
  <c r="P4" i="5"/>
  <c r="E5" i="5" s="1"/>
  <c r="F5" i="5" s="1"/>
  <c r="G5" i="5" s="1"/>
  <c r="H5" i="5" s="1"/>
  <c r="N5" i="5" s="1"/>
  <c r="O5" i="5" s="1"/>
  <c r="R4" i="4"/>
  <c r="P4" i="4"/>
  <c r="E5" i="4" s="1"/>
  <c r="F5" i="4" s="1"/>
  <c r="G5" i="4" s="1"/>
  <c r="H5" i="4" s="1"/>
  <c r="N5" i="4" s="1"/>
  <c r="O5" i="4" s="1"/>
  <c r="R4" i="3"/>
  <c r="P4" i="3"/>
  <c r="E5" i="3" s="1"/>
  <c r="F5" i="3" s="1"/>
  <c r="G5" i="3" s="1"/>
  <c r="H5" i="3" s="1"/>
  <c r="N5" i="3" s="1"/>
  <c r="O5" i="3" s="1"/>
  <c r="R4" i="2"/>
  <c r="P4" i="2"/>
  <c r="E5" i="2" s="1"/>
  <c r="F5" i="2" s="1"/>
  <c r="G5" i="2" s="1"/>
  <c r="H5" i="2" s="1"/>
  <c r="N5" i="2" s="1"/>
  <c r="O5" i="2" s="1"/>
  <c r="R5" i="6" l="1"/>
  <c r="P5" i="6"/>
  <c r="E6" i="6" s="1"/>
  <c r="F6" i="6" s="1"/>
  <c r="G6" i="6" s="1"/>
  <c r="H6" i="6" s="1"/>
  <c r="N6" i="6" s="1"/>
  <c r="O6" i="6" s="1"/>
  <c r="R5" i="5"/>
  <c r="P5" i="5"/>
  <c r="E6" i="5" s="1"/>
  <c r="F6" i="5" s="1"/>
  <c r="G6" i="5" s="1"/>
  <c r="H6" i="5" s="1"/>
  <c r="N6" i="5" s="1"/>
  <c r="O6" i="5" s="1"/>
  <c r="R5" i="4"/>
  <c r="P5" i="4"/>
  <c r="E6" i="4" s="1"/>
  <c r="F6" i="4" s="1"/>
  <c r="G6" i="4" s="1"/>
  <c r="H6" i="4" s="1"/>
  <c r="N6" i="4" s="1"/>
  <c r="O6" i="4" s="1"/>
  <c r="R5" i="3"/>
  <c r="P5" i="3"/>
  <c r="E6" i="3" s="1"/>
  <c r="F6" i="3" s="1"/>
  <c r="G6" i="3" s="1"/>
  <c r="H6" i="3" s="1"/>
  <c r="N6" i="3" s="1"/>
  <c r="O6" i="3" s="1"/>
  <c r="R5" i="2"/>
  <c r="P5" i="2"/>
  <c r="E6" i="2" s="1"/>
  <c r="F6" i="2" s="1"/>
  <c r="G6" i="2" s="1"/>
  <c r="H6" i="2" s="1"/>
  <c r="N6" i="2" s="1"/>
  <c r="O6" i="2" s="1"/>
  <c r="R6" i="6" l="1"/>
  <c r="P6" i="6"/>
  <c r="E7" i="6" s="1"/>
  <c r="F7" i="6" s="1"/>
  <c r="G7" i="6" s="1"/>
  <c r="H7" i="6" s="1"/>
  <c r="N7" i="6" s="1"/>
  <c r="O7" i="6" s="1"/>
  <c r="R6" i="5"/>
  <c r="P6" i="5"/>
  <c r="E7" i="5" s="1"/>
  <c r="F7" i="5" s="1"/>
  <c r="G7" i="5" s="1"/>
  <c r="H7" i="5" s="1"/>
  <c r="N7" i="5" s="1"/>
  <c r="O7" i="5" s="1"/>
  <c r="R6" i="4"/>
  <c r="P6" i="4"/>
  <c r="E7" i="4" s="1"/>
  <c r="F7" i="4" s="1"/>
  <c r="G7" i="4" s="1"/>
  <c r="H7" i="4" s="1"/>
  <c r="N7" i="4" s="1"/>
  <c r="O7" i="4" s="1"/>
  <c r="R6" i="3"/>
  <c r="P6" i="3"/>
  <c r="E7" i="3" s="1"/>
  <c r="F7" i="3" s="1"/>
  <c r="G7" i="3" s="1"/>
  <c r="H7" i="3" s="1"/>
  <c r="N7" i="3" s="1"/>
  <c r="O7" i="3" s="1"/>
  <c r="R6" i="2"/>
  <c r="P6" i="2"/>
  <c r="E7" i="2" s="1"/>
  <c r="F7" i="2" s="1"/>
  <c r="G7" i="2" s="1"/>
  <c r="H7" i="2" s="1"/>
  <c r="N7" i="2" s="1"/>
  <c r="O7" i="2" s="1"/>
  <c r="R7" i="6" l="1"/>
  <c r="P7" i="6"/>
  <c r="E8" i="6" s="1"/>
  <c r="F8" i="6" s="1"/>
  <c r="G8" i="6" s="1"/>
  <c r="H8" i="6" s="1"/>
  <c r="N8" i="6" s="1"/>
  <c r="O8" i="6" s="1"/>
  <c r="R7" i="5"/>
  <c r="P7" i="5"/>
  <c r="E8" i="5" s="1"/>
  <c r="F8" i="5" s="1"/>
  <c r="G8" i="5" s="1"/>
  <c r="H8" i="5" s="1"/>
  <c r="N8" i="5" s="1"/>
  <c r="O8" i="5" s="1"/>
  <c r="R7" i="4"/>
  <c r="P7" i="4"/>
  <c r="E8" i="4" s="1"/>
  <c r="F8" i="4" s="1"/>
  <c r="G8" i="4" s="1"/>
  <c r="H8" i="4" s="1"/>
  <c r="N8" i="4" s="1"/>
  <c r="O8" i="4" s="1"/>
  <c r="R7" i="3"/>
  <c r="P7" i="3"/>
  <c r="E8" i="3" s="1"/>
  <c r="F8" i="3" s="1"/>
  <c r="G8" i="3" s="1"/>
  <c r="H8" i="3" s="1"/>
  <c r="N8" i="3" s="1"/>
  <c r="O8" i="3" s="1"/>
  <c r="R7" i="2"/>
  <c r="P7" i="2"/>
  <c r="E8" i="2" s="1"/>
  <c r="F8" i="2" s="1"/>
  <c r="G8" i="2" s="1"/>
  <c r="H8" i="2" s="1"/>
  <c r="N8" i="2" s="1"/>
  <c r="O8" i="2" s="1"/>
  <c r="R8" i="6" l="1"/>
  <c r="P8" i="6"/>
  <c r="E9" i="6" s="1"/>
  <c r="F9" i="6" s="1"/>
  <c r="G9" i="6" s="1"/>
  <c r="H9" i="6" s="1"/>
  <c r="N9" i="6" s="1"/>
  <c r="O9" i="6" s="1"/>
  <c r="R8" i="5"/>
  <c r="P8" i="5"/>
  <c r="E9" i="5" s="1"/>
  <c r="F9" i="5" s="1"/>
  <c r="G9" i="5" s="1"/>
  <c r="H9" i="5" s="1"/>
  <c r="N9" i="5" s="1"/>
  <c r="O9" i="5" s="1"/>
  <c r="R8" i="4"/>
  <c r="P8" i="4"/>
  <c r="E9" i="4" s="1"/>
  <c r="F9" i="4" s="1"/>
  <c r="G9" i="4" s="1"/>
  <c r="H9" i="4" s="1"/>
  <c r="N9" i="4" s="1"/>
  <c r="O9" i="4" s="1"/>
  <c r="R8" i="3"/>
  <c r="P8" i="3"/>
  <c r="E9" i="3" s="1"/>
  <c r="F9" i="3" s="1"/>
  <c r="G9" i="3" s="1"/>
  <c r="H9" i="3" s="1"/>
  <c r="N9" i="3" s="1"/>
  <c r="O9" i="3" s="1"/>
  <c r="R8" i="2"/>
  <c r="P8" i="2"/>
  <c r="E9" i="2" s="1"/>
  <c r="F9" i="2" s="1"/>
  <c r="G9" i="2" s="1"/>
  <c r="H9" i="2" s="1"/>
  <c r="N9" i="2" s="1"/>
  <c r="O9" i="2" s="1"/>
  <c r="R9" i="6" l="1"/>
  <c r="P9" i="6"/>
  <c r="E10" i="6" s="1"/>
  <c r="F10" i="6" s="1"/>
  <c r="G10" i="6" s="1"/>
  <c r="H10" i="6" s="1"/>
  <c r="N10" i="6" s="1"/>
  <c r="O10" i="6" s="1"/>
  <c r="R9" i="5"/>
  <c r="P9" i="5"/>
  <c r="E10" i="5" s="1"/>
  <c r="F10" i="5" s="1"/>
  <c r="G10" i="5" s="1"/>
  <c r="H10" i="5" s="1"/>
  <c r="N10" i="5" s="1"/>
  <c r="O10" i="5" s="1"/>
  <c r="R9" i="4"/>
  <c r="P9" i="4"/>
  <c r="E10" i="4" s="1"/>
  <c r="F10" i="4" s="1"/>
  <c r="G10" i="4" s="1"/>
  <c r="H10" i="4" s="1"/>
  <c r="N10" i="4" s="1"/>
  <c r="O10" i="4" s="1"/>
  <c r="R9" i="3"/>
  <c r="P9" i="3"/>
  <c r="E10" i="3" s="1"/>
  <c r="F10" i="3" s="1"/>
  <c r="G10" i="3" s="1"/>
  <c r="H10" i="3" s="1"/>
  <c r="N10" i="3" s="1"/>
  <c r="O10" i="3" s="1"/>
  <c r="R9" i="2"/>
  <c r="P9" i="2"/>
  <c r="E10" i="2" s="1"/>
  <c r="F10" i="2" s="1"/>
  <c r="G10" i="2" s="1"/>
  <c r="H10" i="2" s="1"/>
  <c r="N10" i="2" s="1"/>
  <c r="O10" i="2" s="1"/>
  <c r="R10" i="6" l="1"/>
  <c r="P10" i="6"/>
  <c r="E11" i="6" s="1"/>
  <c r="F11" i="6" s="1"/>
  <c r="G11" i="6" s="1"/>
  <c r="H11" i="6" s="1"/>
  <c r="N11" i="6" s="1"/>
  <c r="O11" i="6" s="1"/>
  <c r="R10" i="5"/>
  <c r="P10" i="5"/>
  <c r="E11" i="5" s="1"/>
  <c r="F11" i="5" s="1"/>
  <c r="G11" i="5" s="1"/>
  <c r="H11" i="5" s="1"/>
  <c r="N11" i="5" s="1"/>
  <c r="O11" i="5" s="1"/>
  <c r="R10" i="4"/>
  <c r="P10" i="4"/>
  <c r="E11" i="4" s="1"/>
  <c r="F11" i="4" s="1"/>
  <c r="G11" i="4" s="1"/>
  <c r="H11" i="4" s="1"/>
  <c r="N11" i="4" s="1"/>
  <c r="O11" i="4" s="1"/>
  <c r="R10" i="3"/>
  <c r="P10" i="3"/>
  <c r="E11" i="3" s="1"/>
  <c r="F11" i="3" s="1"/>
  <c r="G11" i="3" s="1"/>
  <c r="H11" i="3" s="1"/>
  <c r="N11" i="3" s="1"/>
  <c r="O11" i="3" s="1"/>
  <c r="R10" i="2"/>
  <c r="P10" i="2"/>
  <c r="E11" i="2" s="1"/>
  <c r="F11" i="2" s="1"/>
  <c r="G11" i="2" s="1"/>
  <c r="H11" i="2" s="1"/>
  <c r="N11" i="2" s="1"/>
  <c r="O11" i="2" s="1"/>
  <c r="R11" i="6" l="1"/>
  <c r="P11" i="6"/>
  <c r="E12" i="6" s="1"/>
  <c r="F12" i="6" s="1"/>
  <c r="G12" i="6" s="1"/>
  <c r="H12" i="6" s="1"/>
  <c r="N12" i="6" s="1"/>
  <c r="O12" i="6" s="1"/>
  <c r="R11" i="5"/>
  <c r="P11" i="5"/>
  <c r="E12" i="5" s="1"/>
  <c r="F12" i="5" s="1"/>
  <c r="G12" i="5" s="1"/>
  <c r="H12" i="5" s="1"/>
  <c r="N12" i="5" s="1"/>
  <c r="O12" i="5" s="1"/>
  <c r="R11" i="4"/>
  <c r="P11" i="4"/>
  <c r="E12" i="4" s="1"/>
  <c r="F12" i="4" s="1"/>
  <c r="G12" i="4" s="1"/>
  <c r="H12" i="4" s="1"/>
  <c r="N12" i="4" s="1"/>
  <c r="O12" i="4" s="1"/>
  <c r="R11" i="3"/>
  <c r="P11" i="3"/>
  <c r="E12" i="3" s="1"/>
  <c r="F12" i="3" s="1"/>
  <c r="G12" i="3" s="1"/>
  <c r="H12" i="3" s="1"/>
  <c r="N12" i="3" s="1"/>
  <c r="O12" i="3" s="1"/>
  <c r="R11" i="2"/>
  <c r="P11" i="2"/>
  <c r="E12" i="2" s="1"/>
  <c r="F12" i="2" s="1"/>
  <c r="G12" i="2" s="1"/>
  <c r="H12" i="2" s="1"/>
  <c r="N12" i="2" s="1"/>
  <c r="O12" i="2" s="1"/>
  <c r="R12" i="6" l="1"/>
  <c r="P12" i="6"/>
  <c r="E13" i="6" s="1"/>
  <c r="F13" i="6" s="1"/>
  <c r="G13" i="6" s="1"/>
  <c r="H13" i="6" s="1"/>
  <c r="N13" i="6" s="1"/>
  <c r="O13" i="6" s="1"/>
  <c r="R12" i="5"/>
  <c r="P12" i="5"/>
  <c r="E13" i="5" s="1"/>
  <c r="F13" i="5" s="1"/>
  <c r="G13" i="5" s="1"/>
  <c r="H13" i="5" s="1"/>
  <c r="N13" i="5" s="1"/>
  <c r="O13" i="5" s="1"/>
  <c r="R12" i="4"/>
  <c r="P12" i="4"/>
  <c r="E13" i="4" s="1"/>
  <c r="F13" i="4" s="1"/>
  <c r="G13" i="4" s="1"/>
  <c r="H13" i="4" s="1"/>
  <c r="N13" i="4" s="1"/>
  <c r="O13" i="4" s="1"/>
  <c r="R12" i="3"/>
  <c r="P12" i="3"/>
  <c r="E13" i="3" s="1"/>
  <c r="F13" i="3" s="1"/>
  <c r="G13" i="3" s="1"/>
  <c r="H13" i="3" s="1"/>
  <c r="N13" i="3" s="1"/>
  <c r="O13" i="3" s="1"/>
  <c r="P12" i="2"/>
  <c r="E13" i="2" s="1"/>
  <c r="F13" i="2" s="1"/>
  <c r="G13" i="2" s="1"/>
  <c r="H13" i="2" s="1"/>
  <c r="N13" i="2" s="1"/>
  <c r="O13" i="2" s="1"/>
  <c r="R12" i="2"/>
  <c r="R13" i="6" l="1"/>
  <c r="P13" i="6"/>
  <c r="E14" i="6" s="1"/>
  <c r="F14" i="6" s="1"/>
  <c r="G14" i="6" s="1"/>
  <c r="H14" i="6" s="1"/>
  <c r="N14" i="6" s="1"/>
  <c r="O14" i="6" s="1"/>
  <c r="R13" i="5"/>
  <c r="P13" i="5"/>
  <c r="E14" i="5" s="1"/>
  <c r="F14" i="5" s="1"/>
  <c r="G14" i="5" s="1"/>
  <c r="H14" i="5" s="1"/>
  <c r="N14" i="5" s="1"/>
  <c r="O14" i="5" s="1"/>
  <c r="R13" i="4"/>
  <c r="P13" i="4"/>
  <c r="E14" i="4" s="1"/>
  <c r="F14" i="4" s="1"/>
  <c r="G14" i="4" s="1"/>
  <c r="H14" i="4" s="1"/>
  <c r="N14" i="4" s="1"/>
  <c r="O14" i="4" s="1"/>
  <c r="R13" i="3"/>
  <c r="P13" i="3"/>
  <c r="E14" i="3" s="1"/>
  <c r="F14" i="3" s="1"/>
  <c r="G14" i="3" s="1"/>
  <c r="H14" i="3" s="1"/>
  <c r="N14" i="3" s="1"/>
  <c r="O14" i="3" s="1"/>
  <c r="R13" i="2"/>
  <c r="P13" i="2"/>
  <c r="E14" i="2" s="1"/>
  <c r="F14" i="2" s="1"/>
  <c r="G14" i="2" s="1"/>
  <c r="H14" i="2" s="1"/>
  <c r="N14" i="2" s="1"/>
  <c r="O14" i="2" s="1"/>
  <c r="R14" i="6" l="1"/>
  <c r="P14" i="6"/>
  <c r="E15" i="6" s="1"/>
  <c r="F15" i="6" s="1"/>
  <c r="G15" i="6" s="1"/>
  <c r="H15" i="6" s="1"/>
  <c r="N15" i="6" s="1"/>
  <c r="O15" i="6" s="1"/>
  <c r="R14" i="5"/>
  <c r="P14" i="5"/>
  <c r="E15" i="5" s="1"/>
  <c r="F15" i="5" s="1"/>
  <c r="G15" i="5" s="1"/>
  <c r="H15" i="5" s="1"/>
  <c r="N15" i="5" s="1"/>
  <c r="O15" i="5" s="1"/>
  <c r="R14" i="4"/>
  <c r="P14" i="4"/>
  <c r="E15" i="4" s="1"/>
  <c r="F15" i="4" s="1"/>
  <c r="G15" i="4" s="1"/>
  <c r="H15" i="4" s="1"/>
  <c r="N15" i="4" s="1"/>
  <c r="O15" i="4" s="1"/>
  <c r="R14" i="3"/>
  <c r="P14" i="3"/>
  <c r="E15" i="3" s="1"/>
  <c r="F15" i="3" s="1"/>
  <c r="G15" i="3" s="1"/>
  <c r="H15" i="3" s="1"/>
  <c r="N15" i="3" s="1"/>
  <c r="O15" i="3" s="1"/>
  <c r="P14" i="2"/>
  <c r="E15" i="2" s="1"/>
  <c r="F15" i="2" s="1"/>
  <c r="G15" i="2" s="1"/>
  <c r="H15" i="2" s="1"/>
  <c r="N15" i="2" s="1"/>
  <c r="O15" i="2" s="1"/>
  <c r="R14" i="2"/>
  <c r="R15" i="6" l="1"/>
  <c r="P15" i="6"/>
  <c r="E16" i="6" s="1"/>
  <c r="F16" i="6" s="1"/>
  <c r="G16" i="6" s="1"/>
  <c r="H16" i="6" s="1"/>
  <c r="N16" i="6" s="1"/>
  <c r="O16" i="6" s="1"/>
  <c r="R15" i="5"/>
  <c r="P15" i="5"/>
  <c r="E16" i="5" s="1"/>
  <c r="F16" i="5" s="1"/>
  <c r="G16" i="5" s="1"/>
  <c r="H16" i="5" s="1"/>
  <c r="N16" i="5" s="1"/>
  <c r="O16" i="5" s="1"/>
  <c r="R15" i="4"/>
  <c r="P15" i="4"/>
  <c r="E16" i="4" s="1"/>
  <c r="F16" i="4" s="1"/>
  <c r="G16" i="4" s="1"/>
  <c r="H16" i="4" s="1"/>
  <c r="N16" i="4" s="1"/>
  <c r="O16" i="4" s="1"/>
  <c r="R15" i="3"/>
  <c r="P15" i="3"/>
  <c r="E16" i="3" s="1"/>
  <c r="F16" i="3" s="1"/>
  <c r="G16" i="3" s="1"/>
  <c r="H16" i="3" s="1"/>
  <c r="N16" i="3" s="1"/>
  <c r="O16" i="3" s="1"/>
  <c r="R15" i="2"/>
  <c r="P15" i="2"/>
  <c r="E16" i="2" s="1"/>
  <c r="F16" i="2" s="1"/>
  <c r="G16" i="2" s="1"/>
  <c r="H16" i="2" s="1"/>
  <c r="N16" i="2" s="1"/>
  <c r="O16" i="2" s="1"/>
  <c r="R16" i="6" l="1"/>
  <c r="P16" i="6"/>
  <c r="E17" i="6" s="1"/>
  <c r="F17" i="6" s="1"/>
  <c r="G17" i="6" s="1"/>
  <c r="H17" i="6" s="1"/>
  <c r="N17" i="6" s="1"/>
  <c r="O17" i="6" s="1"/>
  <c r="R16" i="5"/>
  <c r="P16" i="5"/>
  <c r="E17" i="5" s="1"/>
  <c r="F17" i="5" s="1"/>
  <c r="G17" i="5" s="1"/>
  <c r="H17" i="5" s="1"/>
  <c r="N17" i="5" s="1"/>
  <c r="O17" i="5" s="1"/>
  <c r="R16" i="4"/>
  <c r="P16" i="4"/>
  <c r="E17" i="4" s="1"/>
  <c r="F17" i="4" s="1"/>
  <c r="G17" i="4" s="1"/>
  <c r="H17" i="4" s="1"/>
  <c r="N17" i="4" s="1"/>
  <c r="O17" i="4" s="1"/>
  <c r="R16" i="3"/>
  <c r="P16" i="3"/>
  <c r="E17" i="3" s="1"/>
  <c r="F17" i="3" s="1"/>
  <c r="G17" i="3" s="1"/>
  <c r="H17" i="3" s="1"/>
  <c r="N17" i="3" s="1"/>
  <c r="O17" i="3" s="1"/>
  <c r="R16" i="2"/>
  <c r="P16" i="2"/>
  <c r="E17" i="2" s="1"/>
  <c r="F17" i="2" s="1"/>
  <c r="G17" i="2" s="1"/>
  <c r="H17" i="2" s="1"/>
  <c r="N17" i="2" s="1"/>
  <c r="O17" i="2" s="1"/>
  <c r="R17" i="6" l="1"/>
  <c r="P17" i="6"/>
  <c r="E18" i="6" s="1"/>
  <c r="F18" i="6" s="1"/>
  <c r="G18" i="6" s="1"/>
  <c r="H18" i="6" s="1"/>
  <c r="N18" i="6" s="1"/>
  <c r="O18" i="6" s="1"/>
  <c r="R17" i="5"/>
  <c r="P17" i="5"/>
  <c r="E18" i="5" s="1"/>
  <c r="F18" i="5" s="1"/>
  <c r="G18" i="5" s="1"/>
  <c r="H18" i="5" s="1"/>
  <c r="N18" i="5" s="1"/>
  <c r="O18" i="5" s="1"/>
  <c r="R17" i="4"/>
  <c r="P17" i="4"/>
  <c r="E18" i="4" s="1"/>
  <c r="F18" i="4" s="1"/>
  <c r="G18" i="4" s="1"/>
  <c r="H18" i="4" s="1"/>
  <c r="N18" i="4" s="1"/>
  <c r="O18" i="4" s="1"/>
  <c r="R17" i="3"/>
  <c r="P17" i="3"/>
  <c r="E18" i="3" s="1"/>
  <c r="F18" i="3" s="1"/>
  <c r="G18" i="3" s="1"/>
  <c r="H18" i="3" s="1"/>
  <c r="N18" i="3" s="1"/>
  <c r="O18" i="3" s="1"/>
  <c r="R17" i="2"/>
  <c r="P17" i="2"/>
  <c r="E18" i="2" s="1"/>
  <c r="F18" i="2" s="1"/>
  <c r="G18" i="2" s="1"/>
  <c r="H18" i="2" s="1"/>
  <c r="N18" i="2" s="1"/>
  <c r="O18" i="2" s="1"/>
  <c r="R18" i="6" l="1"/>
  <c r="P18" i="6"/>
  <c r="E19" i="6" s="1"/>
  <c r="F19" i="6" s="1"/>
  <c r="G19" i="6" s="1"/>
  <c r="H19" i="6" s="1"/>
  <c r="N19" i="6" s="1"/>
  <c r="O19" i="6" s="1"/>
  <c r="R18" i="5"/>
  <c r="P18" i="5"/>
  <c r="E19" i="5" s="1"/>
  <c r="F19" i="5" s="1"/>
  <c r="G19" i="5" s="1"/>
  <c r="H19" i="5" s="1"/>
  <c r="N19" i="5" s="1"/>
  <c r="O19" i="5" s="1"/>
  <c r="R18" i="4"/>
  <c r="P18" i="4"/>
  <c r="E19" i="4" s="1"/>
  <c r="F19" i="4" s="1"/>
  <c r="G19" i="4" s="1"/>
  <c r="H19" i="4" s="1"/>
  <c r="N19" i="4" s="1"/>
  <c r="O19" i="4" s="1"/>
  <c r="R18" i="3"/>
  <c r="P18" i="3"/>
  <c r="E19" i="3" s="1"/>
  <c r="F19" i="3" s="1"/>
  <c r="G19" i="3" s="1"/>
  <c r="H19" i="3" s="1"/>
  <c r="N19" i="3" s="1"/>
  <c r="O19" i="3" s="1"/>
  <c r="R18" i="2"/>
  <c r="P18" i="2"/>
  <c r="E19" i="2" s="1"/>
  <c r="F19" i="2" s="1"/>
  <c r="G19" i="2" s="1"/>
  <c r="H19" i="2" s="1"/>
  <c r="N19" i="2" s="1"/>
  <c r="O19" i="2" s="1"/>
  <c r="R19" i="6" l="1"/>
  <c r="P19" i="6"/>
  <c r="E20" i="6" s="1"/>
  <c r="F20" i="6" s="1"/>
  <c r="G20" i="6" s="1"/>
  <c r="H20" i="6" s="1"/>
  <c r="N20" i="6" s="1"/>
  <c r="O20" i="6" s="1"/>
  <c r="R19" i="5"/>
  <c r="P19" i="5"/>
  <c r="E20" i="5" s="1"/>
  <c r="F20" i="5" s="1"/>
  <c r="G20" i="5" s="1"/>
  <c r="H20" i="5" s="1"/>
  <c r="N20" i="5" s="1"/>
  <c r="O20" i="5" s="1"/>
  <c r="R19" i="4"/>
  <c r="P19" i="4"/>
  <c r="E20" i="4" s="1"/>
  <c r="F20" i="4" s="1"/>
  <c r="G20" i="4" s="1"/>
  <c r="H20" i="4" s="1"/>
  <c r="N20" i="4" s="1"/>
  <c r="O20" i="4" s="1"/>
  <c r="R19" i="3"/>
  <c r="P19" i="3"/>
  <c r="E20" i="3" s="1"/>
  <c r="F20" i="3" s="1"/>
  <c r="G20" i="3" s="1"/>
  <c r="H20" i="3" s="1"/>
  <c r="N20" i="3" s="1"/>
  <c r="O20" i="3" s="1"/>
  <c r="R19" i="2"/>
  <c r="P19" i="2"/>
  <c r="E20" i="2" s="1"/>
  <c r="F20" i="2" s="1"/>
  <c r="G20" i="2" s="1"/>
  <c r="H20" i="2" s="1"/>
  <c r="N20" i="2" s="1"/>
  <c r="O20" i="2" s="1"/>
  <c r="R20" i="6" l="1"/>
  <c r="P20" i="6"/>
  <c r="E21" i="6" s="1"/>
  <c r="F21" i="6" s="1"/>
  <c r="G21" i="6" s="1"/>
  <c r="H21" i="6" s="1"/>
  <c r="N21" i="6" s="1"/>
  <c r="O21" i="6" s="1"/>
  <c r="R20" i="5"/>
  <c r="P20" i="5"/>
  <c r="E21" i="5" s="1"/>
  <c r="F21" i="5" s="1"/>
  <c r="G21" i="5" s="1"/>
  <c r="H21" i="5" s="1"/>
  <c r="N21" i="5" s="1"/>
  <c r="O21" i="5" s="1"/>
  <c r="R20" i="4"/>
  <c r="P20" i="4"/>
  <c r="E21" i="4" s="1"/>
  <c r="F21" i="4" s="1"/>
  <c r="G21" i="4" s="1"/>
  <c r="H21" i="4" s="1"/>
  <c r="N21" i="4" s="1"/>
  <c r="O21" i="4" s="1"/>
  <c r="R20" i="3"/>
  <c r="P20" i="3"/>
  <c r="E21" i="3" s="1"/>
  <c r="F21" i="3" s="1"/>
  <c r="G21" i="3" s="1"/>
  <c r="H21" i="3" s="1"/>
  <c r="N21" i="3" s="1"/>
  <c r="O21" i="3" s="1"/>
  <c r="R20" i="2"/>
  <c r="P20" i="2"/>
  <c r="E21" i="2" s="1"/>
  <c r="F21" i="2" s="1"/>
  <c r="G21" i="2" s="1"/>
  <c r="H21" i="2" s="1"/>
  <c r="N21" i="2" s="1"/>
  <c r="O21" i="2" s="1"/>
  <c r="R21" i="6" l="1"/>
  <c r="P21" i="6"/>
  <c r="E22" i="6" s="1"/>
  <c r="F22" i="6" s="1"/>
  <c r="G22" i="6" s="1"/>
  <c r="H22" i="6" s="1"/>
  <c r="N22" i="6" s="1"/>
  <c r="O22" i="6" s="1"/>
  <c r="R21" i="5"/>
  <c r="P21" i="5"/>
  <c r="E22" i="5" s="1"/>
  <c r="F22" i="5" s="1"/>
  <c r="G22" i="5" s="1"/>
  <c r="H22" i="5" s="1"/>
  <c r="N22" i="5" s="1"/>
  <c r="O22" i="5" s="1"/>
  <c r="R21" i="4"/>
  <c r="P21" i="4"/>
  <c r="E22" i="4" s="1"/>
  <c r="F22" i="4" s="1"/>
  <c r="G22" i="4" s="1"/>
  <c r="H22" i="4" s="1"/>
  <c r="N22" i="4" s="1"/>
  <c r="O22" i="4" s="1"/>
  <c r="R21" i="3"/>
  <c r="P21" i="3"/>
  <c r="E22" i="3" s="1"/>
  <c r="F22" i="3" s="1"/>
  <c r="G22" i="3" s="1"/>
  <c r="H22" i="3" s="1"/>
  <c r="N22" i="3" s="1"/>
  <c r="O22" i="3" s="1"/>
  <c r="R21" i="2"/>
  <c r="P21" i="2"/>
  <c r="E22" i="2" s="1"/>
  <c r="F22" i="2" s="1"/>
  <c r="G22" i="2" s="1"/>
  <c r="H22" i="2" s="1"/>
  <c r="N22" i="2" s="1"/>
  <c r="O22" i="2" s="1"/>
  <c r="R22" i="6" l="1"/>
  <c r="P22" i="6"/>
  <c r="E23" i="6" s="1"/>
  <c r="F23" i="6" s="1"/>
  <c r="G23" i="6" s="1"/>
  <c r="H23" i="6" s="1"/>
  <c r="N23" i="6" s="1"/>
  <c r="O23" i="6" s="1"/>
  <c r="R22" i="5"/>
  <c r="P22" i="5"/>
  <c r="E23" i="5" s="1"/>
  <c r="F23" i="5" s="1"/>
  <c r="G23" i="5" s="1"/>
  <c r="H23" i="5" s="1"/>
  <c r="N23" i="5" s="1"/>
  <c r="O23" i="5" s="1"/>
  <c r="R22" i="4"/>
  <c r="P22" i="4"/>
  <c r="E23" i="4" s="1"/>
  <c r="F23" i="4" s="1"/>
  <c r="G23" i="4" s="1"/>
  <c r="H23" i="4" s="1"/>
  <c r="N23" i="4" s="1"/>
  <c r="O23" i="4" s="1"/>
  <c r="R22" i="3"/>
  <c r="P22" i="3"/>
  <c r="E23" i="3" s="1"/>
  <c r="F23" i="3" s="1"/>
  <c r="G23" i="3" s="1"/>
  <c r="H23" i="3" s="1"/>
  <c r="N23" i="3" s="1"/>
  <c r="O23" i="3" s="1"/>
  <c r="R22" i="2"/>
  <c r="P22" i="2"/>
  <c r="E23" i="2" s="1"/>
  <c r="F23" i="2" s="1"/>
  <c r="G23" i="2" s="1"/>
  <c r="H23" i="2" s="1"/>
  <c r="N23" i="2" s="1"/>
  <c r="O23" i="2" s="1"/>
  <c r="R23" i="6" l="1"/>
  <c r="P23" i="6"/>
  <c r="E24" i="6" s="1"/>
  <c r="F24" i="6" s="1"/>
  <c r="G24" i="6" s="1"/>
  <c r="H24" i="6" s="1"/>
  <c r="N24" i="6" s="1"/>
  <c r="O24" i="6" s="1"/>
  <c r="R23" i="5"/>
  <c r="P23" i="5"/>
  <c r="E24" i="5" s="1"/>
  <c r="F24" i="5" s="1"/>
  <c r="G24" i="5" s="1"/>
  <c r="H24" i="5" s="1"/>
  <c r="N24" i="5" s="1"/>
  <c r="O24" i="5" s="1"/>
  <c r="R23" i="4"/>
  <c r="P23" i="4"/>
  <c r="E24" i="4" s="1"/>
  <c r="F24" i="4" s="1"/>
  <c r="G24" i="4" s="1"/>
  <c r="H24" i="4" s="1"/>
  <c r="N24" i="4" s="1"/>
  <c r="O24" i="4" s="1"/>
  <c r="R23" i="3"/>
  <c r="P23" i="3"/>
  <c r="E24" i="3" s="1"/>
  <c r="F24" i="3" s="1"/>
  <c r="G24" i="3" s="1"/>
  <c r="H24" i="3" s="1"/>
  <c r="N24" i="3" s="1"/>
  <c r="O24" i="3" s="1"/>
  <c r="R23" i="2"/>
  <c r="P23" i="2"/>
  <c r="E24" i="2" s="1"/>
  <c r="F24" i="2" s="1"/>
  <c r="G24" i="2" s="1"/>
  <c r="H24" i="2" s="1"/>
  <c r="N24" i="2" s="1"/>
  <c r="O24" i="2" s="1"/>
  <c r="R24" i="6" l="1"/>
  <c r="P24" i="6"/>
  <c r="E25" i="6" s="1"/>
  <c r="F25" i="6" s="1"/>
  <c r="G25" i="6" s="1"/>
  <c r="H25" i="6" s="1"/>
  <c r="N25" i="6" s="1"/>
  <c r="O25" i="6" s="1"/>
  <c r="R24" i="5"/>
  <c r="P24" i="5"/>
  <c r="E25" i="5" s="1"/>
  <c r="F25" i="5" s="1"/>
  <c r="G25" i="5" s="1"/>
  <c r="H25" i="5" s="1"/>
  <c r="N25" i="5" s="1"/>
  <c r="O25" i="5" s="1"/>
  <c r="R24" i="4"/>
  <c r="P24" i="4"/>
  <c r="E25" i="4" s="1"/>
  <c r="F25" i="4" s="1"/>
  <c r="G25" i="4" s="1"/>
  <c r="H25" i="4" s="1"/>
  <c r="N25" i="4" s="1"/>
  <c r="O25" i="4" s="1"/>
  <c r="R24" i="3"/>
  <c r="P24" i="3"/>
  <c r="E25" i="3" s="1"/>
  <c r="F25" i="3" s="1"/>
  <c r="G25" i="3" s="1"/>
  <c r="H25" i="3" s="1"/>
  <c r="N25" i="3" s="1"/>
  <c r="O25" i="3" s="1"/>
  <c r="R24" i="2"/>
  <c r="P24" i="2"/>
  <c r="E25" i="2" s="1"/>
  <c r="F25" i="2" s="1"/>
  <c r="G25" i="2" s="1"/>
  <c r="H25" i="2" s="1"/>
  <c r="N25" i="2" s="1"/>
  <c r="O25" i="2" s="1"/>
  <c r="R25" i="6" l="1"/>
  <c r="P25" i="6"/>
  <c r="E26" i="6" s="1"/>
  <c r="F26" i="6" s="1"/>
  <c r="G26" i="6" s="1"/>
  <c r="H26" i="6" s="1"/>
  <c r="N26" i="6" s="1"/>
  <c r="O26" i="6" s="1"/>
  <c r="R25" i="5"/>
  <c r="P25" i="5"/>
  <c r="E26" i="5" s="1"/>
  <c r="F26" i="5" s="1"/>
  <c r="G26" i="5" s="1"/>
  <c r="H26" i="5" s="1"/>
  <c r="N26" i="5" s="1"/>
  <c r="O26" i="5" s="1"/>
  <c r="R25" i="4"/>
  <c r="P25" i="4"/>
  <c r="E26" i="4" s="1"/>
  <c r="F26" i="4" s="1"/>
  <c r="G26" i="4" s="1"/>
  <c r="H26" i="4" s="1"/>
  <c r="N26" i="4" s="1"/>
  <c r="O26" i="4" s="1"/>
  <c r="R25" i="3"/>
  <c r="P25" i="3"/>
  <c r="E26" i="3" s="1"/>
  <c r="F26" i="3" s="1"/>
  <c r="G26" i="3" s="1"/>
  <c r="H26" i="3" s="1"/>
  <c r="N26" i="3" s="1"/>
  <c r="O26" i="3" s="1"/>
  <c r="R25" i="2"/>
  <c r="P25" i="2"/>
  <c r="E26" i="2" s="1"/>
  <c r="F26" i="2" s="1"/>
  <c r="G26" i="2" s="1"/>
  <c r="H26" i="2" s="1"/>
  <c r="N26" i="2" s="1"/>
  <c r="O26" i="2" s="1"/>
  <c r="R26" i="6" l="1"/>
  <c r="P26" i="6"/>
  <c r="E27" i="6" s="1"/>
  <c r="F27" i="6" s="1"/>
  <c r="G27" i="6" s="1"/>
  <c r="H27" i="6" s="1"/>
  <c r="N27" i="6" s="1"/>
  <c r="O27" i="6" s="1"/>
  <c r="R26" i="5"/>
  <c r="P26" i="5"/>
  <c r="E27" i="5" s="1"/>
  <c r="F27" i="5" s="1"/>
  <c r="G27" i="5" s="1"/>
  <c r="H27" i="5" s="1"/>
  <c r="N27" i="5" s="1"/>
  <c r="O27" i="5" s="1"/>
  <c r="R26" i="4"/>
  <c r="P26" i="4"/>
  <c r="E27" i="4" s="1"/>
  <c r="F27" i="4" s="1"/>
  <c r="G27" i="4" s="1"/>
  <c r="H27" i="4" s="1"/>
  <c r="N27" i="4" s="1"/>
  <c r="O27" i="4" s="1"/>
  <c r="R26" i="3"/>
  <c r="P26" i="3"/>
  <c r="E27" i="3" s="1"/>
  <c r="F27" i="3" s="1"/>
  <c r="G27" i="3" s="1"/>
  <c r="H27" i="3" s="1"/>
  <c r="N27" i="3" s="1"/>
  <c r="O27" i="3" s="1"/>
  <c r="R26" i="2"/>
  <c r="P26" i="2"/>
  <c r="E27" i="2" s="1"/>
  <c r="F27" i="2" s="1"/>
  <c r="G27" i="2" s="1"/>
  <c r="H27" i="2" s="1"/>
  <c r="N27" i="2" s="1"/>
  <c r="O27" i="2" s="1"/>
  <c r="R27" i="6" l="1"/>
  <c r="P27" i="6"/>
  <c r="E28" i="6" s="1"/>
  <c r="F28" i="6" s="1"/>
  <c r="G28" i="6" s="1"/>
  <c r="H28" i="6" s="1"/>
  <c r="N28" i="6" s="1"/>
  <c r="O28" i="6" s="1"/>
  <c r="R27" i="5"/>
  <c r="P27" i="5"/>
  <c r="E28" i="5" s="1"/>
  <c r="F28" i="5" s="1"/>
  <c r="G28" i="5" s="1"/>
  <c r="H28" i="5" s="1"/>
  <c r="N28" i="5" s="1"/>
  <c r="O28" i="5" s="1"/>
  <c r="R27" i="4"/>
  <c r="P27" i="4"/>
  <c r="E28" i="4" s="1"/>
  <c r="F28" i="4" s="1"/>
  <c r="G28" i="4" s="1"/>
  <c r="H28" i="4" s="1"/>
  <c r="N28" i="4" s="1"/>
  <c r="O28" i="4" s="1"/>
  <c r="R27" i="3"/>
  <c r="P27" i="3"/>
  <c r="E28" i="3" s="1"/>
  <c r="F28" i="3" s="1"/>
  <c r="G28" i="3" s="1"/>
  <c r="H28" i="3" s="1"/>
  <c r="N28" i="3" s="1"/>
  <c r="O28" i="3" s="1"/>
  <c r="R27" i="2"/>
  <c r="P27" i="2"/>
  <c r="E28" i="2" s="1"/>
  <c r="F28" i="2" s="1"/>
  <c r="G28" i="2" s="1"/>
  <c r="H28" i="2" s="1"/>
  <c r="N28" i="2" s="1"/>
  <c r="O28" i="2" s="1"/>
  <c r="R28" i="6" l="1"/>
  <c r="P28" i="6"/>
  <c r="E29" i="6" s="1"/>
  <c r="F29" i="6" s="1"/>
  <c r="G29" i="6" s="1"/>
  <c r="H29" i="6" s="1"/>
  <c r="N29" i="6" s="1"/>
  <c r="O29" i="6" s="1"/>
  <c r="R28" i="5"/>
  <c r="P28" i="5"/>
  <c r="E29" i="5" s="1"/>
  <c r="F29" i="5" s="1"/>
  <c r="G29" i="5" s="1"/>
  <c r="H29" i="5" s="1"/>
  <c r="N29" i="5" s="1"/>
  <c r="O29" i="5" s="1"/>
  <c r="R28" i="4"/>
  <c r="P28" i="4"/>
  <c r="E29" i="4" s="1"/>
  <c r="F29" i="4" s="1"/>
  <c r="G29" i="4" s="1"/>
  <c r="H29" i="4" s="1"/>
  <c r="N29" i="4" s="1"/>
  <c r="O29" i="4" s="1"/>
  <c r="R28" i="3"/>
  <c r="P28" i="3"/>
  <c r="E29" i="3" s="1"/>
  <c r="F29" i="3" s="1"/>
  <c r="G29" i="3" s="1"/>
  <c r="H29" i="3" s="1"/>
  <c r="N29" i="3" s="1"/>
  <c r="O29" i="3" s="1"/>
  <c r="R28" i="2"/>
  <c r="P28" i="2"/>
  <c r="E29" i="2" s="1"/>
  <c r="F29" i="2" s="1"/>
  <c r="G29" i="2" s="1"/>
  <c r="H29" i="2" s="1"/>
  <c r="N29" i="2" s="1"/>
  <c r="O29" i="2" s="1"/>
  <c r="R29" i="6" l="1"/>
  <c r="P29" i="6"/>
  <c r="E30" i="6" s="1"/>
  <c r="F30" i="6" s="1"/>
  <c r="G30" i="6" s="1"/>
  <c r="H30" i="6" s="1"/>
  <c r="N30" i="6" s="1"/>
  <c r="O30" i="6" s="1"/>
  <c r="R29" i="5"/>
  <c r="P29" i="5"/>
  <c r="E30" i="5" s="1"/>
  <c r="F30" i="5" s="1"/>
  <c r="G30" i="5" s="1"/>
  <c r="H30" i="5" s="1"/>
  <c r="N30" i="5" s="1"/>
  <c r="O30" i="5" s="1"/>
  <c r="R29" i="4"/>
  <c r="P29" i="4"/>
  <c r="E30" i="4" s="1"/>
  <c r="F30" i="4" s="1"/>
  <c r="G30" i="4" s="1"/>
  <c r="H30" i="4" s="1"/>
  <c r="N30" i="4" s="1"/>
  <c r="O30" i="4" s="1"/>
  <c r="R29" i="3"/>
  <c r="P29" i="3"/>
  <c r="E30" i="3" s="1"/>
  <c r="F30" i="3" s="1"/>
  <c r="G30" i="3" s="1"/>
  <c r="H30" i="3" s="1"/>
  <c r="N30" i="3" s="1"/>
  <c r="O30" i="3" s="1"/>
  <c r="R29" i="2"/>
  <c r="P29" i="2"/>
  <c r="E30" i="2" s="1"/>
  <c r="F30" i="2" s="1"/>
  <c r="G30" i="2" s="1"/>
  <c r="H30" i="2" s="1"/>
  <c r="N30" i="2" s="1"/>
  <c r="O30" i="2" s="1"/>
  <c r="R30" i="6" l="1"/>
  <c r="P30" i="6"/>
  <c r="E31" i="6" s="1"/>
  <c r="F31" i="6" s="1"/>
  <c r="G31" i="6" s="1"/>
  <c r="H31" i="6" s="1"/>
  <c r="N31" i="6" s="1"/>
  <c r="O31" i="6" s="1"/>
  <c r="R30" i="5"/>
  <c r="P30" i="5"/>
  <c r="E31" i="5" s="1"/>
  <c r="F31" i="5" s="1"/>
  <c r="G31" i="5" s="1"/>
  <c r="H31" i="5" s="1"/>
  <c r="N31" i="5" s="1"/>
  <c r="O31" i="5" s="1"/>
  <c r="R30" i="4"/>
  <c r="P30" i="4"/>
  <c r="E31" i="4" s="1"/>
  <c r="F31" i="4" s="1"/>
  <c r="G31" i="4" s="1"/>
  <c r="H31" i="4" s="1"/>
  <c r="N31" i="4" s="1"/>
  <c r="O31" i="4" s="1"/>
  <c r="R30" i="3"/>
  <c r="P30" i="3"/>
  <c r="E31" i="3" s="1"/>
  <c r="F31" i="3" s="1"/>
  <c r="G31" i="3" s="1"/>
  <c r="H31" i="3" s="1"/>
  <c r="N31" i="3" s="1"/>
  <c r="O31" i="3" s="1"/>
  <c r="R30" i="2"/>
  <c r="P30" i="2"/>
  <c r="E31" i="2" s="1"/>
  <c r="F31" i="2" s="1"/>
  <c r="G31" i="2" s="1"/>
  <c r="H31" i="2" s="1"/>
  <c r="N31" i="2" s="1"/>
  <c r="O31" i="2" s="1"/>
  <c r="R31" i="6" l="1"/>
  <c r="P31" i="6"/>
  <c r="E32" i="6" s="1"/>
  <c r="F32" i="6" s="1"/>
  <c r="G32" i="6" s="1"/>
  <c r="H32" i="6" s="1"/>
  <c r="N32" i="6" s="1"/>
  <c r="O32" i="6" s="1"/>
  <c r="R31" i="5"/>
  <c r="P31" i="5"/>
  <c r="E32" i="5" s="1"/>
  <c r="F32" i="5" s="1"/>
  <c r="G32" i="5" s="1"/>
  <c r="H32" i="5" s="1"/>
  <c r="N32" i="5" s="1"/>
  <c r="O32" i="5" s="1"/>
  <c r="R31" i="4"/>
  <c r="P31" i="4"/>
  <c r="E32" i="4" s="1"/>
  <c r="F32" i="4" s="1"/>
  <c r="G32" i="4" s="1"/>
  <c r="H32" i="4" s="1"/>
  <c r="N32" i="4" s="1"/>
  <c r="O32" i="4" s="1"/>
  <c r="R31" i="3"/>
  <c r="P31" i="3"/>
  <c r="E32" i="3" s="1"/>
  <c r="F32" i="3" s="1"/>
  <c r="G32" i="3" s="1"/>
  <c r="H32" i="3" s="1"/>
  <c r="N32" i="3" s="1"/>
  <c r="O32" i="3" s="1"/>
  <c r="R31" i="2"/>
  <c r="P31" i="2"/>
  <c r="E32" i="2" s="1"/>
  <c r="F32" i="2" s="1"/>
  <c r="G32" i="2" s="1"/>
  <c r="H32" i="2" s="1"/>
  <c r="N32" i="2" s="1"/>
  <c r="O32" i="2" s="1"/>
  <c r="R32" i="6" l="1"/>
  <c r="P32" i="6"/>
  <c r="E33" i="6" s="1"/>
  <c r="F33" i="6" s="1"/>
  <c r="G33" i="6" s="1"/>
  <c r="H33" i="6" s="1"/>
  <c r="N33" i="6" s="1"/>
  <c r="O33" i="6" s="1"/>
  <c r="R32" i="5"/>
  <c r="P32" i="5"/>
  <c r="E33" i="5" s="1"/>
  <c r="F33" i="5" s="1"/>
  <c r="G33" i="5" s="1"/>
  <c r="H33" i="5" s="1"/>
  <c r="N33" i="5" s="1"/>
  <c r="O33" i="5" s="1"/>
  <c r="R32" i="4"/>
  <c r="P32" i="4"/>
  <c r="E33" i="4" s="1"/>
  <c r="F33" i="4" s="1"/>
  <c r="G33" i="4" s="1"/>
  <c r="H33" i="4" s="1"/>
  <c r="N33" i="4" s="1"/>
  <c r="O33" i="4" s="1"/>
  <c r="R32" i="3"/>
  <c r="P32" i="3"/>
  <c r="E33" i="3" s="1"/>
  <c r="F33" i="3" s="1"/>
  <c r="G33" i="3" s="1"/>
  <c r="H33" i="3" s="1"/>
  <c r="N33" i="3" s="1"/>
  <c r="O33" i="3" s="1"/>
  <c r="R32" i="2"/>
  <c r="P32" i="2"/>
  <c r="E33" i="2" s="1"/>
  <c r="F33" i="2" s="1"/>
  <c r="G33" i="2" s="1"/>
  <c r="H33" i="2" s="1"/>
  <c r="N33" i="2" s="1"/>
  <c r="O33" i="2" s="1"/>
  <c r="R33" i="6" l="1"/>
  <c r="P33" i="6"/>
  <c r="E34" i="6" s="1"/>
  <c r="F34" i="6" s="1"/>
  <c r="G34" i="6" s="1"/>
  <c r="H34" i="6" s="1"/>
  <c r="N34" i="6" s="1"/>
  <c r="O34" i="6" s="1"/>
  <c r="R33" i="5"/>
  <c r="P33" i="5"/>
  <c r="E34" i="5" s="1"/>
  <c r="F34" i="5" s="1"/>
  <c r="G34" i="5" s="1"/>
  <c r="H34" i="5" s="1"/>
  <c r="N34" i="5" s="1"/>
  <c r="O34" i="5" s="1"/>
  <c r="R33" i="4"/>
  <c r="P33" i="4"/>
  <c r="E34" i="4" s="1"/>
  <c r="F34" i="4" s="1"/>
  <c r="G34" i="4" s="1"/>
  <c r="H34" i="4" s="1"/>
  <c r="N34" i="4" s="1"/>
  <c r="O34" i="4" s="1"/>
  <c r="R33" i="3"/>
  <c r="P33" i="3"/>
  <c r="E34" i="3" s="1"/>
  <c r="F34" i="3" s="1"/>
  <c r="G34" i="3" s="1"/>
  <c r="H34" i="3" s="1"/>
  <c r="N34" i="3" s="1"/>
  <c r="O34" i="3" s="1"/>
  <c r="R33" i="2"/>
  <c r="P33" i="2"/>
  <c r="E34" i="2" s="1"/>
  <c r="F34" i="2" s="1"/>
  <c r="G34" i="2" s="1"/>
  <c r="H34" i="2" s="1"/>
  <c r="N34" i="2" s="1"/>
  <c r="O34" i="2" s="1"/>
  <c r="R34" i="6" l="1"/>
  <c r="P34" i="6"/>
  <c r="E35" i="6" s="1"/>
  <c r="F35" i="6" s="1"/>
  <c r="G35" i="6" s="1"/>
  <c r="H35" i="6" s="1"/>
  <c r="N35" i="6" s="1"/>
  <c r="O35" i="6" s="1"/>
  <c r="R34" i="5"/>
  <c r="P34" i="5"/>
  <c r="E35" i="5" s="1"/>
  <c r="F35" i="5" s="1"/>
  <c r="G35" i="5" s="1"/>
  <c r="H35" i="5" s="1"/>
  <c r="N35" i="5" s="1"/>
  <c r="O35" i="5" s="1"/>
  <c r="R34" i="4"/>
  <c r="P34" i="4"/>
  <c r="E35" i="4" s="1"/>
  <c r="F35" i="4" s="1"/>
  <c r="G35" i="4" s="1"/>
  <c r="H35" i="4" s="1"/>
  <c r="N35" i="4" s="1"/>
  <c r="O35" i="4" s="1"/>
  <c r="R34" i="3"/>
  <c r="P34" i="3"/>
  <c r="E35" i="3" s="1"/>
  <c r="F35" i="3" s="1"/>
  <c r="G35" i="3" s="1"/>
  <c r="H35" i="3" s="1"/>
  <c r="N35" i="3" s="1"/>
  <c r="O35" i="3" s="1"/>
  <c r="R34" i="2"/>
  <c r="P34" i="2"/>
  <c r="E35" i="2" s="1"/>
  <c r="F35" i="2" s="1"/>
  <c r="G35" i="2" s="1"/>
  <c r="H35" i="2" s="1"/>
  <c r="N35" i="2" s="1"/>
  <c r="O35" i="2" s="1"/>
  <c r="R35" i="6" l="1"/>
  <c r="P35" i="6"/>
  <c r="E36" i="6" s="1"/>
  <c r="F36" i="6" s="1"/>
  <c r="G36" i="6" s="1"/>
  <c r="H36" i="6" s="1"/>
  <c r="N36" i="6" s="1"/>
  <c r="O36" i="6" s="1"/>
  <c r="R35" i="5"/>
  <c r="P35" i="5"/>
  <c r="E36" i="5" s="1"/>
  <c r="F36" i="5" s="1"/>
  <c r="G36" i="5" s="1"/>
  <c r="H36" i="5" s="1"/>
  <c r="N36" i="5" s="1"/>
  <c r="O36" i="5" s="1"/>
  <c r="R35" i="4"/>
  <c r="P35" i="4"/>
  <c r="E36" i="4" s="1"/>
  <c r="F36" i="4" s="1"/>
  <c r="G36" i="4" s="1"/>
  <c r="H36" i="4" s="1"/>
  <c r="N36" i="4" s="1"/>
  <c r="O36" i="4" s="1"/>
  <c r="R35" i="3"/>
  <c r="P35" i="3"/>
  <c r="E36" i="3" s="1"/>
  <c r="F36" i="3" s="1"/>
  <c r="G36" i="3" s="1"/>
  <c r="H36" i="3" s="1"/>
  <c r="N36" i="3" s="1"/>
  <c r="O36" i="3" s="1"/>
  <c r="R35" i="2"/>
  <c r="P35" i="2"/>
  <c r="E36" i="2" s="1"/>
  <c r="F36" i="2" s="1"/>
  <c r="G36" i="2" s="1"/>
  <c r="H36" i="2" s="1"/>
  <c r="N36" i="2" s="1"/>
  <c r="O36" i="2" s="1"/>
  <c r="R36" i="6" l="1"/>
  <c r="P36" i="6"/>
  <c r="E37" i="6" s="1"/>
  <c r="F37" i="6" s="1"/>
  <c r="G37" i="6" s="1"/>
  <c r="H37" i="6" s="1"/>
  <c r="N37" i="6" s="1"/>
  <c r="O37" i="6" s="1"/>
  <c r="R36" i="5"/>
  <c r="P36" i="5"/>
  <c r="E37" i="5" s="1"/>
  <c r="F37" i="5" s="1"/>
  <c r="G37" i="5" s="1"/>
  <c r="H37" i="5" s="1"/>
  <c r="N37" i="5" s="1"/>
  <c r="O37" i="5" s="1"/>
  <c r="R36" i="4"/>
  <c r="P36" i="4"/>
  <c r="E37" i="4" s="1"/>
  <c r="F37" i="4" s="1"/>
  <c r="G37" i="4" s="1"/>
  <c r="H37" i="4" s="1"/>
  <c r="N37" i="4" s="1"/>
  <c r="O37" i="4" s="1"/>
  <c r="R36" i="3"/>
  <c r="P36" i="3"/>
  <c r="E37" i="3" s="1"/>
  <c r="F37" i="3" s="1"/>
  <c r="G37" i="3" s="1"/>
  <c r="H37" i="3" s="1"/>
  <c r="N37" i="3" s="1"/>
  <c r="O37" i="3" s="1"/>
  <c r="R36" i="2"/>
  <c r="P36" i="2"/>
  <c r="E37" i="2" s="1"/>
  <c r="F37" i="2" s="1"/>
  <c r="G37" i="2" s="1"/>
  <c r="H37" i="2" s="1"/>
  <c r="N37" i="2" s="1"/>
  <c r="O37" i="2" s="1"/>
  <c r="R37" i="6" l="1"/>
  <c r="P37" i="6"/>
  <c r="E38" i="6" s="1"/>
  <c r="F38" i="6" s="1"/>
  <c r="G38" i="6" s="1"/>
  <c r="H38" i="6" s="1"/>
  <c r="N38" i="6" s="1"/>
  <c r="O38" i="6" s="1"/>
  <c r="R37" i="5"/>
  <c r="P37" i="5"/>
  <c r="E38" i="5" s="1"/>
  <c r="F38" i="5" s="1"/>
  <c r="G38" i="5" s="1"/>
  <c r="H38" i="5" s="1"/>
  <c r="N38" i="5" s="1"/>
  <c r="O38" i="5" s="1"/>
  <c r="R37" i="4"/>
  <c r="P37" i="4"/>
  <c r="E38" i="4" s="1"/>
  <c r="F38" i="4" s="1"/>
  <c r="G38" i="4" s="1"/>
  <c r="H38" i="4" s="1"/>
  <c r="N38" i="4" s="1"/>
  <c r="O38" i="4" s="1"/>
  <c r="R37" i="3"/>
  <c r="P37" i="3"/>
  <c r="E38" i="3" s="1"/>
  <c r="F38" i="3" s="1"/>
  <c r="G38" i="3" s="1"/>
  <c r="H38" i="3" s="1"/>
  <c r="N38" i="3" s="1"/>
  <c r="O38" i="3" s="1"/>
  <c r="R37" i="2"/>
  <c r="P37" i="2"/>
  <c r="E38" i="2" s="1"/>
  <c r="F38" i="2" s="1"/>
  <c r="G38" i="2" s="1"/>
  <c r="H38" i="2" s="1"/>
  <c r="N38" i="2" s="1"/>
  <c r="O38" i="2" s="1"/>
  <c r="R38" i="6" l="1"/>
  <c r="P38" i="6"/>
  <c r="E39" i="6" s="1"/>
  <c r="F39" i="6" s="1"/>
  <c r="G39" i="6" s="1"/>
  <c r="H39" i="6" s="1"/>
  <c r="N39" i="6" s="1"/>
  <c r="O39" i="6" s="1"/>
  <c r="R38" i="5"/>
  <c r="P38" i="5"/>
  <c r="E39" i="5" s="1"/>
  <c r="F39" i="5" s="1"/>
  <c r="G39" i="5" s="1"/>
  <c r="H39" i="5" s="1"/>
  <c r="N39" i="5" s="1"/>
  <c r="O39" i="5" s="1"/>
  <c r="R38" i="4"/>
  <c r="P38" i="4"/>
  <c r="E39" i="4" s="1"/>
  <c r="F39" i="4" s="1"/>
  <c r="G39" i="4" s="1"/>
  <c r="H39" i="4" s="1"/>
  <c r="N39" i="4" s="1"/>
  <c r="O39" i="4" s="1"/>
  <c r="R38" i="3"/>
  <c r="P38" i="3"/>
  <c r="E39" i="3" s="1"/>
  <c r="F39" i="3" s="1"/>
  <c r="G39" i="3" s="1"/>
  <c r="H39" i="3" s="1"/>
  <c r="N39" i="3" s="1"/>
  <c r="O39" i="3" s="1"/>
  <c r="R38" i="2"/>
  <c r="P38" i="2"/>
  <c r="E39" i="2" s="1"/>
  <c r="F39" i="2" s="1"/>
  <c r="G39" i="2" s="1"/>
  <c r="H39" i="2" s="1"/>
  <c r="N39" i="2" s="1"/>
  <c r="O39" i="2" s="1"/>
  <c r="R39" i="6" l="1"/>
  <c r="P39" i="6"/>
  <c r="E40" i="6" s="1"/>
  <c r="F40" i="6" s="1"/>
  <c r="G40" i="6" s="1"/>
  <c r="H40" i="6" s="1"/>
  <c r="N40" i="6" s="1"/>
  <c r="O40" i="6" s="1"/>
  <c r="R39" i="5"/>
  <c r="P39" i="5"/>
  <c r="E40" i="5" s="1"/>
  <c r="F40" i="5" s="1"/>
  <c r="G40" i="5" s="1"/>
  <c r="H40" i="5" s="1"/>
  <c r="N40" i="5" s="1"/>
  <c r="O40" i="5" s="1"/>
  <c r="R39" i="4"/>
  <c r="P39" i="4"/>
  <c r="E40" i="4" s="1"/>
  <c r="F40" i="4" s="1"/>
  <c r="G40" i="4" s="1"/>
  <c r="H40" i="4" s="1"/>
  <c r="N40" i="4" s="1"/>
  <c r="O40" i="4" s="1"/>
  <c r="R39" i="3"/>
  <c r="P39" i="3"/>
  <c r="E40" i="3" s="1"/>
  <c r="F40" i="3" s="1"/>
  <c r="G40" i="3" s="1"/>
  <c r="H40" i="3" s="1"/>
  <c r="N40" i="3" s="1"/>
  <c r="O40" i="3" s="1"/>
  <c r="R39" i="2"/>
  <c r="P39" i="2"/>
  <c r="E40" i="2" s="1"/>
  <c r="F40" i="2" s="1"/>
  <c r="G40" i="2" s="1"/>
  <c r="H40" i="2" s="1"/>
  <c r="N40" i="2" s="1"/>
  <c r="O40" i="2" s="1"/>
  <c r="R40" i="6" l="1"/>
  <c r="P40" i="6"/>
  <c r="E41" i="6" s="1"/>
  <c r="F41" i="6" s="1"/>
  <c r="G41" i="6" s="1"/>
  <c r="H41" i="6" s="1"/>
  <c r="N41" i="6" s="1"/>
  <c r="O41" i="6" s="1"/>
  <c r="R40" i="5"/>
  <c r="P40" i="5"/>
  <c r="E41" i="5" s="1"/>
  <c r="F41" i="5" s="1"/>
  <c r="G41" i="5" s="1"/>
  <c r="H41" i="5" s="1"/>
  <c r="N41" i="5" s="1"/>
  <c r="O41" i="5" s="1"/>
  <c r="R40" i="4"/>
  <c r="P40" i="4"/>
  <c r="E41" i="4" s="1"/>
  <c r="F41" i="4" s="1"/>
  <c r="G41" i="4" s="1"/>
  <c r="H41" i="4" s="1"/>
  <c r="N41" i="4" s="1"/>
  <c r="O41" i="4" s="1"/>
  <c r="R40" i="3"/>
  <c r="P40" i="3"/>
  <c r="E41" i="3" s="1"/>
  <c r="F41" i="3" s="1"/>
  <c r="G41" i="3" s="1"/>
  <c r="H41" i="3" s="1"/>
  <c r="N41" i="3" s="1"/>
  <c r="O41" i="3" s="1"/>
  <c r="R40" i="2"/>
  <c r="P40" i="2"/>
  <c r="E41" i="2" s="1"/>
  <c r="F41" i="2" s="1"/>
  <c r="G41" i="2" s="1"/>
  <c r="H41" i="2" s="1"/>
  <c r="N41" i="2" s="1"/>
  <c r="O41" i="2" s="1"/>
  <c r="R41" i="6" l="1"/>
  <c r="P41" i="6"/>
  <c r="E42" i="6" s="1"/>
  <c r="F42" i="6" s="1"/>
  <c r="G42" i="6" s="1"/>
  <c r="H42" i="6" s="1"/>
  <c r="N42" i="6" s="1"/>
  <c r="O42" i="6" s="1"/>
  <c r="R41" i="5"/>
  <c r="P41" i="5"/>
  <c r="E42" i="5" s="1"/>
  <c r="F42" i="5" s="1"/>
  <c r="G42" i="5" s="1"/>
  <c r="H42" i="5" s="1"/>
  <c r="N42" i="5" s="1"/>
  <c r="O42" i="5" s="1"/>
  <c r="R41" i="4"/>
  <c r="P41" i="4"/>
  <c r="E42" i="4" s="1"/>
  <c r="F42" i="4" s="1"/>
  <c r="G42" i="4" s="1"/>
  <c r="H42" i="4" s="1"/>
  <c r="N42" i="4" s="1"/>
  <c r="O42" i="4" s="1"/>
  <c r="R41" i="3"/>
  <c r="P41" i="3"/>
  <c r="E42" i="3" s="1"/>
  <c r="F42" i="3" s="1"/>
  <c r="G42" i="3" s="1"/>
  <c r="H42" i="3" s="1"/>
  <c r="N42" i="3" s="1"/>
  <c r="O42" i="3" s="1"/>
  <c r="R41" i="2"/>
  <c r="P41" i="2"/>
  <c r="E42" i="2" s="1"/>
  <c r="F42" i="2" s="1"/>
  <c r="G42" i="2" s="1"/>
  <c r="H42" i="2" s="1"/>
  <c r="N42" i="2" s="1"/>
  <c r="O42" i="2" s="1"/>
  <c r="R42" i="6" l="1"/>
  <c r="P42" i="6"/>
  <c r="E43" i="6" s="1"/>
  <c r="F43" i="6" s="1"/>
  <c r="G43" i="6" s="1"/>
  <c r="H43" i="6" s="1"/>
  <c r="N43" i="6" s="1"/>
  <c r="O43" i="6" s="1"/>
  <c r="R42" i="5"/>
  <c r="P42" i="5"/>
  <c r="E43" i="5" s="1"/>
  <c r="F43" i="5" s="1"/>
  <c r="G43" i="5" s="1"/>
  <c r="H43" i="5" s="1"/>
  <c r="N43" i="5" s="1"/>
  <c r="O43" i="5" s="1"/>
  <c r="P42" i="4"/>
  <c r="E43" i="4" s="1"/>
  <c r="F43" i="4" s="1"/>
  <c r="G43" i="4" s="1"/>
  <c r="H43" i="4" s="1"/>
  <c r="N43" i="4" s="1"/>
  <c r="O43" i="4" s="1"/>
  <c r="R42" i="4"/>
  <c r="R42" i="3"/>
  <c r="P42" i="3"/>
  <c r="E43" i="3" s="1"/>
  <c r="F43" i="3" s="1"/>
  <c r="G43" i="3" s="1"/>
  <c r="H43" i="3" s="1"/>
  <c r="N43" i="3" s="1"/>
  <c r="O43" i="3" s="1"/>
  <c r="R42" i="2"/>
  <c r="P42" i="2"/>
  <c r="E43" i="2" s="1"/>
  <c r="F43" i="2" s="1"/>
  <c r="G43" i="2" s="1"/>
  <c r="H43" i="2" s="1"/>
  <c r="N43" i="2" s="1"/>
  <c r="O43" i="2" s="1"/>
  <c r="R43" i="6" l="1"/>
  <c r="P43" i="6"/>
  <c r="E44" i="6" s="1"/>
  <c r="F44" i="6" s="1"/>
  <c r="G44" i="6" s="1"/>
  <c r="H44" i="6" s="1"/>
  <c r="N44" i="6" s="1"/>
  <c r="O44" i="6" s="1"/>
  <c r="R43" i="5"/>
  <c r="P43" i="5"/>
  <c r="E44" i="5" s="1"/>
  <c r="F44" i="5" s="1"/>
  <c r="G44" i="5" s="1"/>
  <c r="H44" i="5" s="1"/>
  <c r="N44" i="5" s="1"/>
  <c r="O44" i="5" s="1"/>
  <c r="P43" i="4"/>
  <c r="E44" i="4" s="1"/>
  <c r="F44" i="4" s="1"/>
  <c r="G44" i="4" s="1"/>
  <c r="H44" i="4" s="1"/>
  <c r="N44" i="4" s="1"/>
  <c r="O44" i="4" s="1"/>
  <c r="R43" i="4"/>
  <c r="R43" i="3"/>
  <c r="P43" i="3"/>
  <c r="E44" i="3" s="1"/>
  <c r="F44" i="3" s="1"/>
  <c r="G44" i="3" s="1"/>
  <c r="H44" i="3" s="1"/>
  <c r="N44" i="3" s="1"/>
  <c r="O44" i="3" s="1"/>
  <c r="R43" i="2"/>
  <c r="P43" i="2"/>
  <c r="E44" i="2" s="1"/>
  <c r="F44" i="2" s="1"/>
  <c r="G44" i="2" s="1"/>
  <c r="H44" i="2" s="1"/>
  <c r="N44" i="2" s="1"/>
  <c r="O44" i="2" s="1"/>
  <c r="R44" i="6" l="1"/>
  <c r="P44" i="6"/>
  <c r="E45" i="6" s="1"/>
  <c r="F45" i="6" s="1"/>
  <c r="G45" i="6" s="1"/>
  <c r="H45" i="6" s="1"/>
  <c r="N45" i="6" s="1"/>
  <c r="O45" i="6" s="1"/>
  <c r="R44" i="5"/>
  <c r="P44" i="5"/>
  <c r="E45" i="5" s="1"/>
  <c r="F45" i="5" s="1"/>
  <c r="G45" i="5" s="1"/>
  <c r="H45" i="5" s="1"/>
  <c r="N45" i="5" s="1"/>
  <c r="O45" i="5" s="1"/>
  <c r="P44" i="4"/>
  <c r="E45" i="4" s="1"/>
  <c r="F45" i="4" s="1"/>
  <c r="G45" i="4" s="1"/>
  <c r="H45" i="4" s="1"/>
  <c r="N45" i="4" s="1"/>
  <c r="O45" i="4" s="1"/>
  <c r="R44" i="4"/>
  <c r="R44" i="3"/>
  <c r="P44" i="3"/>
  <c r="E45" i="3" s="1"/>
  <c r="F45" i="3" s="1"/>
  <c r="G45" i="3" s="1"/>
  <c r="H45" i="3" s="1"/>
  <c r="N45" i="3" s="1"/>
  <c r="O45" i="3" s="1"/>
  <c r="R44" i="2"/>
  <c r="P44" i="2"/>
  <c r="E45" i="2" s="1"/>
  <c r="F45" i="2" s="1"/>
  <c r="G45" i="2" s="1"/>
  <c r="H45" i="2" s="1"/>
  <c r="N45" i="2" s="1"/>
  <c r="O45" i="2" s="1"/>
  <c r="R45" i="6" l="1"/>
  <c r="P45" i="6"/>
  <c r="E46" i="6" s="1"/>
  <c r="F46" i="6" s="1"/>
  <c r="G46" i="6" s="1"/>
  <c r="H46" i="6" s="1"/>
  <c r="N46" i="6" s="1"/>
  <c r="O46" i="6" s="1"/>
  <c r="R45" i="5"/>
  <c r="P45" i="5"/>
  <c r="E46" i="5" s="1"/>
  <c r="F46" i="5" s="1"/>
  <c r="G46" i="5" s="1"/>
  <c r="H46" i="5" s="1"/>
  <c r="N46" i="5" s="1"/>
  <c r="O46" i="5" s="1"/>
  <c r="P45" i="4"/>
  <c r="E46" i="4" s="1"/>
  <c r="F46" i="4" s="1"/>
  <c r="G46" i="4" s="1"/>
  <c r="H46" i="4" s="1"/>
  <c r="N46" i="4" s="1"/>
  <c r="O46" i="4" s="1"/>
  <c r="R45" i="4"/>
  <c r="R45" i="3"/>
  <c r="P45" i="3"/>
  <c r="E46" i="3" s="1"/>
  <c r="F46" i="3" s="1"/>
  <c r="G46" i="3" s="1"/>
  <c r="H46" i="3" s="1"/>
  <c r="N46" i="3" s="1"/>
  <c r="O46" i="3" s="1"/>
  <c r="R45" i="2"/>
  <c r="P45" i="2"/>
  <c r="E46" i="2" s="1"/>
  <c r="F46" i="2" s="1"/>
  <c r="G46" i="2" s="1"/>
  <c r="H46" i="2" s="1"/>
  <c r="N46" i="2" s="1"/>
  <c r="O46" i="2" s="1"/>
  <c r="R46" i="6" l="1"/>
  <c r="P46" i="6"/>
  <c r="E47" i="6" s="1"/>
  <c r="F47" i="6" s="1"/>
  <c r="G47" i="6" s="1"/>
  <c r="H47" i="6" s="1"/>
  <c r="N47" i="6" s="1"/>
  <c r="O47" i="6" s="1"/>
  <c r="R46" i="5"/>
  <c r="P46" i="5"/>
  <c r="E47" i="5" s="1"/>
  <c r="F47" i="5" s="1"/>
  <c r="G47" i="5" s="1"/>
  <c r="H47" i="5" s="1"/>
  <c r="N47" i="5" s="1"/>
  <c r="O47" i="5" s="1"/>
  <c r="P46" i="4"/>
  <c r="E47" i="4" s="1"/>
  <c r="F47" i="4" s="1"/>
  <c r="G47" i="4" s="1"/>
  <c r="H47" i="4" s="1"/>
  <c r="N47" i="4" s="1"/>
  <c r="O47" i="4" s="1"/>
  <c r="R46" i="4"/>
  <c r="R46" i="3"/>
  <c r="P46" i="3"/>
  <c r="E47" i="3" s="1"/>
  <c r="F47" i="3" s="1"/>
  <c r="G47" i="3" s="1"/>
  <c r="H47" i="3" s="1"/>
  <c r="N47" i="3" s="1"/>
  <c r="O47" i="3" s="1"/>
  <c r="R46" i="2"/>
  <c r="P46" i="2"/>
  <c r="E47" i="2" s="1"/>
  <c r="F47" i="2" s="1"/>
  <c r="G47" i="2" s="1"/>
  <c r="H47" i="2" s="1"/>
  <c r="N47" i="2" s="1"/>
  <c r="O47" i="2" s="1"/>
  <c r="R47" i="6" l="1"/>
  <c r="P47" i="6"/>
  <c r="E48" i="6" s="1"/>
  <c r="F48" i="6" s="1"/>
  <c r="G48" i="6" s="1"/>
  <c r="H48" i="6" s="1"/>
  <c r="N48" i="6" s="1"/>
  <c r="O48" i="6" s="1"/>
  <c r="R47" i="5"/>
  <c r="P47" i="5"/>
  <c r="E48" i="5" s="1"/>
  <c r="F48" i="5" s="1"/>
  <c r="G48" i="5" s="1"/>
  <c r="H48" i="5" s="1"/>
  <c r="N48" i="5" s="1"/>
  <c r="O48" i="5" s="1"/>
  <c r="P47" i="4"/>
  <c r="E48" i="4" s="1"/>
  <c r="F48" i="4" s="1"/>
  <c r="G48" i="4" s="1"/>
  <c r="H48" i="4" s="1"/>
  <c r="N48" i="4" s="1"/>
  <c r="O48" i="4" s="1"/>
  <c r="R47" i="4"/>
  <c r="R47" i="3"/>
  <c r="P47" i="3"/>
  <c r="E48" i="3" s="1"/>
  <c r="F48" i="3" s="1"/>
  <c r="G48" i="3" s="1"/>
  <c r="H48" i="3" s="1"/>
  <c r="N48" i="3" s="1"/>
  <c r="O48" i="3" s="1"/>
  <c r="R47" i="2"/>
  <c r="P47" i="2"/>
  <c r="E48" i="2" s="1"/>
  <c r="F48" i="2" s="1"/>
  <c r="G48" i="2" s="1"/>
  <c r="H48" i="2" s="1"/>
  <c r="N48" i="2" s="1"/>
  <c r="O48" i="2" s="1"/>
  <c r="P48" i="6" l="1"/>
  <c r="E49" i="6" s="1"/>
  <c r="F49" i="6" s="1"/>
  <c r="G49" i="6" s="1"/>
  <c r="H49" i="6" s="1"/>
  <c r="N49" i="6" s="1"/>
  <c r="O49" i="6" s="1"/>
  <c r="R48" i="6"/>
  <c r="R48" i="5"/>
  <c r="P48" i="5"/>
  <c r="E49" i="5" s="1"/>
  <c r="F49" i="5" s="1"/>
  <c r="G49" i="5" s="1"/>
  <c r="H49" i="5" s="1"/>
  <c r="N49" i="5" s="1"/>
  <c r="O49" i="5" s="1"/>
  <c r="P48" i="4"/>
  <c r="E49" i="4" s="1"/>
  <c r="F49" i="4" s="1"/>
  <c r="G49" i="4" s="1"/>
  <c r="H49" i="4" s="1"/>
  <c r="N49" i="4" s="1"/>
  <c r="O49" i="4" s="1"/>
  <c r="R48" i="4"/>
  <c r="R48" i="3"/>
  <c r="P48" i="3"/>
  <c r="E49" i="3" s="1"/>
  <c r="F49" i="3" s="1"/>
  <c r="G49" i="3" s="1"/>
  <c r="H49" i="3" s="1"/>
  <c r="N49" i="3" s="1"/>
  <c r="O49" i="3" s="1"/>
  <c r="R48" i="2"/>
  <c r="P48" i="2"/>
  <c r="E49" i="2" s="1"/>
  <c r="F49" i="2" s="1"/>
  <c r="G49" i="2" s="1"/>
  <c r="H49" i="2" s="1"/>
  <c r="N49" i="2" s="1"/>
  <c r="O49" i="2" s="1"/>
  <c r="P49" i="6" l="1"/>
  <c r="E50" i="6" s="1"/>
  <c r="F50" i="6" s="1"/>
  <c r="G50" i="6" s="1"/>
  <c r="H50" i="6" s="1"/>
  <c r="N50" i="6" s="1"/>
  <c r="O50" i="6" s="1"/>
  <c r="R49" i="6"/>
  <c r="R49" i="5"/>
  <c r="P49" i="5"/>
  <c r="E50" i="5" s="1"/>
  <c r="F50" i="5" s="1"/>
  <c r="G50" i="5" s="1"/>
  <c r="H50" i="5" s="1"/>
  <c r="N50" i="5" s="1"/>
  <c r="O50" i="5" s="1"/>
  <c r="P49" i="4"/>
  <c r="E50" i="4" s="1"/>
  <c r="F50" i="4" s="1"/>
  <c r="G50" i="4" s="1"/>
  <c r="H50" i="4" s="1"/>
  <c r="N50" i="4" s="1"/>
  <c r="O50" i="4" s="1"/>
  <c r="R49" i="4"/>
  <c r="R49" i="3"/>
  <c r="P49" i="3"/>
  <c r="E50" i="3" s="1"/>
  <c r="F50" i="3" s="1"/>
  <c r="G50" i="3" s="1"/>
  <c r="H50" i="3" s="1"/>
  <c r="N50" i="3" s="1"/>
  <c r="O50" i="3" s="1"/>
  <c r="R49" i="2"/>
  <c r="P49" i="2"/>
  <c r="E50" i="2" s="1"/>
  <c r="F50" i="2" s="1"/>
  <c r="G50" i="2" s="1"/>
  <c r="H50" i="2" s="1"/>
  <c r="N50" i="2" s="1"/>
  <c r="O50" i="2" s="1"/>
  <c r="R50" i="6" l="1"/>
  <c r="P50" i="6"/>
  <c r="E51" i="6" s="1"/>
  <c r="F51" i="6" s="1"/>
  <c r="G51" i="6" s="1"/>
  <c r="H51" i="6" s="1"/>
  <c r="N51" i="6" s="1"/>
  <c r="O51" i="6" s="1"/>
  <c r="R50" i="5"/>
  <c r="P50" i="5"/>
  <c r="E51" i="5" s="1"/>
  <c r="F51" i="5" s="1"/>
  <c r="G51" i="5" s="1"/>
  <c r="H51" i="5" s="1"/>
  <c r="N51" i="5" s="1"/>
  <c r="O51" i="5" s="1"/>
  <c r="P50" i="4"/>
  <c r="E51" i="4" s="1"/>
  <c r="F51" i="4" s="1"/>
  <c r="G51" i="4" s="1"/>
  <c r="H51" i="4" s="1"/>
  <c r="N51" i="4" s="1"/>
  <c r="O51" i="4" s="1"/>
  <c r="R50" i="4"/>
  <c r="R50" i="3"/>
  <c r="P50" i="3"/>
  <c r="E51" i="3" s="1"/>
  <c r="F51" i="3" s="1"/>
  <c r="G51" i="3" s="1"/>
  <c r="H51" i="3" s="1"/>
  <c r="N51" i="3" s="1"/>
  <c r="O51" i="3" s="1"/>
  <c r="R50" i="2"/>
  <c r="P50" i="2"/>
  <c r="E51" i="2" s="1"/>
  <c r="F51" i="2" s="1"/>
  <c r="G51" i="2" s="1"/>
  <c r="H51" i="2" s="1"/>
  <c r="N51" i="2" s="1"/>
  <c r="O51" i="2" s="1"/>
  <c r="R51" i="6" l="1"/>
  <c r="P51" i="6"/>
  <c r="E52" i="6" s="1"/>
  <c r="F52" i="6" s="1"/>
  <c r="G52" i="6" s="1"/>
  <c r="H52" i="6" s="1"/>
  <c r="N52" i="6" s="1"/>
  <c r="O52" i="6" s="1"/>
  <c r="R51" i="5"/>
  <c r="P51" i="5"/>
  <c r="E52" i="5" s="1"/>
  <c r="F52" i="5" s="1"/>
  <c r="G52" i="5" s="1"/>
  <c r="H52" i="5" s="1"/>
  <c r="N52" i="5" s="1"/>
  <c r="O52" i="5" s="1"/>
  <c r="P51" i="4"/>
  <c r="E52" i="4" s="1"/>
  <c r="F52" i="4" s="1"/>
  <c r="G52" i="4" s="1"/>
  <c r="H52" i="4" s="1"/>
  <c r="N52" i="4" s="1"/>
  <c r="O52" i="4" s="1"/>
  <c r="R51" i="4"/>
  <c r="R51" i="3"/>
  <c r="P51" i="3"/>
  <c r="E52" i="3" s="1"/>
  <c r="F52" i="3" s="1"/>
  <c r="G52" i="3" s="1"/>
  <c r="H52" i="3" s="1"/>
  <c r="N52" i="3" s="1"/>
  <c r="O52" i="3" s="1"/>
  <c r="R51" i="2"/>
  <c r="P51" i="2"/>
  <c r="E52" i="2" s="1"/>
  <c r="F52" i="2" s="1"/>
  <c r="G52" i="2" s="1"/>
  <c r="H52" i="2" s="1"/>
  <c r="N52" i="2" s="1"/>
  <c r="O52" i="2" s="1"/>
  <c r="R52" i="6" l="1"/>
  <c r="P52" i="6"/>
  <c r="E53" i="6" s="1"/>
  <c r="F53" i="6" s="1"/>
  <c r="G53" i="6" s="1"/>
  <c r="H53" i="6" s="1"/>
  <c r="N53" i="6" s="1"/>
  <c r="O53" i="6" s="1"/>
  <c r="R52" i="5"/>
  <c r="P52" i="5"/>
  <c r="E53" i="5" s="1"/>
  <c r="F53" i="5" s="1"/>
  <c r="G53" i="5" s="1"/>
  <c r="H53" i="5" s="1"/>
  <c r="N53" i="5" s="1"/>
  <c r="O53" i="5" s="1"/>
  <c r="P52" i="4"/>
  <c r="E53" i="4" s="1"/>
  <c r="F53" i="4" s="1"/>
  <c r="G53" i="4" s="1"/>
  <c r="H53" i="4" s="1"/>
  <c r="N53" i="4" s="1"/>
  <c r="O53" i="4" s="1"/>
  <c r="R52" i="4"/>
  <c r="R52" i="3"/>
  <c r="P52" i="3"/>
  <c r="E53" i="3" s="1"/>
  <c r="F53" i="3" s="1"/>
  <c r="G53" i="3" s="1"/>
  <c r="H53" i="3" s="1"/>
  <c r="N53" i="3" s="1"/>
  <c r="O53" i="3" s="1"/>
  <c r="R52" i="2"/>
  <c r="P52" i="2"/>
  <c r="E53" i="2" s="1"/>
  <c r="F53" i="2" s="1"/>
  <c r="G53" i="2" s="1"/>
  <c r="H53" i="2" s="1"/>
  <c r="N53" i="2" s="1"/>
  <c r="O53" i="2" s="1"/>
  <c r="R53" i="6" l="1"/>
  <c r="P53" i="6"/>
  <c r="E54" i="6" s="1"/>
  <c r="F54" i="6" s="1"/>
  <c r="G54" i="6" s="1"/>
  <c r="H54" i="6" s="1"/>
  <c r="N54" i="6" s="1"/>
  <c r="O54" i="6" s="1"/>
  <c r="R53" i="5"/>
  <c r="P53" i="5"/>
  <c r="E54" i="5" s="1"/>
  <c r="F54" i="5" s="1"/>
  <c r="G54" i="5" s="1"/>
  <c r="H54" i="5" s="1"/>
  <c r="N54" i="5" s="1"/>
  <c r="O54" i="5" s="1"/>
  <c r="P53" i="4"/>
  <c r="E54" i="4" s="1"/>
  <c r="F54" i="4" s="1"/>
  <c r="G54" i="4" s="1"/>
  <c r="H54" i="4" s="1"/>
  <c r="N54" i="4" s="1"/>
  <c r="O54" i="4" s="1"/>
  <c r="R53" i="4"/>
  <c r="R53" i="3"/>
  <c r="P53" i="3"/>
  <c r="E54" i="3" s="1"/>
  <c r="F54" i="3" s="1"/>
  <c r="G54" i="3" s="1"/>
  <c r="H54" i="3" s="1"/>
  <c r="N54" i="3" s="1"/>
  <c r="O54" i="3" s="1"/>
  <c r="R53" i="2"/>
  <c r="P53" i="2"/>
  <c r="E54" i="2" s="1"/>
  <c r="F54" i="2" s="1"/>
  <c r="G54" i="2" s="1"/>
  <c r="H54" i="2" s="1"/>
  <c r="N54" i="2" s="1"/>
  <c r="O54" i="2" s="1"/>
  <c r="R54" i="6" l="1"/>
  <c r="P54" i="6"/>
  <c r="E55" i="6" s="1"/>
  <c r="F55" i="6" s="1"/>
  <c r="G55" i="6" s="1"/>
  <c r="H55" i="6" s="1"/>
  <c r="N55" i="6" s="1"/>
  <c r="O55" i="6" s="1"/>
  <c r="R54" i="5"/>
  <c r="P54" i="5"/>
  <c r="E55" i="5" s="1"/>
  <c r="F55" i="5" s="1"/>
  <c r="G55" i="5" s="1"/>
  <c r="H55" i="5" s="1"/>
  <c r="N55" i="5" s="1"/>
  <c r="O55" i="5" s="1"/>
  <c r="P54" i="4"/>
  <c r="E55" i="4" s="1"/>
  <c r="F55" i="4" s="1"/>
  <c r="G55" i="4" s="1"/>
  <c r="H55" i="4" s="1"/>
  <c r="N55" i="4" s="1"/>
  <c r="O55" i="4" s="1"/>
  <c r="R54" i="4"/>
  <c r="R54" i="3"/>
  <c r="P54" i="3"/>
  <c r="E55" i="3" s="1"/>
  <c r="F55" i="3" s="1"/>
  <c r="G55" i="3" s="1"/>
  <c r="H55" i="3" s="1"/>
  <c r="N55" i="3" s="1"/>
  <c r="O55" i="3" s="1"/>
  <c r="R54" i="2"/>
  <c r="P54" i="2"/>
  <c r="E55" i="2" s="1"/>
  <c r="F55" i="2" s="1"/>
  <c r="G55" i="2" s="1"/>
  <c r="H55" i="2" s="1"/>
  <c r="N55" i="2" s="1"/>
  <c r="O55" i="2" s="1"/>
  <c r="R55" i="6" l="1"/>
  <c r="P55" i="6"/>
  <c r="E56" i="6" s="1"/>
  <c r="F56" i="6" s="1"/>
  <c r="G56" i="6" s="1"/>
  <c r="H56" i="6" s="1"/>
  <c r="N56" i="6" s="1"/>
  <c r="O56" i="6" s="1"/>
  <c r="R55" i="5"/>
  <c r="P55" i="5"/>
  <c r="E56" i="5" s="1"/>
  <c r="F56" i="5" s="1"/>
  <c r="G56" i="5" s="1"/>
  <c r="H56" i="5" s="1"/>
  <c r="N56" i="5" s="1"/>
  <c r="O56" i="5" s="1"/>
  <c r="P55" i="4"/>
  <c r="E56" i="4" s="1"/>
  <c r="F56" i="4" s="1"/>
  <c r="G56" i="4" s="1"/>
  <c r="H56" i="4" s="1"/>
  <c r="N56" i="4" s="1"/>
  <c r="O56" i="4" s="1"/>
  <c r="R55" i="4"/>
  <c r="R55" i="3"/>
  <c r="P55" i="3"/>
  <c r="E56" i="3" s="1"/>
  <c r="F56" i="3" s="1"/>
  <c r="G56" i="3" s="1"/>
  <c r="H56" i="3" s="1"/>
  <c r="N56" i="3" s="1"/>
  <c r="O56" i="3" s="1"/>
  <c r="R55" i="2"/>
  <c r="P55" i="2"/>
  <c r="E56" i="2" s="1"/>
  <c r="F56" i="2" s="1"/>
  <c r="G56" i="2" s="1"/>
  <c r="H56" i="2" s="1"/>
  <c r="N56" i="2" s="1"/>
  <c r="O56" i="2" s="1"/>
  <c r="R56" i="6" l="1"/>
  <c r="P56" i="6"/>
  <c r="E57" i="6" s="1"/>
  <c r="F57" i="6" s="1"/>
  <c r="G57" i="6" s="1"/>
  <c r="H57" i="6" s="1"/>
  <c r="N57" i="6" s="1"/>
  <c r="O57" i="6" s="1"/>
  <c r="R56" i="5"/>
  <c r="P56" i="5"/>
  <c r="E57" i="5" s="1"/>
  <c r="F57" i="5" s="1"/>
  <c r="G57" i="5" s="1"/>
  <c r="H57" i="5" s="1"/>
  <c r="N57" i="5" s="1"/>
  <c r="O57" i="5" s="1"/>
  <c r="P56" i="4"/>
  <c r="E57" i="4" s="1"/>
  <c r="F57" i="4" s="1"/>
  <c r="G57" i="4" s="1"/>
  <c r="H57" i="4" s="1"/>
  <c r="N57" i="4" s="1"/>
  <c r="O57" i="4" s="1"/>
  <c r="R56" i="4"/>
  <c r="R56" i="3"/>
  <c r="P56" i="3"/>
  <c r="E57" i="3" s="1"/>
  <c r="F57" i="3" s="1"/>
  <c r="G57" i="3" s="1"/>
  <c r="H57" i="3" s="1"/>
  <c r="N57" i="3" s="1"/>
  <c r="O57" i="3" s="1"/>
  <c r="R56" i="2"/>
  <c r="P56" i="2"/>
  <c r="E57" i="2" s="1"/>
  <c r="F57" i="2" s="1"/>
  <c r="G57" i="2" s="1"/>
  <c r="H57" i="2" s="1"/>
  <c r="N57" i="2" s="1"/>
  <c r="O57" i="2" s="1"/>
  <c r="R57" i="6" l="1"/>
  <c r="P57" i="6"/>
  <c r="E58" i="6" s="1"/>
  <c r="F58" i="6" s="1"/>
  <c r="G58" i="6" s="1"/>
  <c r="H58" i="6" s="1"/>
  <c r="N58" i="6" s="1"/>
  <c r="O58" i="6" s="1"/>
  <c r="R57" i="5"/>
  <c r="P57" i="5"/>
  <c r="E58" i="5" s="1"/>
  <c r="F58" i="5" s="1"/>
  <c r="G58" i="5" s="1"/>
  <c r="H58" i="5" s="1"/>
  <c r="N58" i="5" s="1"/>
  <c r="O58" i="5" s="1"/>
  <c r="P57" i="4"/>
  <c r="E58" i="4" s="1"/>
  <c r="F58" i="4" s="1"/>
  <c r="G58" i="4" s="1"/>
  <c r="H58" i="4" s="1"/>
  <c r="N58" i="4" s="1"/>
  <c r="O58" i="4" s="1"/>
  <c r="R57" i="4"/>
  <c r="R57" i="3"/>
  <c r="P57" i="3"/>
  <c r="E58" i="3" s="1"/>
  <c r="F58" i="3" s="1"/>
  <c r="G58" i="3" s="1"/>
  <c r="H58" i="3" s="1"/>
  <c r="N58" i="3" s="1"/>
  <c r="O58" i="3" s="1"/>
  <c r="R57" i="2"/>
  <c r="P57" i="2"/>
  <c r="E58" i="2" s="1"/>
  <c r="F58" i="2" s="1"/>
  <c r="G58" i="2" s="1"/>
  <c r="H58" i="2" s="1"/>
  <c r="N58" i="2" s="1"/>
  <c r="O58" i="2" s="1"/>
  <c r="R58" i="6" l="1"/>
  <c r="P58" i="6"/>
  <c r="E59" i="6" s="1"/>
  <c r="F59" i="6" s="1"/>
  <c r="G59" i="6" s="1"/>
  <c r="H59" i="6" s="1"/>
  <c r="N59" i="6" s="1"/>
  <c r="O59" i="6" s="1"/>
  <c r="R58" i="5"/>
  <c r="P58" i="5"/>
  <c r="E59" i="5" s="1"/>
  <c r="F59" i="5" s="1"/>
  <c r="G59" i="5" s="1"/>
  <c r="H59" i="5" s="1"/>
  <c r="N59" i="5" s="1"/>
  <c r="O59" i="5" s="1"/>
  <c r="P58" i="4"/>
  <c r="E59" i="4" s="1"/>
  <c r="F59" i="4" s="1"/>
  <c r="G59" i="4" s="1"/>
  <c r="H59" i="4" s="1"/>
  <c r="N59" i="4" s="1"/>
  <c r="O59" i="4" s="1"/>
  <c r="R58" i="4"/>
  <c r="R58" i="3"/>
  <c r="P58" i="3"/>
  <c r="E59" i="3" s="1"/>
  <c r="F59" i="3" s="1"/>
  <c r="G59" i="3" s="1"/>
  <c r="H59" i="3" s="1"/>
  <c r="N59" i="3" s="1"/>
  <c r="O59" i="3" s="1"/>
  <c r="R58" i="2"/>
  <c r="P58" i="2"/>
  <c r="E59" i="2" s="1"/>
  <c r="F59" i="2" s="1"/>
  <c r="G59" i="2" s="1"/>
  <c r="H59" i="2" s="1"/>
  <c r="N59" i="2" s="1"/>
  <c r="O59" i="2" s="1"/>
  <c r="R59" i="6" l="1"/>
  <c r="P59" i="6"/>
  <c r="E60" i="6" s="1"/>
  <c r="F60" i="6" s="1"/>
  <c r="G60" i="6" s="1"/>
  <c r="H60" i="6" s="1"/>
  <c r="N60" i="6" s="1"/>
  <c r="O60" i="6" s="1"/>
  <c r="R59" i="5"/>
  <c r="P59" i="5"/>
  <c r="E60" i="5" s="1"/>
  <c r="F60" i="5" s="1"/>
  <c r="G60" i="5" s="1"/>
  <c r="H60" i="5" s="1"/>
  <c r="N60" i="5" s="1"/>
  <c r="O60" i="5" s="1"/>
  <c r="R59" i="4"/>
  <c r="P59" i="4"/>
  <c r="E60" i="4" s="1"/>
  <c r="F60" i="4" s="1"/>
  <c r="G60" i="4" s="1"/>
  <c r="H60" i="4" s="1"/>
  <c r="N60" i="4" s="1"/>
  <c r="O60" i="4" s="1"/>
  <c r="R59" i="3"/>
  <c r="P59" i="3"/>
  <c r="E60" i="3" s="1"/>
  <c r="F60" i="3" s="1"/>
  <c r="G60" i="3" s="1"/>
  <c r="H60" i="3" s="1"/>
  <c r="N60" i="3" s="1"/>
  <c r="O60" i="3" s="1"/>
  <c r="R59" i="2"/>
  <c r="P59" i="2"/>
  <c r="E60" i="2" s="1"/>
  <c r="F60" i="2" s="1"/>
  <c r="G60" i="2" s="1"/>
  <c r="H60" i="2" s="1"/>
  <c r="N60" i="2" s="1"/>
  <c r="O60" i="2" s="1"/>
  <c r="R60" i="6" l="1"/>
  <c r="P60" i="6"/>
  <c r="E61" i="6" s="1"/>
  <c r="F61" i="6" s="1"/>
  <c r="G61" i="6" s="1"/>
  <c r="H61" i="6" s="1"/>
  <c r="N61" i="6" s="1"/>
  <c r="O61" i="6" s="1"/>
  <c r="R60" i="5"/>
  <c r="P60" i="5"/>
  <c r="E61" i="5" s="1"/>
  <c r="F61" i="5" s="1"/>
  <c r="G61" i="5" s="1"/>
  <c r="H61" i="5" s="1"/>
  <c r="N61" i="5" s="1"/>
  <c r="O61" i="5" s="1"/>
  <c r="R60" i="4"/>
  <c r="P60" i="4"/>
  <c r="E61" i="4" s="1"/>
  <c r="F61" i="4" s="1"/>
  <c r="G61" i="4" s="1"/>
  <c r="H61" i="4" s="1"/>
  <c r="N61" i="4" s="1"/>
  <c r="O61" i="4" s="1"/>
  <c r="R60" i="3"/>
  <c r="P60" i="3"/>
  <c r="E61" i="3" s="1"/>
  <c r="F61" i="3" s="1"/>
  <c r="G61" i="3" s="1"/>
  <c r="H61" i="3" s="1"/>
  <c r="N61" i="3" s="1"/>
  <c r="O61" i="3" s="1"/>
  <c r="R60" i="2"/>
  <c r="P60" i="2"/>
  <c r="E61" i="2" s="1"/>
  <c r="F61" i="2" s="1"/>
  <c r="G61" i="2" s="1"/>
  <c r="H61" i="2" s="1"/>
  <c r="N61" i="2" s="1"/>
  <c r="O61" i="2" s="1"/>
  <c r="R61" i="6" l="1"/>
  <c r="P61" i="6"/>
  <c r="E62" i="6" s="1"/>
  <c r="F62" i="6" s="1"/>
  <c r="G62" i="6" s="1"/>
  <c r="H62" i="6" s="1"/>
  <c r="N62" i="6" s="1"/>
  <c r="O62" i="6" s="1"/>
  <c r="R61" i="5"/>
  <c r="P61" i="5"/>
  <c r="E62" i="5" s="1"/>
  <c r="F62" i="5" s="1"/>
  <c r="G62" i="5" s="1"/>
  <c r="H62" i="5" s="1"/>
  <c r="N62" i="5" s="1"/>
  <c r="O62" i="5" s="1"/>
  <c r="R61" i="4"/>
  <c r="P61" i="4"/>
  <c r="E62" i="4" s="1"/>
  <c r="F62" i="4" s="1"/>
  <c r="G62" i="4" s="1"/>
  <c r="H62" i="4" s="1"/>
  <c r="N62" i="4" s="1"/>
  <c r="O62" i="4" s="1"/>
  <c r="P61" i="3"/>
  <c r="E62" i="3" s="1"/>
  <c r="F62" i="3" s="1"/>
  <c r="G62" i="3" s="1"/>
  <c r="H62" i="3" s="1"/>
  <c r="N62" i="3" s="1"/>
  <c r="O62" i="3" s="1"/>
  <c r="R61" i="3"/>
  <c r="R61" i="2"/>
  <c r="P61" i="2"/>
  <c r="E62" i="2" s="1"/>
  <c r="F62" i="2" s="1"/>
  <c r="G62" i="2" s="1"/>
  <c r="H62" i="2" s="1"/>
  <c r="N62" i="2" s="1"/>
  <c r="O62" i="2" s="1"/>
  <c r="R62" i="6" l="1"/>
  <c r="P62" i="6"/>
  <c r="E63" i="6" s="1"/>
  <c r="F63" i="6" s="1"/>
  <c r="G63" i="6" s="1"/>
  <c r="H63" i="6" s="1"/>
  <c r="N63" i="6" s="1"/>
  <c r="O63" i="6" s="1"/>
  <c r="R62" i="5"/>
  <c r="P62" i="5"/>
  <c r="E63" i="5" s="1"/>
  <c r="F63" i="5" s="1"/>
  <c r="G63" i="5" s="1"/>
  <c r="H63" i="5" s="1"/>
  <c r="N63" i="5" s="1"/>
  <c r="O63" i="5" s="1"/>
  <c r="R62" i="4"/>
  <c r="P62" i="4"/>
  <c r="E63" i="4" s="1"/>
  <c r="F63" i="4" s="1"/>
  <c r="G63" i="4" s="1"/>
  <c r="H63" i="4" s="1"/>
  <c r="N63" i="4" s="1"/>
  <c r="O63" i="4" s="1"/>
  <c r="P62" i="3"/>
  <c r="E63" i="3" s="1"/>
  <c r="F63" i="3" s="1"/>
  <c r="G63" i="3" s="1"/>
  <c r="H63" i="3" s="1"/>
  <c r="N63" i="3" s="1"/>
  <c r="O63" i="3" s="1"/>
  <c r="R62" i="3"/>
  <c r="R62" i="2"/>
  <c r="P62" i="2"/>
  <c r="E63" i="2" s="1"/>
  <c r="F63" i="2" s="1"/>
  <c r="G63" i="2" s="1"/>
  <c r="H63" i="2" s="1"/>
  <c r="N63" i="2" s="1"/>
  <c r="O63" i="2" s="1"/>
  <c r="R63" i="6" l="1"/>
  <c r="P63" i="6"/>
  <c r="E64" i="6" s="1"/>
  <c r="F64" i="6" s="1"/>
  <c r="G64" i="6" s="1"/>
  <c r="H64" i="6" s="1"/>
  <c r="N64" i="6" s="1"/>
  <c r="O64" i="6" s="1"/>
  <c r="R63" i="5"/>
  <c r="P63" i="5"/>
  <c r="E64" i="5" s="1"/>
  <c r="F64" i="5" s="1"/>
  <c r="G64" i="5" s="1"/>
  <c r="H64" i="5" s="1"/>
  <c r="N64" i="5" s="1"/>
  <c r="O64" i="5" s="1"/>
  <c r="R63" i="4"/>
  <c r="P63" i="4"/>
  <c r="E64" i="4" s="1"/>
  <c r="F64" i="4" s="1"/>
  <c r="G64" i="4" s="1"/>
  <c r="H64" i="4" s="1"/>
  <c r="N64" i="4" s="1"/>
  <c r="O64" i="4" s="1"/>
  <c r="P63" i="3"/>
  <c r="E64" i="3" s="1"/>
  <c r="F64" i="3" s="1"/>
  <c r="G64" i="3" s="1"/>
  <c r="H64" i="3" s="1"/>
  <c r="N64" i="3" s="1"/>
  <c r="O64" i="3" s="1"/>
  <c r="R63" i="3"/>
  <c r="R63" i="2"/>
  <c r="P63" i="2"/>
  <c r="E64" i="2" s="1"/>
  <c r="F64" i="2" s="1"/>
  <c r="G64" i="2" s="1"/>
  <c r="H64" i="2" s="1"/>
  <c r="N64" i="2" s="1"/>
  <c r="O64" i="2" s="1"/>
  <c r="R64" i="6" l="1"/>
  <c r="P64" i="6"/>
  <c r="E65" i="6" s="1"/>
  <c r="F65" i="6" s="1"/>
  <c r="G65" i="6" s="1"/>
  <c r="H65" i="6" s="1"/>
  <c r="N65" i="6" s="1"/>
  <c r="O65" i="6" s="1"/>
  <c r="R64" i="5"/>
  <c r="P64" i="5"/>
  <c r="E65" i="5" s="1"/>
  <c r="F65" i="5" s="1"/>
  <c r="G65" i="5" s="1"/>
  <c r="H65" i="5" s="1"/>
  <c r="N65" i="5" s="1"/>
  <c r="O65" i="5" s="1"/>
  <c r="R64" i="4"/>
  <c r="P64" i="4"/>
  <c r="E65" i="4" s="1"/>
  <c r="F65" i="4" s="1"/>
  <c r="G65" i="4" s="1"/>
  <c r="H65" i="4" s="1"/>
  <c r="N65" i="4" s="1"/>
  <c r="O65" i="4" s="1"/>
  <c r="P64" i="3"/>
  <c r="E65" i="3" s="1"/>
  <c r="F65" i="3" s="1"/>
  <c r="G65" i="3" s="1"/>
  <c r="H65" i="3" s="1"/>
  <c r="N65" i="3" s="1"/>
  <c r="O65" i="3" s="1"/>
  <c r="R64" i="3"/>
  <c r="R64" i="2"/>
  <c r="P64" i="2"/>
  <c r="E65" i="2" s="1"/>
  <c r="F65" i="2" s="1"/>
  <c r="G65" i="2" s="1"/>
  <c r="H65" i="2" s="1"/>
  <c r="N65" i="2" s="1"/>
  <c r="O65" i="2" s="1"/>
  <c r="R65" i="6" l="1"/>
  <c r="P65" i="6"/>
  <c r="E66" i="6" s="1"/>
  <c r="F66" i="6" s="1"/>
  <c r="G66" i="6" s="1"/>
  <c r="H66" i="6" s="1"/>
  <c r="N66" i="6" s="1"/>
  <c r="O66" i="6" s="1"/>
  <c r="R65" i="5"/>
  <c r="P65" i="5"/>
  <c r="E66" i="5" s="1"/>
  <c r="F66" i="5" s="1"/>
  <c r="G66" i="5" s="1"/>
  <c r="H66" i="5" s="1"/>
  <c r="N66" i="5" s="1"/>
  <c r="O66" i="5" s="1"/>
  <c r="R65" i="4"/>
  <c r="P65" i="4"/>
  <c r="E66" i="4" s="1"/>
  <c r="F66" i="4" s="1"/>
  <c r="G66" i="4" s="1"/>
  <c r="H66" i="4" s="1"/>
  <c r="N66" i="4" s="1"/>
  <c r="O66" i="4" s="1"/>
  <c r="P65" i="3"/>
  <c r="E66" i="3" s="1"/>
  <c r="F66" i="3" s="1"/>
  <c r="G66" i="3" s="1"/>
  <c r="H66" i="3" s="1"/>
  <c r="N66" i="3" s="1"/>
  <c r="O66" i="3" s="1"/>
  <c r="R65" i="3"/>
  <c r="P65" i="2"/>
  <c r="E66" i="2" s="1"/>
  <c r="F66" i="2" s="1"/>
  <c r="G66" i="2" s="1"/>
  <c r="H66" i="2" s="1"/>
  <c r="N66" i="2" s="1"/>
  <c r="O66" i="2" s="1"/>
  <c r="R65" i="2"/>
  <c r="R66" i="6" l="1"/>
  <c r="P66" i="6"/>
  <c r="E67" i="6" s="1"/>
  <c r="F67" i="6" s="1"/>
  <c r="G67" i="6" s="1"/>
  <c r="H67" i="6" s="1"/>
  <c r="N67" i="6" s="1"/>
  <c r="O67" i="6" s="1"/>
  <c r="R66" i="5"/>
  <c r="P66" i="5"/>
  <c r="E67" i="5" s="1"/>
  <c r="F67" i="5" s="1"/>
  <c r="G67" i="5" s="1"/>
  <c r="H67" i="5" s="1"/>
  <c r="N67" i="5" s="1"/>
  <c r="O67" i="5" s="1"/>
  <c r="R66" i="4"/>
  <c r="P66" i="4"/>
  <c r="E67" i="4" s="1"/>
  <c r="F67" i="4" s="1"/>
  <c r="G67" i="4" s="1"/>
  <c r="H67" i="4" s="1"/>
  <c r="N67" i="4" s="1"/>
  <c r="O67" i="4" s="1"/>
  <c r="P66" i="3"/>
  <c r="E67" i="3" s="1"/>
  <c r="F67" i="3" s="1"/>
  <c r="G67" i="3" s="1"/>
  <c r="H67" i="3" s="1"/>
  <c r="N67" i="3" s="1"/>
  <c r="O67" i="3" s="1"/>
  <c r="R66" i="3"/>
  <c r="P66" i="2"/>
  <c r="E67" i="2" s="1"/>
  <c r="F67" i="2" s="1"/>
  <c r="G67" i="2" s="1"/>
  <c r="H67" i="2" s="1"/>
  <c r="N67" i="2" s="1"/>
  <c r="O67" i="2" s="1"/>
  <c r="R66" i="2"/>
  <c r="R67" i="6" l="1"/>
  <c r="P67" i="6"/>
  <c r="E68" i="6" s="1"/>
  <c r="F68" i="6" s="1"/>
  <c r="G68" i="6" s="1"/>
  <c r="H68" i="6" s="1"/>
  <c r="N68" i="6" s="1"/>
  <c r="O68" i="6" s="1"/>
  <c r="R67" i="5"/>
  <c r="P67" i="5"/>
  <c r="E68" i="5" s="1"/>
  <c r="F68" i="5" s="1"/>
  <c r="G68" i="5" s="1"/>
  <c r="H68" i="5" s="1"/>
  <c r="N68" i="5" s="1"/>
  <c r="O68" i="5" s="1"/>
  <c r="R67" i="4"/>
  <c r="P67" i="4"/>
  <c r="E68" i="4" s="1"/>
  <c r="F68" i="4" s="1"/>
  <c r="G68" i="4" s="1"/>
  <c r="H68" i="4" s="1"/>
  <c r="N68" i="4" s="1"/>
  <c r="O68" i="4" s="1"/>
  <c r="P67" i="3"/>
  <c r="E68" i="3" s="1"/>
  <c r="F68" i="3" s="1"/>
  <c r="G68" i="3" s="1"/>
  <c r="H68" i="3" s="1"/>
  <c r="N68" i="3" s="1"/>
  <c r="O68" i="3" s="1"/>
  <c r="R67" i="3"/>
  <c r="P67" i="2"/>
  <c r="E68" i="2" s="1"/>
  <c r="F68" i="2" s="1"/>
  <c r="G68" i="2" s="1"/>
  <c r="H68" i="2" s="1"/>
  <c r="N68" i="2" s="1"/>
  <c r="O68" i="2" s="1"/>
  <c r="R67" i="2"/>
  <c r="R68" i="6" l="1"/>
  <c r="P68" i="6"/>
  <c r="E69" i="6" s="1"/>
  <c r="F69" i="6" s="1"/>
  <c r="G69" i="6" s="1"/>
  <c r="H69" i="6" s="1"/>
  <c r="N69" i="6" s="1"/>
  <c r="O69" i="6" s="1"/>
  <c r="R68" i="5"/>
  <c r="P68" i="5"/>
  <c r="E69" i="5" s="1"/>
  <c r="F69" i="5" s="1"/>
  <c r="G69" i="5" s="1"/>
  <c r="H69" i="5" s="1"/>
  <c r="N69" i="5" s="1"/>
  <c r="O69" i="5" s="1"/>
  <c r="R68" i="4"/>
  <c r="P68" i="4"/>
  <c r="E69" i="4" s="1"/>
  <c r="F69" i="4" s="1"/>
  <c r="G69" i="4" s="1"/>
  <c r="H69" i="4" s="1"/>
  <c r="N69" i="4" s="1"/>
  <c r="O69" i="4" s="1"/>
  <c r="P68" i="3"/>
  <c r="E69" i="3" s="1"/>
  <c r="F69" i="3" s="1"/>
  <c r="G69" i="3" s="1"/>
  <c r="H69" i="3" s="1"/>
  <c r="N69" i="3" s="1"/>
  <c r="O69" i="3" s="1"/>
  <c r="R68" i="3"/>
  <c r="P68" i="2"/>
  <c r="E69" i="2" s="1"/>
  <c r="F69" i="2" s="1"/>
  <c r="G69" i="2" s="1"/>
  <c r="H69" i="2" s="1"/>
  <c r="N69" i="2" s="1"/>
  <c r="O69" i="2" s="1"/>
  <c r="R68" i="2"/>
  <c r="R69" i="6" l="1"/>
  <c r="P69" i="6"/>
  <c r="E70" i="6" s="1"/>
  <c r="F70" i="6" s="1"/>
  <c r="G70" i="6" s="1"/>
  <c r="H70" i="6" s="1"/>
  <c r="N70" i="6" s="1"/>
  <c r="O70" i="6" s="1"/>
  <c r="R69" i="5"/>
  <c r="P69" i="5"/>
  <c r="E70" i="5" s="1"/>
  <c r="F70" i="5" s="1"/>
  <c r="G70" i="5" s="1"/>
  <c r="H70" i="5" s="1"/>
  <c r="N70" i="5" s="1"/>
  <c r="O70" i="5" s="1"/>
  <c r="R69" i="4"/>
  <c r="P69" i="4"/>
  <c r="E70" i="4" s="1"/>
  <c r="F70" i="4" s="1"/>
  <c r="G70" i="4" s="1"/>
  <c r="H70" i="4" s="1"/>
  <c r="N70" i="4" s="1"/>
  <c r="O70" i="4" s="1"/>
  <c r="P69" i="3"/>
  <c r="E70" i="3" s="1"/>
  <c r="F70" i="3" s="1"/>
  <c r="G70" i="3" s="1"/>
  <c r="H70" i="3" s="1"/>
  <c r="N70" i="3" s="1"/>
  <c r="O70" i="3" s="1"/>
  <c r="R69" i="3"/>
  <c r="P69" i="2"/>
  <c r="E70" i="2" s="1"/>
  <c r="F70" i="2" s="1"/>
  <c r="G70" i="2" s="1"/>
  <c r="H70" i="2" s="1"/>
  <c r="N70" i="2" s="1"/>
  <c r="O70" i="2" s="1"/>
  <c r="R69" i="2"/>
  <c r="R70" i="6" l="1"/>
  <c r="P70" i="6"/>
  <c r="E71" i="6" s="1"/>
  <c r="F71" i="6" s="1"/>
  <c r="G71" i="6" s="1"/>
  <c r="H71" i="6" s="1"/>
  <c r="N71" i="6" s="1"/>
  <c r="O71" i="6" s="1"/>
  <c r="R70" i="5"/>
  <c r="P70" i="5"/>
  <c r="E71" i="5" s="1"/>
  <c r="F71" i="5" s="1"/>
  <c r="G71" i="5" s="1"/>
  <c r="H71" i="5" s="1"/>
  <c r="N71" i="5" s="1"/>
  <c r="O71" i="5" s="1"/>
  <c r="R70" i="4"/>
  <c r="P70" i="4"/>
  <c r="E71" i="4" s="1"/>
  <c r="F71" i="4" s="1"/>
  <c r="G71" i="4" s="1"/>
  <c r="H71" i="4" s="1"/>
  <c r="N71" i="4" s="1"/>
  <c r="O71" i="4" s="1"/>
  <c r="P70" i="3"/>
  <c r="E71" i="3" s="1"/>
  <c r="F71" i="3" s="1"/>
  <c r="G71" i="3" s="1"/>
  <c r="H71" i="3" s="1"/>
  <c r="N71" i="3" s="1"/>
  <c r="O71" i="3" s="1"/>
  <c r="R70" i="3"/>
  <c r="P70" i="2"/>
  <c r="E71" i="2" s="1"/>
  <c r="F71" i="2" s="1"/>
  <c r="G71" i="2" s="1"/>
  <c r="H71" i="2" s="1"/>
  <c r="N71" i="2" s="1"/>
  <c r="O71" i="2" s="1"/>
  <c r="R70" i="2"/>
  <c r="R71" i="6" l="1"/>
  <c r="P71" i="6"/>
  <c r="E72" i="6" s="1"/>
  <c r="F72" i="6" s="1"/>
  <c r="G72" i="6" s="1"/>
  <c r="H72" i="6" s="1"/>
  <c r="N72" i="6" s="1"/>
  <c r="O72" i="6" s="1"/>
  <c r="R71" i="5"/>
  <c r="P71" i="5"/>
  <c r="E72" i="5" s="1"/>
  <c r="F72" i="5" s="1"/>
  <c r="G72" i="5" s="1"/>
  <c r="H72" i="5" s="1"/>
  <c r="N72" i="5" s="1"/>
  <c r="O72" i="5" s="1"/>
  <c r="R71" i="4"/>
  <c r="P71" i="4"/>
  <c r="E72" i="4" s="1"/>
  <c r="F72" i="4" s="1"/>
  <c r="G72" i="4" s="1"/>
  <c r="H72" i="4" s="1"/>
  <c r="N72" i="4" s="1"/>
  <c r="O72" i="4" s="1"/>
  <c r="P71" i="3"/>
  <c r="E72" i="3" s="1"/>
  <c r="F72" i="3" s="1"/>
  <c r="G72" i="3" s="1"/>
  <c r="H72" i="3" s="1"/>
  <c r="N72" i="3" s="1"/>
  <c r="O72" i="3" s="1"/>
  <c r="R71" i="3"/>
  <c r="P71" i="2"/>
  <c r="E72" i="2" s="1"/>
  <c r="F72" i="2" s="1"/>
  <c r="G72" i="2" s="1"/>
  <c r="H72" i="2" s="1"/>
  <c r="N72" i="2" s="1"/>
  <c r="O72" i="2" s="1"/>
  <c r="R71" i="2"/>
  <c r="R72" i="6" l="1"/>
  <c r="P72" i="6"/>
  <c r="E73" i="6" s="1"/>
  <c r="F73" i="6" s="1"/>
  <c r="G73" i="6" s="1"/>
  <c r="H73" i="6" s="1"/>
  <c r="N73" i="6" s="1"/>
  <c r="O73" i="6" s="1"/>
  <c r="R72" i="5"/>
  <c r="P72" i="5"/>
  <c r="E73" i="5" s="1"/>
  <c r="F73" i="5" s="1"/>
  <c r="G73" i="5" s="1"/>
  <c r="H73" i="5" s="1"/>
  <c r="N73" i="5" s="1"/>
  <c r="O73" i="5" s="1"/>
  <c r="R72" i="4"/>
  <c r="P72" i="4"/>
  <c r="E73" i="4" s="1"/>
  <c r="F73" i="4" s="1"/>
  <c r="G73" i="4" s="1"/>
  <c r="H73" i="4" s="1"/>
  <c r="N73" i="4" s="1"/>
  <c r="O73" i="4" s="1"/>
  <c r="P72" i="3"/>
  <c r="E73" i="3" s="1"/>
  <c r="F73" i="3" s="1"/>
  <c r="G73" i="3" s="1"/>
  <c r="H73" i="3" s="1"/>
  <c r="N73" i="3" s="1"/>
  <c r="O73" i="3" s="1"/>
  <c r="R72" i="3"/>
  <c r="P72" i="2"/>
  <c r="E73" i="2" s="1"/>
  <c r="F73" i="2" s="1"/>
  <c r="G73" i="2" s="1"/>
  <c r="H73" i="2" s="1"/>
  <c r="N73" i="2" s="1"/>
  <c r="O73" i="2" s="1"/>
  <c r="R72" i="2"/>
  <c r="R73" i="6" l="1"/>
  <c r="P73" i="6"/>
  <c r="E74" i="6" s="1"/>
  <c r="F74" i="6" s="1"/>
  <c r="G74" i="6" s="1"/>
  <c r="H74" i="6" s="1"/>
  <c r="N74" i="6" s="1"/>
  <c r="O74" i="6" s="1"/>
  <c r="R73" i="5"/>
  <c r="P73" i="5"/>
  <c r="E74" i="5" s="1"/>
  <c r="F74" i="5" s="1"/>
  <c r="G74" i="5" s="1"/>
  <c r="H74" i="5" s="1"/>
  <c r="N74" i="5" s="1"/>
  <c r="O74" i="5" s="1"/>
  <c r="R73" i="4"/>
  <c r="P73" i="4"/>
  <c r="E74" i="4" s="1"/>
  <c r="F74" i="4" s="1"/>
  <c r="G74" i="4" s="1"/>
  <c r="H74" i="4" s="1"/>
  <c r="N74" i="4" s="1"/>
  <c r="O74" i="4" s="1"/>
  <c r="P73" i="3"/>
  <c r="E74" i="3" s="1"/>
  <c r="F74" i="3" s="1"/>
  <c r="G74" i="3" s="1"/>
  <c r="H74" i="3" s="1"/>
  <c r="N74" i="3" s="1"/>
  <c r="O74" i="3" s="1"/>
  <c r="R73" i="3"/>
  <c r="P73" i="2"/>
  <c r="E74" i="2" s="1"/>
  <c r="F74" i="2" s="1"/>
  <c r="G74" i="2" s="1"/>
  <c r="H74" i="2" s="1"/>
  <c r="N74" i="2" s="1"/>
  <c r="O74" i="2" s="1"/>
  <c r="R73" i="2"/>
  <c r="R74" i="6" l="1"/>
  <c r="P74" i="6"/>
  <c r="E75" i="6" s="1"/>
  <c r="F75" i="6" s="1"/>
  <c r="G75" i="6" s="1"/>
  <c r="H75" i="6" s="1"/>
  <c r="N75" i="6" s="1"/>
  <c r="O75" i="6" s="1"/>
  <c r="R74" i="5"/>
  <c r="P74" i="5"/>
  <c r="E75" i="5" s="1"/>
  <c r="F75" i="5" s="1"/>
  <c r="G75" i="5" s="1"/>
  <c r="H75" i="5" s="1"/>
  <c r="N75" i="5" s="1"/>
  <c r="O75" i="5" s="1"/>
  <c r="R74" i="4"/>
  <c r="P74" i="4"/>
  <c r="E75" i="4" s="1"/>
  <c r="F75" i="4" s="1"/>
  <c r="G75" i="4" s="1"/>
  <c r="H75" i="4" s="1"/>
  <c r="N75" i="4" s="1"/>
  <c r="O75" i="4" s="1"/>
  <c r="P74" i="3"/>
  <c r="E75" i="3" s="1"/>
  <c r="F75" i="3" s="1"/>
  <c r="G75" i="3" s="1"/>
  <c r="H75" i="3" s="1"/>
  <c r="N75" i="3" s="1"/>
  <c r="O75" i="3" s="1"/>
  <c r="R74" i="3"/>
  <c r="P74" i="2"/>
  <c r="E75" i="2" s="1"/>
  <c r="F75" i="2" s="1"/>
  <c r="G75" i="2" s="1"/>
  <c r="H75" i="2" s="1"/>
  <c r="N75" i="2" s="1"/>
  <c r="O75" i="2" s="1"/>
  <c r="R74" i="2"/>
  <c r="R75" i="6" l="1"/>
  <c r="P75" i="6"/>
  <c r="E76" i="6" s="1"/>
  <c r="F76" i="6" s="1"/>
  <c r="G76" i="6" s="1"/>
  <c r="H76" i="6" s="1"/>
  <c r="N76" i="6" s="1"/>
  <c r="O76" i="6" s="1"/>
  <c r="R75" i="5"/>
  <c r="P75" i="5"/>
  <c r="E76" i="5" s="1"/>
  <c r="F76" i="5" s="1"/>
  <c r="G76" i="5" s="1"/>
  <c r="H76" i="5" s="1"/>
  <c r="N76" i="5" s="1"/>
  <c r="O76" i="5" s="1"/>
  <c r="R75" i="4"/>
  <c r="P75" i="4"/>
  <c r="E76" i="4" s="1"/>
  <c r="F76" i="4" s="1"/>
  <c r="G76" i="4" s="1"/>
  <c r="H76" i="4" s="1"/>
  <c r="N76" i="4" s="1"/>
  <c r="O76" i="4" s="1"/>
  <c r="P75" i="3"/>
  <c r="E76" i="3" s="1"/>
  <c r="F76" i="3" s="1"/>
  <c r="G76" i="3" s="1"/>
  <c r="H76" i="3" s="1"/>
  <c r="N76" i="3" s="1"/>
  <c r="O76" i="3" s="1"/>
  <c r="R75" i="3"/>
  <c r="P75" i="2"/>
  <c r="E76" i="2" s="1"/>
  <c r="F76" i="2" s="1"/>
  <c r="G76" i="2" s="1"/>
  <c r="H76" i="2" s="1"/>
  <c r="N76" i="2" s="1"/>
  <c r="O76" i="2" s="1"/>
  <c r="R75" i="2"/>
  <c r="R76" i="6" l="1"/>
  <c r="P76" i="6"/>
  <c r="E77" i="6" s="1"/>
  <c r="F77" i="6" s="1"/>
  <c r="G77" i="6" s="1"/>
  <c r="H77" i="6" s="1"/>
  <c r="N77" i="6" s="1"/>
  <c r="O77" i="6" s="1"/>
  <c r="R76" i="5"/>
  <c r="P76" i="5"/>
  <c r="E77" i="5" s="1"/>
  <c r="F77" i="5" s="1"/>
  <c r="G77" i="5" s="1"/>
  <c r="H77" i="5" s="1"/>
  <c r="N77" i="5" s="1"/>
  <c r="O77" i="5" s="1"/>
  <c r="R76" i="4"/>
  <c r="P76" i="4"/>
  <c r="E77" i="4" s="1"/>
  <c r="F77" i="4" s="1"/>
  <c r="G77" i="4" s="1"/>
  <c r="H77" i="4" s="1"/>
  <c r="N77" i="4" s="1"/>
  <c r="O77" i="4" s="1"/>
  <c r="P76" i="3"/>
  <c r="E77" i="3" s="1"/>
  <c r="F77" i="3" s="1"/>
  <c r="G77" i="3" s="1"/>
  <c r="H77" i="3" s="1"/>
  <c r="N77" i="3" s="1"/>
  <c r="O77" i="3" s="1"/>
  <c r="R76" i="3"/>
  <c r="P76" i="2"/>
  <c r="E77" i="2" s="1"/>
  <c r="F77" i="2" s="1"/>
  <c r="G77" i="2" s="1"/>
  <c r="H77" i="2" s="1"/>
  <c r="N77" i="2" s="1"/>
  <c r="O77" i="2" s="1"/>
  <c r="R76" i="2"/>
  <c r="R77" i="6" l="1"/>
  <c r="P77" i="6"/>
  <c r="E78" i="6" s="1"/>
  <c r="F78" i="6" s="1"/>
  <c r="G78" i="6" s="1"/>
  <c r="H78" i="6" s="1"/>
  <c r="N78" i="6" s="1"/>
  <c r="O78" i="6" s="1"/>
  <c r="R77" i="5"/>
  <c r="P77" i="5"/>
  <c r="E78" i="5" s="1"/>
  <c r="F78" i="5" s="1"/>
  <c r="G78" i="5" s="1"/>
  <c r="H78" i="5" s="1"/>
  <c r="N78" i="5" s="1"/>
  <c r="O78" i="5" s="1"/>
  <c r="R77" i="4"/>
  <c r="P77" i="4"/>
  <c r="E78" i="4" s="1"/>
  <c r="F78" i="4" s="1"/>
  <c r="G78" i="4" s="1"/>
  <c r="H78" i="4" s="1"/>
  <c r="N78" i="4" s="1"/>
  <c r="O78" i="4" s="1"/>
  <c r="P77" i="3"/>
  <c r="E78" i="3" s="1"/>
  <c r="F78" i="3" s="1"/>
  <c r="G78" i="3" s="1"/>
  <c r="H78" i="3" s="1"/>
  <c r="N78" i="3" s="1"/>
  <c r="O78" i="3" s="1"/>
  <c r="R77" i="3"/>
  <c r="P77" i="2"/>
  <c r="E78" i="2" s="1"/>
  <c r="F78" i="2" s="1"/>
  <c r="G78" i="2" s="1"/>
  <c r="H78" i="2" s="1"/>
  <c r="N78" i="2" s="1"/>
  <c r="O78" i="2" s="1"/>
  <c r="R77" i="2"/>
  <c r="R78" i="6" l="1"/>
  <c r="P78" i="6"/>
  <c r="E79" i="6" s="1"/>
  <c r="F79" i="6" s="1"/>
  <c r="G79" i="6" s="1"/>
  <c r="H79" i="6" s="1"/>
  <c r="N79" i="6" s="1"/>
  <c r="O79" i="6" s="1"/>
  <c r="R78" i="5"/>
  <c r="P78" i="5"/>
  <c r="E79" i="5" s="1"/>
  <c r="F79" i="5" s="1"/>
  <c r="G79" i="5" s="1"/>
  <c r="H79" i="5" s="1"/>
  <c r="N79" i="5" s="1"/>
  <c r="O79" i="5" s="1"/>
  <c r="R78" i="4"/>
  <c r="P78" i="4"/>
  <c r="E79" i="4" s="1"/>
  <c r="F79" i="4" s="1"/>
  <c r="G79" i="4" s="1"/>
  <c r="H79" i="4" s="1"/>
  <c r="N79" i="4" s="1"/>
  <c r="O79" i="4" s="1"/>
  <c r="P78" i="3"/>
  <c r="E79" i="3" s="1"/>
  <c r="F79" i="3" s="1"/>
  <c r="G79" i="3" s="1"/>
  <c r="H79" i="3" s="1"/>
  <c r="N79" i="3" s="1"/>
  <c r="O79" i="3" s="1"/>
  <c r="R78" i="3"/>
  <c r="P78" i="2"/>
  <c r="E79" i="2" s="1"/>
  <c r="F79" i="2" s="1"/>
  <c r="G79" i="2" s="1"/>
  <c r="H79" i="2" s="1"/>
  <c r="N79" i="2" s="1"/>
  <c r="O79" i="2" s="1"/>
  <c r="R78" i="2"/>
  <c r="R79" i="6" l="1"/>
  <c r="P79" i="6"/>
  <c r="E80" i="6" s="1"/>
  <c r="F80" i="6" s="1"/>
  <c r="G80" i="6" s="1"/>
  <c r="H80" i="6" s="1"/>
  <c r="N80" i="6" s="1"/>
  <c r="O80" i="6" s="1"/>
  <c r="R79" i="5"/>
  <c r="P79" i="5"/>
  <c r="E80" i="5" s="1"/>
  <c r="F80" i="5" s="1"/>
  <c r="G80" i="5" s="1"/>
  <c r="H80" i="5" s="1"/>
  <c r="N80" i="5" s="1"/>
  <c r="O80" i="5" s="1"/>
  <c r="R79" i="4"/>
  <c r="P79" i="4"/>
  <c r="E80" i="4" s="1"/>
  <c r="F80" i="4" s="1"/>
  <c r="G80" i="4" s="1"/>
  <c r="H80" i="4" s="1"/>
  <c r="N80" i="4" s="1"/>
  <c r="O80" i="4" s="1"/>
  <c r="P79" i="3"/>
  <c r="E80" i="3" s="1"/>
  <c r="F80" i="3" s="1"/>
  <c r="G80" i="3" s="1"/>
  <c r="H80" i="3" s="1"/>
  <c r="N80" i="3" s="1"/>
  <c r="O80" i="3" s="1"/>
  <c r="R79" i="3"/>
  <c r="P79" i="2"/>
  <c r="E80" i="2" s="1"/>
  <c r="F80" i="2" s="1"/>
  <c r="G80" i="2" s="1"/>
  <c r="H80" i="2" s="1"/>
  <c r="N80" i="2" s="1"/>
  <c r="O80" i="2" s="1"/>
  <c r="R79" i="2"/>
  <c r="R80" i="6" l="1"/>
  <c r="P80" i="6"/>
  <c r="E81" i="6" s="1"/>
  <c r="F81" i="6" s="1"/>
  <c r="G81" i="6" s="1"/>
  <c r="H81" i="6" s="1"/>
  <c r="N81" i="6" s="1"/>
  <c r="O81" i="6" s="1"/>
  <c r="R80" i="5"/>
  <c r="P80" i="5"/>
  <c r="E81" i="5" s="1"/>
  <c r="F81" i="5" s="1"/>
  <c r="G81" i="5" s="1"/>
  <c r="H81" i="5" s="1"/>
  <c r="N81" i="5" s="1"/>
  <c r="O81" i="5" s="1"/>
  <c r="R80" i="4"/>
  <c r="P80" i="4"/>
  <c r="E81" i="4" s="1"/>
  <c r="F81" i="4" s="1"/>
  <c r="G81" i="4" s="1"/>
  <c r="H81" i="4" s="1"/>
  <c r="N81" i="4" s="1"/>
  <c r="O81" i="4" s="1"/>
  <c r="P80" i="3"/>
  <c r="E81" i="3" s="1"/>
  <c r="F81" i="3" s="1"/>
  <c r="G81" i="3" s="1"/>
  <c r="H81" i="3" s="1"/>
  <c r="N81" i="3" s="1"/>
  <c r="O81" i="3" s="1"/>
  <c r="R80" i="3"/>
  <c r="P80" i="2"/>
  <c r="E81" i="2" s="1"/>
  <c r="F81" i="2" s="1"/>
  <c r="G81" i="2" s="1"/>
  <c r="H81" i="2" s="1"/>
  <c r="N81" i="2" s="1"/>
  <c r="O81" i="2" s="1"/>
  <c r="R80" i="2"/>
  <c r="R81" i="6" l="1"/>
  <c r="P81" i="6"/>
  <c r="E82" i="6" s="1"/>
  <c r="F82" i="6" s="1"/>
  <c r="G82" i="6" s="1"/>
  <c r="H82" i="6" s="1"/>
  <c r="N82" i="6" s="1"/>
  <c r="O82" i="6" s="1"/>
  <c r="R81" i="5"/>
  <c r="P81" i="5"/>
  <c r="E82" i="5" s="1"/>
  <c r="F82" i="5" s="1"/>
  <c r="G82" i="5" s="1"/>
  <c r="H82" i="5" s="1"/>
  <c r="N82" i="5" s="1"/>
  <c r="O82" i="5" s="1"/>
  <c r="R81" i="4"/>
  <c r="P81" i="4"/>
  <c r="E82" i="4" s="1"/>
  <c r="F82" i="4" s="1"/>
  <c r="G82" i="4" s="1"/>
  <c r="H82" i="4" s="1"/>
  <c r="N82" i="4" s="1"/>
  <c r="O82" i="4" s="1"/>
  <c r="P81" i="3"/>
  <c r="E82" i="3" s="1"/>
  <c r="F82" i="3" s="1"/>
  <c r="G82" i="3" s="1"/>
  <c r="H82" i="3" s="1"/>
  <c r="N82" i="3" s="1"/>
  <c r="O82" i="3" s="1"/>
  <c r="R81" i="3"/>
  <c r="P81" i="2"/>
  <c r="E82" i="2" s="1"/>
  <c r="F82" i="2" s="1"/>
  <c r="G82" i="2" s="1"/>
  <c r="H82" i="2" s="1"/>
  <c r="N82" i="2" s="1"/>
  <c r="O82" i="2" s="1"/>
  <c r="R81" i="2"/>
  <c r="R82" i="6" l="1"/>
  <c r="P82" i="6"/>
  <c r="E83" i="6" s="1"/>
  <c r="F83" i="6" s="1"/>
  <c r="G83" i="6" s="1"/>
  <c r="H83" i="6" s="1"/>
  <c r="N83" i="6" s="1"/>
  <c r="O83" i="6" s="1"/>
  <c r="R82" i="5"/>
  <c r="P82" i="5"/>
  <c r="E83" i="5" s="1"/>
  <c r="F83" i="5" s="1"/>
  <c r="G83" i="5" s="1"/>
  <c r="H83" i="5" s="1"/>
  <c r="N83" i="5" s="1"/>
  <c r="O83" i="5" s="1"/>
  <c r="R82" i="4"/>
  <c r="P82" i="4"/>
  <c r="E83" i="4" s="1"/>
  <c r="F83" i="4" s="1"/>
  <c r="G83" i="4" s="1"/>
  <c r="H83" i="4" s="1"/>
  <c r="N83" i="4" s="1"/>
  <c r="O83" i="4" s="1"/>
  <c r="P82" i="3"/>
  <c r="E83" i="3" s="1"/>
  <c r="F83" i="3" s="1"/>
  <c r="G83" i="3" s="1"/>
  <c r="H83" i="3" s="1"/>
  <c r="N83" i="3" s="1"/>
  <c r="O83" i="3" s="1"/>
  <c r="R82" i="3"/>
  <c r="P82" i="2"/>
  <c r="E83" i="2" s="1"/>
  <c r="F83" i="2" s="1"/>
  <c r="G83" i="2" s="1"/>
  <c r="H83" i="2" s="1"/>
  <c r="N83" i="2" s="1"/>
  <c r="O83" i="2" s="1"/>
  <c r="R82" i="2"/>
  <c r="R83" i="6" l="1"/>
  <c r="P83" i="6"/>
  <c r="E84" i="6" s="1"/>
  <c r="F84" i="6" s="1"/>
  <c r="G84" i="6" s="1"/>
  <c r="H84" i="6" s="1"/>
  <c r="N84" i="6" s="1"/>
  <c r="O84" i="6" s="1"/>
  <c r="R83" i="5"/>
  <c r="P83" i="5"/>
  <c r="E84" i="5" s="1"/>
  <c r="F84" i="5" s="1"/>
  <c r="G84" i="5" s="1"/>
  <c r="H84" i="5" s="1"/>
  <c r="N84" i="5" s="1"/>
  <c r="O84" i="5" s="1"/>
  <c r="R83" i="4"/>
  <c r="P83" i="4"/>
  <c r="E84" i="4" s="1"/>
  <c r="F84" i="4" s="1"/>
  <c r="G84" i="4" s="1"/>
  <c r="H84" i="4" s="1"/>
  <c r="N84" i="4" s="1"/>
  <c r="O84" i="4" s="1"/>
  <c r="P83" i="3"/>
  <c r="E84" i="3" s="1"/>
  <c r="F84" i="3" s="1"/>
  <c r="G84" i="3" s="1"/>
  <c r="H84" i="3" s="1"/>
  <c r="N84" i="3" s="1"/>
  <c r="O84" i="3" s="1"/>
  <c r="R83" i="3"/>
  <c r="P83" i="2"/>
  <c r="E84" i="2" s="1"/>
  <c r="F84" i="2" s="1"/>
  <c r="G84" i="2" s="1"/>
  <c r="H84" i="2" s="1"/>
  <c r="N84" i="2" s="1"/>
  <c r="O84" i="2" s="1"/>
  <c r="R83" i="2"/>
  <c r="R84" i="6" l="1"/>
  <c r="P84" i="6"/>
  <c r="E85" i="6" s="1"/>
  <c r="F85" i="6" s="1"/>
  <c r="G85" i="6" s="1"/>
  <c r="H85" i="6" s="1"/>
  <c r="N85" i="6" s="1"/>
  <c r="O85" i="6" s="1"/>
  <c r="R84" i="5"/>
  <c r="P84" i="5"/>
  <c r="E85" i="5" s="1"/>
  <c r="F85" i="5" s="1"/>
  <c r="G85" i="5" s="1"/>
  <c r="H85" i="5" s="1"/>
  <c r="N85" i="5" s="1"/>
  <c r="O85" i="5" s="1"/>
  <c r="R84" i="4"/>
  <c r="P84" i="4"/>
  <c r="E85" i="4" s="1"/>
  <c r="F85" i="4" s="1"/>
  <c r="G85" i="4" s="1"/>
  <c r="H85" i="4" s="1"/>
  <c r="N85" i="4" s="1"/>
  <c r="O85" i="4" s="1"/>
  <c r="P84" i="3"/>
  <c r="E85" i="3" s="1"/>
  <c r="F85" i="3" s="1"/>
  <c r="G85" i="3" s="1"/>
  <c r="H85" i="3" s="1"/>
  <c r="N85" i="3" s="1"/>
  <c r="O85" i="3" s="1"/>
  <c r="R84" i="3"/>
  <c r="P84" i="2"/>
  <c r="E85" i="2" s="1"/>
  <c r="F85" i="2" s="1"/>
  <c r="G85" i="2" s="1"/>
  <c r="H85" i="2" s="1"/>
  <c r="N85" i="2" s="1"/>
  <c r="O85" i="2" s="1"/>
  <c r="R84" i="2"/>
  <c r="R85" i="6" l="1"/>
  <c r="P85" i="6"/>
  <c r="E86" i="6" s="1"/>
  <c r="F86" i="6" s="1"/>
  <c r="G86" i="6" s="1"/>
  <c r="H86" i="6" s="1"/>
  <c r="N86" i="6" s="1"/>
  <c r="O86" i="6" s="1"/>
  <c r="R85" i="5"/>
  <c r="P85" i="5"/>
  <c r="E86" i="5" s="1"/>
  <c r="F86" i="5" s="1"/>
  <c r="G86" i="5" s="1"/>
  <c r="H86" i="5" s="1"/>
  <c r="N86" i="5" s="1"/>
  <c r="O86" i="5" s="1"/>
  <c r="R85" i="4"/>
  <c r="P85" i="4"/>
  <c r="E86" i="4" s="1"/>
  <c r="F86" i="4" s="1"/>
  <c r="G86" i="4" s="1"/>
  <c r="H86" i="4" s="1"/>
  <c r="N86" i="4" s="1"/>
  <c r="O86" i="4" s="1"/>
  <c r="P85" i="3"/>
  <c r="E86" i="3" s="1"/>
  <c r="F86" i="3" s="1"/>
  <c r="G86" i="3" s="1"/>
  <c r="H86" i="3" s="1"/>
  <c r="N86" i="3" s="1"/>
  <c r="O86" i="3" s="1"/>
  <c r="R85" i="3"/>
  <c r="P85" i="2"/>
  <c r="E86" i="2" s="1"/>
  <c r="F86" i="2" s="1"/>
  <c r="G86" i="2" s="1"/>
  <c r="H86" i="2" s="1"/>
  <c r="N86" i="2" s="1"/>
  <c r="O86" i="2" s="1"/>
  <c r="R85" i="2"/>
  <c r="R86" i="6" l="1"/>
  <c r="P86" i="6"/>
  <c r="E87" i="6" s="1"/>
  <c r="F87" i="6" s="1"/>
  <c r="G87" i="6" s="1"/>
  <c r="H87" i="6" s="1"/>
  <c r="N87" i="6" s="1"/>
  <c r="O87" i="6" s="1"/>
  <c r="R86" i="5"/>
  <c r="P86" i="5"/>
  <c r="E87" i="5" s="1"/>
  <c r="F87" i="5" s="1"/>
  <c r="G87" i="5" s="1"/>
  <c r="H87" i="5" s="1"/>
  <c r="N87" i="5" s="1"/>
  <c r="O87" i="5" s="1"/>
  <c r="R86" i="4"/>
  <c r="P86" i="4"/>
  <c r="E87" i="4" s="1"/>
  <c r="F87" i="4" s="1"/>
  <c r="G87" i="4" s="1"/>
  <c r="H87" i="4" s="1"/>
  <c r="N87" i="4" s="1"/>
  <c r="O87" i="4" s="1"/>
  <c r="P86" i="3"/>
  <c r="E87" i="3" s="1"/>
  <c r="F87" i="3" s="1"/>
  <c r="G87" i="3" s="1"/>
  <c r="H87" i="3" s="1"/>
  <c r="N87" i="3" s="1"/>
  <c r="O87" i="3" s="1"/>
  <c r="R86" i="3"/>
  <c r="P86" i="2"/>
  <c r="E87" i="2" s="1"/>
  <c r="F87" i="2" s="1"/>
  <c r="G87" i="2" s="1"/>
  <c r="H87" i="2" s="1"/>
  <c r="N87" i="2" s="1"/>
  <c r="O87" i="2" s="1"/>
  <c r="R86" i="2"/>
  <c r="R87" i="6" l="1"/>
  <c r="P87" i="6"/>
  <c r="E88" i="6" s="1"/>
  <c r="F88" i="6" s="1"/>
  <c r="G88" i="6" s="1"/>
  <c r="H88" i="6" s="1"/>
  <c r="N88" i="6" s="1"/>
  <c r="O88" i="6" s="1"/>
  <c r="R87" i="5"/>
  <c r="P87" i="5"/>
  <c r="E88" i="5" s="1"/>
  <c r="F88" i="5" s="1"/>
  <c r="G88" i="5" s="1"/>
  <c r="H88" i="5" s="1"/>
  <c r="N88" i="5" s="1"/>
  <c r="O88" i="5" s="1"/>
  <c r="R87" i="4"/>
  <c r="P87" i="4"/>
  <c r="E88" i="4" s="1"/>
  <c r="F88" i="4" s="1"/>
  <c r="G88" i="4" s="1"/>
  <c r="H88" i="4" s="1"/>
  <c r="N88" i="4" s="1"/>
  <c r="O88" i="4" s="1"/>
  <c r="P87" i="3"/>
  <c r="E88" i="3" s="1"/>
  <c r="F88" i="3" s="1"/>
  <c r="G88" i="3" s="1"/>
  <c r="H88" i="3" s="1"/>
  <c r="N88" i="3" s="1"/>
  <c r="O88" i="3" s="1"/>
  <c r="R87" i="3"/>
  <c r="P87" i="2"/>
  <c r="E88" i="2" s="1"/>
  <c r="F88" i="2" s="1"/>
  <c r="G88" i="2" s="1"/>
  <c r="H88" i="2" s="1"/>
  <c r="N88" i="2" s="1"/>
  <c r="O88" i="2" s="1"/>
  <c r="R87" i="2"/>
  <c r="R88" i="6" l="1"/>
  <c r="P88" i="6"/>
  <c r="E89" i="6" s="1"/>
  <c r="F89" i="6" s="1"/>
  <c r="G89" i="6" s="1"/>
  <c r="H89" i="6" s="1"/>
  <c r="N89" i="6" s="1"/>
  <c r="O89" i="6" s="1"/>
  <c r="R88" i="5"/>
  <c r="P88" i="5"/>
  <c r="E89" i="5" s="1"/>
  <c r="F89" i="5" s="1"/>
  <c r="G89" i="5" s="1"/>
  <c r="H89" i="5" s="1"/>
  <c r="N89" i="5" s="1"/>
  <c r="O89" i="5" s="1"/>
  <c r="R88" i="4"/>
  <c r="P88" i="4"/>
  <c r="E89" i="4" s="1"/>
  <c r="F89" i="4" s="1"/>
  <c r="G89" i="4" s="1"/>
  <c r="H89" i="4" s="1"/>
  <c r="N89" i="4" s="1"/>
  <c r="O89" i="4" s="1"/>
  <c r="P88" i="3"/>
  <c r="E89" i="3" s="1"/>
  <c r="F89" i="3" s="1"/>
  <c r="G89" i="3" s="1"/>
  <c r="H89" i="3" s="1"/>
  <c r="N89" i="3" s="1"/>
  <c r="O89" i="3" s="1"/>
  <c r="R88" i="3"/>
  <c r="P88" i="2"/>
  <c r="E89" i="2" s="1"/>
  <c r="F89" i="2" s="1"/>
  <c r="G89" i="2" s="1"/>
  <c r="H89" i="2" s="1"/>
  <c r="N89" i="2" s="1"/>
  <c r="O89" i="2" s="1"/>
  <c r="R88" i="2"/>
  <c r="R89" i="6" l="1"/>
  <c r="P89" i="6"/>
  <c r="E90" i="6" s="1"/>
  <c r="F90" i="6" s="1"/>
  <c r="G90" i="6" s="1"/>
  <c r="H90" i="6" s="1"/>
  <c r="N90" i="6" s="1"/>
  <c r="O90" i="6" s="1"/>
  <c r="R89" i="5"/>
  <c r="P89" i="5"/>
  <c r="E90" i="5" s="1"/>
  <c r="F90" i="5" s="1"/>
  <c r="G90" i="5" s="1"/>
  <c r="H90" i="5" s="1"/>
  <c r="N90" i="5" s="1"/>
  <c r="O90" i="5" s="1"/>
  <c r="R89" i="4"/>
  <c r="P89" i="4"/>
  <c r="E90" i="4" s="1"/>
  <c r="F90" i="4" s="1"/>
  <c r="G90" i="4" s="1"/>
  <c r="H90" i="4" s="1"/>
  <c r="N90" i="4" s="1"/>
  <c r="O90" i="4" s="1"/>
  <c r="P89" i="3"/>
  <c r="E90" i="3" s="1"/>
  <c r="F90" i="3" s="1"/>
  <c r="G90" i="3" s="1"/>
  <c r="H90" i="3" s="1"/>
  <c r="N90" i="3" s="1"/>
  <c r="O90" i="3" s="1"/>
  <c r="R89" i="3"/>
  <c r="P89" i="2"/>
  <c r="E90" i="2" s="1"/>
  <c r="F90" i="2" s="1"/>
  <c r="G90" i="2" s="1"/>
  <c r="H90" i="2" s="1"/>
  <c r="N90" i="2" s="1"/>
  <c r="O90" i="2" s="1"/>
  <c r="R89" i="2"/>
  <c r="R90" i="6" l="1"/>
  <c r="P90" i="6"/>
  <c r="E91" i="6" s="1"/>
  <c r="F91" i="6" s="1"/>
  <c r="G91" i="6" s="1"/>
  <c r="H91" i="6" s="1"/>
  <c r="N91" i="6" s="1"/>
  <c r="O91" i="6" s="1"/>
  <c r="R90" i="5"/>
  <c r="P90" i="5"/>
  <c r="E91" i="5" s="1"/>
  <c r="F91" i="5" s="1"/>
  <c r="G91" i="5" s="1"/>
  <c r="H91" i="5" s="1"/>
  <c r="N91" i="5" s="1"/>
  <c r="O91" i="5" s="1"/>
  <c r="R90" i="4"/>
  <c r="P90" i="4"/>
  <c r="E91" i="4" s="1"/>
  <c r="F91" i="4" s="1"/>
  <c r="G91" i="4" s="1"/>
  <c r="H91" i="4" s="1"/>
  <c r="N91" i="4" s="1"/>
  <c r="O91" i="4" s="1"/>
  <c r="P90" i="3"/>
  <c r="E91" i="3" s="1"/>
  <c r="F91" i="3" s="1"/>
  <c r="G91" i="3" s="1"/>
  <c r="H91" i="3" s="1"/>
  <c r="N91" i="3" s="1"/>
  <c r="O91" i="3" s="1"/>
  <c r="R90" i="3"/>
  <c r="R90" i="2"/>
  <c r="P90" i="2"/>
  <c r="E91" i="2" s="1"/>
  <c r="F91" i="2" s="1"/>
  <c r="G91" i="2" s="1"/>
  <c r="H91" i="2" s="1"/>
  <c r="N91" i="2" s="1"/>
  <c r="O91" i="2" s="1"/>
  <c r="R91" i="6" l="1"/>
  <c r="P91" i="6"/>
  <c r="E92" i="6" s="1"/>
  <c r="F92" i="6" s="1"/>
  <c r="G92" i="6" s="1"/>
  <c r="H92" i="6" s="1"/>
  <c r="N92" i="6" s="1"/>
  <c r="O92" i="6" s="1"/>
  <c r="R91" i="5"/>
  <c r="P91" i="5"/>
  <c r="E92" i="5" s="1"/>
  <c r="F92" i="5" s="1"/>
  <c r="G92" i="5" s="1"/>
  <c r="H92" i="5" s="1"/>
  <c r="N92" i="5" s="1"/>
  <c r="O92" i="5" s="1"/>
  <c r="R91" i="4"/>
  <c r="P91" i="4"/>
  <c r="E92" i="4" s="1"/>
  <c r="F92" i="4" s="1"/>
  <c r="G92" i="4" s="1"/>
  <c r="H92" i="4" s="1"/>
  <c r="N92" i="4" s="1"/>
  <c r="O92" i="4" s="1"/>
  <c r="P91" i="3"/>
  <c r="E92" i="3" s="1"/>
  <c r="F92" i="3" s="1"/>
  <c r="G92" i="3" s="1"/>
  <c r="H92" i="3" s="1"/>
  <c r="N92" i="3" s="1"/>
  <c r="O92" i="3" s="1"/>
  <c r="R91" i="3"/>
  <c r="R91" i="2"/>
  <c r="P91" i="2"/>
  <c r="E92" i="2" s="1"/>
  <c r="F92" i="2" s="1"/>
  <c r="G92" i="2" s="1"/>
  <c r="H92" i="2" s="1"/>
  <c r="N92" i="2" s="1"/>
  <c r="O92" i="2" s="1"/>
  <c r="R92" i="6" l="1"/>
  <c r="P92" i="6"/>
  <c r="E93" i="6" s="1"/>
  <c r="F93" i="6" s="1"/>
  <c r="G93" i="6" s="1"/>
  <c r="H93" i="6" s="1"/>
  <c r="N93" i="6" s="1"/>
  <c r="O93" i="6" s="1"/>
  <c r="R92" i="5"/>
  <c r="P92" i="5"/>
  <c r="E93" i="5" s="1"/>
  <c r="F93" i="5" s="1"/>
  <c r="G93" i="5" s="1"/>
  <c r="H93" i="5" s="1"/>
  <c r="N93" i="5" s="1"/>
  <c r="O93" i="5" s="1"/>
  <c r="R92" i="4"/>
  <c r="P92" i="4"/>
  <c r="E93" i="4" s="1"/>
  <c r="F93" i="4" s="1"/>
  <c r="G93" i="4" s="1"/>
  <c r="H93" i="4" s="1"/>
  <c r="N93" i="4" s="1"/>
  <c r="O93" i="4" s="1"/>
  <c r="P92" i="3"/>
  <c r="E93" i="3" s="1"/>
  <c r="F93" i="3" s="1"/>
  <c r="G93" i="3" s="1"/>
  <c r="H93" i="3" s="1"/>
  <c r="N93" i="3" s="1"/>
  <c r="O93" i="3" s="1"/>
  <c r="R92" i="3"/>
  <c r="R92" i="2"/>
  <c r="P92" i="2"/>
  <c r="E93" i="2" s="1"/>
  <c r="F93" i="2" s="1"/>
  <c r="G93" i="2" s="1"/>
  <c r="H93" i="2" s="1"/>
  <c r="N93" i="2" s="1"/>
  <c r="O93" i="2" s="1"/>
  <c r="R93" i="6" l="1"/>
  <c r="P93" i="6"/>
  <c r="E94" i="6" s="1"/>
  <c r="F94" i="6" s="1"/>
  <c r="G94" i="6" s="1"/>
  <c r="H94" i="6" s="1"/>
  <c r="N94" i="6" s="1"/>
  <c r="O94" i="6" s="1"/>
  <c r="R93" i="5"/>
  <c r="P93" i="5"/>
  <c r="E94" i="5" s="1"/>
  <c r="F94" i="5" s="1"/>
  <c r="G94" i="5" s="1"/>
  <c r="H94" i="5" s="1"/>
  <c r="N94" i="5" s="1"/>
  <c r="O94" i="5" s="1"/>
  <c r="R93" i="4"/>
  <c r="P93" i="4"/>
  <c r="E94" i="4" s="1"/>
  <c r="F94" i="4" s="1"/>
  <c r="G94" i="4" s="1"/>
  <c r="H94" i="4" s="1"/>
  <c r="N94" i="4" s="1"/>
  <c r="O94" i="4" s="1"/>
  <c r="P93" i="3"/>
  <c r="E94" i="3" s="1"/>
  <c r="F94" i="3" s="1"/>
  <c r="G94" i="3" s="1"/>
  <c r="H94" i="3" s="1"/>
  <c r="N94" i="3" s="1"/>
  <c r="O94" i="3" s="1"/>
  <c r="R93" i="3"/>
  <c r="R93" i="2"/>
  <c r="P93" i="2"/>
  <c r="E94" i="2" s="1"/>
  <c r="F94" i="2" s="1"/>
  <c r="G94" i="2" s="1"/>
  <c r="H94" i="2" s="1"/>
  <c r="N94" i="2" s="1"/>
  <c r="O94" i="2" s="1"/>
  <c r="R94" i="6" l="1"/>
  <c r="P94" i="6"/>
  <c r="E95" i="6" s="1"/>
  <c r="F95" i="6" s="1"/>
  <c r="G95" i="6" s="1"/>
  <c r="H95" i="6" s="1"/>
  <c r="N95" i="6" s="1"/>
  <c r="O95" i="6" s="1"/>
  <c r="R94" i="5"/>
  <c r="P94" i="5"/>
  <c r="E95" i="5" s="1"/>
  <c r="F95" i="5" s="1"/>
  <c r="G95" i="5" s="1"/>
  <c r="H95" i="5" s="1"/>
  <c r="N95" i="5" s="1"/>
  <c r="O95" i="5" s="1"/>
  <c r="R94" i="4"/>
  <c r="P94" i="4"/>
  <c r="E95" i="4" s="1"/>
  <c r="F95" i="4" s="1"/>
  <c r="G95" i="4" s="1"/>
  <c r="H95" i="4" s="1"/>
  <c r="N95" i="4" s="1"/>
  <c r="O95" i="4" s="1"/>
  <c r="P94" i="3"/>
  <c r="E95" i="3" s="1"/>
  <c r="F95" i="3" s="1"/>
  <c r="G95" i="3" s="1"/>
  <c r="H95" i="3" s="1"/>
  <c r="N95" i="3" s="1"/>
  <c r="O95" i="3" s="1"/>
  <c r="R94" i="3"/>
  <c r="R94" i="2"/>
  <c r="P94" i="2"/>
  <c r="E95" i="2" s="1"/>
  <c r="F95" i="2" s="1"/>
  <c r="G95" i="2" s="1"/>
  <c r="H95" i="2" s="1"/>
  <c r="N95" i="2" s="1"/>
  <c r="O95" i="2" s="1"/>
  <c r="R95" i="6" l="1"/>
  <c r="P95" i="6"/>
  <c r="E96" i="6" s="1"/>
  <c r="F96" i="6" s="1"/>
  <c r="G96" i="6" s="1"/>
  <c r="H96" i="6" s="1"/>
  <c r="N96" i="6" s="1"/>
  <c r="O96" i="6" s="1"/>
  <c r="R95" i="5"/>
  <c r="P95" i="5"/>
  <c r="E96" i="5" s="1"/>
  <c r="F96" i="5" s="1"/>
  <c r="G96" i="5" s="1"/>
  <c r="H96" i="5" s="1"/>
  <c r="N96" i="5" s="1"/>
  <c r="O96" i="5" s="1"/>
  <c r="R95" i="4"/>
  <c r="P95" i="4"/>
  <c r="E96" i="4" s="1"/>
  <c r="F96" i="4" s="1"/>
  <c r="G96" i="4" s="1"/>
  <c r="H96" i="4" s="1"/>
  <c r="N96" i="4" s="1"/>
  <c r="O96" i="4" s="1"/>
  <c r="P95" i="3"/>
  <c r="E96" i="3" s="1"/>
  <c r="F96" i="3" s="1"/>
  <c r="G96" i="3" s="1"/>
  <c r="H96" i="3" s="1"/>
  <c r="N96" i="3" s="1"/>
  <c r="O96" i="3" s="1"/>
  <c r="R95" i="3"/>
  <c r="R95" i="2"/>
  <c r="P95" i="2"/>
  <c r="E96" i="2" s="1"/>
  <c r="F96" i="2" s="1"/>
  <c r="G96" i="2" s="1"/>
  <c r="H96" i="2" s="1"/>
  <c r="N96" i="2" s="1"/>
  <c r="O96" i="2" s="1"/>
  <c r="R96" i="6" l="1"/>
  <c r="P96" i="6"/>
  <c r="E97" i="6" s="1"/>
  <c r="F97" i="6" s="1"/>
  <c r="G97" i="6" s="1"/>
  <c r="H97" i="6" s="1"/>
  <c r="N97" i="6" s="1"/>
  <c r="O97" i="6" s="1"/>
  <c r="R96" i="5"/>
  <c r="P96" i="5"/>
  <c r="E97" i="5" s="1"/>
  <c r="F97" i="5" s="1"/>
  <c r="G97" i="5" s="1"/>
  <c r="H97" i="5" s="1"/>
  <c r="N97" i="5" s="1"/>
  <c r="O97" i="5" s="1"/>
  <c r="R96" i="4"/>
  <c r="P96" i="4"/>
  <c r="E97" i="4" s="1"/>
  <c r="F97" i="4" s="1"/>
  <c r="G97" i="4" s="1"/>
  <c r="H97" i="4" s="1"/>
  <c r="N97" i="4" s="1"/>
  <c r="O97" i="4" s="1"/>
  <c r="P96" i="3"/>
  <c r="E97" i="3" s="1"/>
  <c r="F97" i="3" s="1"/>
  <c r="G97" i="3" s="1"/>
  <c r="H97" i="3" s="1"/>
  <c r="N97" i="3" s="1"/>
  <c r="O97" i="3" s="1"/>
  <c r="R96" i="3"/>
  <c r="R96" i="2"/>
  <c r="P96" i="2"/>
  <c r="E97" i="2" s="1"/>
  <c r="F97" i="2" s="1"/>
  <c r="G97" i="2" s="1"/>
  <c r="H97" i="2" s="1"/>
  <c r="N97" i="2" s="1"/>
  <c r="O97" i="2" s="1"/>
  <c r="R97" i="6" l="1"/>
  <c r="P97" i="6"/>
  <c r="E98" i="6" s="1"/>
  <c r="F98" i="6" s="1"/>
  <c r="G98" i="6" s="1"/>
  <c r="H98" i="6" s="1"/>
  <c r="N98" i="6" s="1"/>
  <c r="O98" i="6" s="1"/>
  <c r="R97" i="5"/>
  <c r="P97" i="5"/>
  <c r="E98" i="5" s="1"/>
  <c r="F98" i="5" s="1"/>
  <c r="G98" i="5" s="1"/>
  <c r="H98" i="5" s="1"/>
  <c r="N98" i="5" s="1"/>
  <c r="O98" i="5" s="1"/>
  <c r="R97" i="4"/>
  <c r="P97" i="4"/>
  <c r="E98" i="4" s="1"/>
  <c r="F98" i="4" s="1"/>
  <c r="G98" i="4" s="1"/>
  <c r="H98" i="4" s="1"/>
  <c r="N98" i="4" s="1"/>
  <c r="O98" i="4" s="1"/>
  <c r="P97" i="3"/>
  <c r="E98" i="3" s="1"/>
  <c r="F98" i="3" s="1"/>
  <c r="G98" i="3" s="1"/>
  <c r="H98" i="3" s="1"/>
  <c r="N98" i="3" s="1"/>
  <c r="O98" i="3" s="1"/>
  <c r="R97" i="3"/>
  <c r="R97" i="2"/>
  <c r="P97" i="2"/>
  <c r="E98" i="2" s="1"/>
  <c r="F98" i="2" s="1"/>
  <c r="G98" i="2" s="1"/>
  <c r="H98" i="2" s="1"/>
  <c r="N98" i="2" s="1"/>
  <c r="O98" i="2" s="1"/>
  <c r="R98" i="6" l="1"/>
  <c r="P98" i="6"/>
  <c r="E99" i="6" s="1"/>
  <c r="F99" i="6" s="1"/>
  <c r="G99" i="6" s="1"/>
  <c r="H99" i="6" s="1"/>
  <c r="N99" i="6" s="1"/>
  <c r="O99" i="6" s="1"/>
  <c r="R98" i="5"/>
  <c r="P98" i="5"/>
  <c r="E99" i="5" s="1"/>
  <c r="F99" i="5" s="1"/>
  <c r="G99" i="5" s="1"/>
  <c r="H99" i="5" s="1"/>
  <c r="N99" i="5" s="1"/>
  <c r="O99" i="5" s="1"/>
  <c r="R98" i="4"/>
  <c r="P98" i="4"/>
  <c r="E99" i="4" s="1"/>
  <c r="F99" i="4" s="1"/>
  <c r="G99" i="4" s="1"/>
  <c r="H99" i="4" s="1"/>
  <c r="N99" i="4" s="1"/>
  <c r="O99" i="4" s="1"/>
  <c r="P98" i="3"/>
  <c r="E99" i="3" s="1"/>
  <c r="F99" i="3" s="1"/>
  <c r="G99" i="3" s="1"/>
  <c r="H99" i="3" s="1"/>
  <c r="N99" i="3" s="1"/>
  <c r="O99" i="3" s="1"/>
  <c r="R98" i="3"/>
  <c r="R98" i="2"/>
  <c r="P98" i="2"/>
  <c r="E99" i="2" s="1"/>
  <c r="F99" i="2" s="1"/>
  <c r="G99" i="2" s="1"/>
  <c r="H99" i="2" s="1"/>
  <c r="N99" i="2" s="1"/>
  <c r="O99" i="2" s="1"/>
  <c r="R99" i="6" l="1"/>
  <c r="P99" i="6"/>
  <c r="E100" i="6" s="1"/>
  <c r="F100" i="6" s="1"/>
  <c r="G100" i="6" s="1"/>
  <c r="H100" i="6" s="1"/>
  <c r="N100" i="6" s="1"/>
  <c r="O100" i="6" s="1"/>
  <c r="R99" i="5"/>
  <c r="P99" i="5"/>
  <c r="E100" i="5" s="1"/>
  <c r="F100" i="5" s="1"/>
  <c r="G100" i="5" s="1"/>
  <c r="H100" i="5" s="1"/>
  <c r="N100" i="5" s="1"/>
  <c r="O100" i="5" s="1"/>
  <c r="R99" i="4"/>
  <c r="P99" i="4"/>
  <c r="E100" i="4" s="1"/>
  <c r="F100" i="4" s="1"/>
  <c r="G100" i="4" s="1"/>
  <c r="H100" i="4" s="1"/>
  <c r="N100" i="4" s="1"/>
  <c r="O100" i="4" s="1"/>
  <c r="P99" i="3"/>
  <c r="E100" i="3" s="1"/>
  <c r="F100" i="3" s="1"/>
  <c r="G100" i="3" s="1"/>
  <c r="H100" i="3" s="1"/>
  <c r="N100" i="3" s="1"/>
  <c r="O100" i="3" s="1"/>
  <c r="R99" i="3"/>
  <c r="R99" i="2"/>
  <c r="P99" i="2"/>
  <c r="E100" i="2" s="1"/>
  <c r="F100" i="2" s="1"/>
  <c r="G100" i="2" s="1"/>
  <c r="H100" i="2" s="1"/>
  <c r="N100" i="2" s="1"/>
  <c r="O100" i="2" s="1"/>
  <c r="R100" i="6" l="1"/>
  <c r="P100" i="6"/>
  <c r="E101" i="6" s="1"/>
  <c r="F101" i="6" s="1"/>
  <c r="G101" i="6" s="1"/>
  <c r="H101" i="6" s="1"/>
  <c r="N101" i="6" s="1"/>
  <c r="O101" i="6" s="1"/>
  <c r="R100" i="5"/>
  <c r="P100" i="5"/>
  <c r="E101" i="5" s="1"/>
  <c r="F101" i="5" s="1"/>
  <c r="G101" i="5" s="1"/>
  <c r="H101" i="5" s="1"/>
  <c r="N101" i="5" s="1"/>
  <c r="O101" i="5" s="1"/>
  <c r="R100" i="4"/>
  <c r="P100" i="4"/>
  <c r="E101" i="4" s="1"/>
  <c r="F101" i="4" s="1"/>
  <c r="G101" i="4" s="1"/>
  <c r="H101" i="4" s="1"/>
  <c r="N101" i="4" s="1"/>
  <c r="O101" i="4" s="1"/>
  <c r="P100" i="3"/>
  <c r="E101" i="3" s="1"/>
  <c r="F101" i="3" s="1"/>
  <c r="G101" i="3" s="1"/>
  <c r="H101" i="3" s="1"/>
  <c r="N101" i="3" s="1"/>
  <c r="O101" i="3" s="1"/>
  <c r="R100" i="3"/>
  <c r="R100" i="2"/>
  <c r="P100" i="2"/>
  <c r="E101" i="2" s="1"/>
  <c r="F101" i="2" s="1"/>
  <c r="G101" i="2" s="1"/>
  <c r="H101" i="2" s="1"/>
  <c r="N101" i="2" s="1"/>
  <c r="O101" i="2" s="1"/>
  <c r="R101" i="6" l="1"/>
  <c r="P101" i="6"/>
  <c r="E102" i="6" s="1"/>
  <c r="F102" i="6" s="1"/>
  <c r="G102" i="6" s="1"/>
  <c r="H102" i="6" s="1"/>
  <c r="N102" i="6" s="1"/>
  <c r="O102" i="6" s="1"/>
  <c r="R101" i="5"/>
  <c r="P101" i="5"/>
  <c r="E102" i="5" s="1"/>
  <c r="F102" i="5" s="1"/>
  <c r="G102" i="5" s="1"/>
  <c r="H102" i="5" s="1"/>
  <c r="N102" i="5" s="1"/>
  <c r="O102" i="5" s="1"/>
  <c r="R101" i="4"/>
  <c r="P101" i="4"/>
  <c r="E102" i="4" s="1"/>
  <c r="F102" i="4" s="1"/>
  <c r="G102" i="4" s="1"/>
  <c r="H102" i="4" s="1"/>
  <c r="N102" i="4" s="1"/>
  <c r="O102" i="4" s="1"/>
  <c r="P101" i="3"/>
  <c r="E102" i="3" s="1"/>
  <c r="F102" i="3" s="1"/>
  <c r="G102" i="3" s="1"/>
  <c r="H102" i="3" s="1"/>
  <c r="N102" i="3" s="1"/>
  <c r="O102" i="3" s="1"/>
  <c r="R101" i="3"/>
  <c r="R101" i="2"/>
  <c r="P101" i="2"/>
  <c r="E102" i="2" s="1"/>
  <c r="F102" i="2" s="1"/>
  <c r="G102" i="2" s="1"/>
  <c r="H102" i="2" s="1"/>
  <c r="N102" i="2" s="1"/>
  <c r="O102" i="2" s="1"/>
  <c r="R102" i="6" l="1"/>
  <c r="P102" i="6"/>
  <c r="E103" i="6" s="1"/>
  <c r="F103" i="6" s="1"/>
  <c r="G103" i="6" s="1"/>
  <c r="H103" i="6" s="1"/>
  <c r="N103" i="6" s="1"/>
  <c r="O103" i="6" s="1"/>
  <c r="R102" i="5"/>
  <c r="P102" i="5"/>
  <c r="E103" i="5" s="1"/>
  <c r="F103" i="5" s="1"/>
  <c r="G103" i="5" s="1"/>
  <c r="H103" i="5" s="1"/>
  <c r="N103" i="5" s="1"/>
  <c r="O103" i="5" s="1"/>
  <c r="R102" i="4"/>
  <c r="P102" i="4"/>
  <c r="E103" i="4" s="1"/>
  <c r="F103" i="4" s="1"/>
  <c r="G103" i="4" s="1"/>
  <c r="H103" i="4" s="1"/>
  <c r="N103" i="4" s="1"/>
  <c r="O103" i="4" s="1"/>
  <c r="P102" i="3"/>
  <c r="E103" i="3" s="1"/>
  <c r="F103" i="3" s="1"/>
  <c r="G103" i="3" s="1"/>
  <c r="H103" i="3" s="1"/>
  <c r="N103" i="3" s="1"/>
  <c r="O103" i="3" s="1"/>
  <c r="R102" i="3"/>
  <c r="R102" i="2"/>
  <c r="P102" i="2"/>
  <c r="E103" i="2" s="1"/>
  <c r="F103" i="2" s="1"/>
  <c r="G103" i="2" s="1"/>
  <c r="H103" i="2" s="1"/>
  <c r="N103" i="2" s="1"/>
  <c r="O103" i="2" s="1"/>
  <c r="R103" i="6" l="1"/>
  <c r="P103" i="6"/>
  <c r="E104" i="6" s="1"/>
  <c r="F104" i="6" s="1"/>
  <c r="G104" i="6" s="1"/>
  <c r="H104" i="6" s="1"/>
  <c r="N104" i="6" s="1"/>
  <c r="O104" i="6" s="1"/>
  <c r="R103" i="5"/>
  <c r="P103" i="5"/>
  <c r="E104" i="5" s="1"/>
  <c r="F104" i="5" s="1"/>
  <c r="G104" i="5" s="1"/>
  <c r="H104" i="5" s="1"/>
  <c r="N104" i="5" s="1"/>
  <c r="O104" i="5" s="1"/>
  <c r="R103" i="4"/>
  <c r="P103" i="4"/>
  <c r="E104" i="4" s="1"/>
  <c r="F104" i="4" s="1"/>
  <c r="G104" i="4" s="1"/>
  <c r="H104" i="4" s="1"/>
  <c r="N104" i="4" s="1"/>
  <c r="O104" i="4" s="1"/>
  <c r="P103" i="3"/>
  <c r="E104" i="3" s="1"/>
  <c r="F104" i="3" s="1"/>
  <c r="G104" i="3" s="1"/>
  <c r="H104" i="3" s="1"/>
  <c r="N104" i="3" s="1"/>
  <c r="O104" i="3" s="1"/>
  <c r="R103" i="3"/>
  <c r="R103" i="2"/>
  <c r="P103" i="2"/>
  <c r="E104" i="2" s="1"/>
  <c r="F104" i="2" s="1"/>
  <c r="G104" i="2" s="1"/>
  <c r="H104" i="2" s="1"/>
  <c r="N104" i="2" s="1"/>
  <c r="O104" i="2" s="1"/>
  <c r="R104" i="6" l="1"/>
  <c r="P104" i="6"/>
  <c r="E105" i="6" s="1"/>
  <c r="F105" i="6" s="1"/>
  <c r="G105" i="6" s="1"/>
  <c r="H105" i="6" s="1"/>
  <c r="N105" i="6" s="1"/>
  <c r="O105" i="6" s="1"/>
  <c r="R104" i="5"/>
  <c r="P104" i="5"/>
  <c r="E105" i="5" s="1"/>
  <c r="F105" i="5" s="1"/>
  <c r="G105" i="5" s="1"/>
  <c r="H105" i="5" s="1"/>
  <c r="N105" i="5" s="1"/>
  <c r="O105" i="5" s="1"/>
  <c r="R104" i="4"/>
  <c r="P104" i="4"/>
  <c r="E105" i="4" s="1"/>
  <c r="F105" i="4" s="1"/>
  <c r="G105" i="4" s="1"/>
  <c r="H105" i="4" s="1"/>
  <c r="N105" i="4" s="1"/>
  <c r="O105" i="4" s="1"/>
  <c r="P104" i="3"/>
  <c r="E105" i="3" s="1"/>
  <c r="F105" i="3" s="1"/>
  <c r="G105" i="3" s="1"/>
  <c r="H105" i="3" s="1"/>
  <c r="N105" i="3" s="1"/>
  <c r="O105" i="3" s="1"/>
  <c r="R104" i="3"/>
  <c r="R104" i="2"/>
  <c r="P104" i="2"/>
  <c r="E105" i="2" s="1"/>
  <c r="F105" i="2" s="1"/>
  <c r="G105" i="2" s="1"/>
  <c r="H105" i="2" s="1"/>
  <c r="N105" i="2" s="1"/>
  <c r="O105" i="2" s="1"/>
  <c r="R105" i="6" l="1"/>
  <c r="P105" i="6"/>
  <c r="E106" i="6" s="1"/>
  <c r="F106" i="6" s="1"/>
  <c r="G106" i="6" s="1"/>
  <c r="H106" i="6" s="1"/>
  <c r="N106" i="6" s="1"/>
  <c r="O106" i="6" s="1"/>
  <c r="R105" i="5"/>
  <c r="P105" i="5"/>
  <c r="E106" i="5" s="1"/>
  <c r="F106" i="5" s="1"/>
  <c r="G106" i="5" s="1"/>
  <c r="H106" i="5" s="1"/>
  <c r="N106" i="5" s="1"/>
  <c r="O106" i="5" s="1"/>
  <c r="R105" i="4"/>
  <c r="P105" i="4"/>
  <c r="E106" i="4" s="1"/>
  <c r="F106" i="4" s="1"/>
  <c r="G106" i="4" s="1"/>
  <c r="H106" i="4" s="1"/>
  <c r="N106" i="4" s="1"/>
  <c r="O106" i="4" s="1"/>
  <c r="P105" i="3"/>
  <c r="E106" i="3" s="1"/>
  <c r="F106" i="3" s="1"/>
  <c r="G106" i="3" s="1"/>
  <c r="H106" i="3" s="1"/>
  <c r="N106" i="3" s="1"/>
  <c r="O106" i="3" s="1"/>
  <c r="R105" i="3"/>
  <c r="R105" i="2"/>
  <c r="P105" i="2"/>
  <c r="E106" i="2" s="1"/>
  <c r="F106" i="2" s="1"/>
  <c r="G106" i="2" s="1"/>
  <c r="H106" i="2" s="1"/>
  <c r="N106" i="2" s="1"/>
  <c r="O106" i="2" s="1"/>
  <c r="R106" i="6" l="1"/>
  <c r="P106" i="6"/>
  <c r="E107" i="6" s="1"/>
  <c r="F107" i="6" s="1"/>
  <c r="G107" i="6" s="1"/>
  <c r="H107" i="6" s="1"/>
  <c r="N107" i="6" s="1"/>
  <c r="O107" i="6" s="1"/>
  <c r="R106" i="5"/>
  <c r="P106" i="5"/>
  <c r="E107" i="5" s="1"/>
  <c r="F107" i="5" s="1"/>
  <c r="G107" i="5" s="1"/>
  <c r="H107" i="5" s="1"/>
  <c r="N107" i="5" s="1"/>
  <c r="O107" i="5" s="1"/>
  <c r="R106" i="4"/>
  <c r="P106" i="4"/>
  <c r="E107" i="4" s="1"/>
  <c r="F107" i="4" s="1"/>
  <c r="G107" i="4" s="1"/>
  <c r="H107" i="4" s="1"/>
  <c r="N107" i="4" s="1"/>
  <c r="O107" i="4" s="1"/>
  <c r="P106" i="3"/>
  <c r="E107" i="3" s="1"/>
  <c r="F107" i="3" s="1"/>
  <c r="G107" i="3" s="1"/>
  <c r="H107" i="3" s="1"/>
  <c r="N107" i="3" s="1"/>
  <c r="O107" i="3" s="1"/>
  <c r="R106" i="3"/>
  <c r="R106" i="2"/>
  <c r="P106" i="2"/>
  <c r="E107" i="2" s="1"/>
  <c r="F107" i="2" s="1"/>
  <c r="G107" i="2" s="1"/>
  <c r="H107" i="2" s="1"/>
  <c r="N107" i="2" s="1"/>
  <c r="O107" i="2" s="1"/>
  <c r="R107" i="6" l="1"/>
  <c r="P107" i="6"/>
  <c r="E108" i="6" s="1"/>
  <c r="F108" i="6" s="1"/>
  <c r="G108" i="6" s="1"/>
  <c r="H108" i="6" s="1"/>
  <c r="N108" i="6" s="1"/>
  <c r="O108" i="6" s="1"/>
  <c r="R107" i="5"/>
  <c r="P107" i="5"/>
  <c r="E108" i="5" s="1"/>
  <c r="F108" i="5" s="1"/>
  <c r="G108" i="5" s="1"/>
  <c r="H108" i="5" s="1"/>
  <c r="N108" i="5" s="1"/>
  <c r="O108" i="5" s="1"/>
  <c r="R107" i="4"/>
  <c r="P107" i="4"/>
  <c r="E108" i="4" s="1"/>
  <c r="F108" i="4" s="1"/>
  <c r="G108" i="4" s="1"/>
  <c r="H108" i="4" s="1"/>
  <c r="N108" i="4" s="1"/>
  <c r="O108" i="4" s="1"/>
  <c r="P107" i="3"/>
  <c r="E108" i="3" s="1"/>
  <c r="F108" i="3" s="1"/>
  <c r="G108" i="3" s="1"/>
  <c r="H108" i="3" s="1"/>
  <c r="N108" i="3" s="1"/>
  <c r="O108" i="3" s="1"/>
  <c r="R107" i="3"/>
  <c r="R107" i="2"/>
  <c r="P107" i="2"/>
  <c r="E108" i="2" s="1"/>
  <c r="F108" i="2" s="1"/>
  <c r="G108" i="2" s="1"/>
  <c r="H108" i="2" s="1"/>
  <c r="N108" i="2" s="1"/>
  <c r="O108" i="2" s="1"/>
  <c r="R108" i="6" l="1"/>
  <c r="P108" i="6"/>
  <c r="E109" i="6" s="1"/>
  <c r="F109" i="6" s="1"/>
  <c r="G109" i="6" s="1"/>
  <c r="H109" i="6" s="1"/>
  <c r="N109" i="6" s="1"/>
  <c r="O109" i="6" s="1"/>
  <c r="R108" i="5"/>
  <c r="P108" i="5"/>
  <c r="E109" i="5" s="1"/>
  <c r="F109" i="5" s="1"/>
  <c r="G109" i="5" s="1"/>
  <c r="H109" i="5" s="1"/>
  <c r="N109" i="5" s="1"/>
  <c r="O109" i="5" s="1"/>
  <c r="R108" i="4"/>
  <c r="P108" i="4"/>
  <c r="E109" i="4" s="1"/>
  <c r="F109" i="4" s="1"/>
  <c r="G109" i="4" s="1"/>
  <c r="H109" i="4" s="1"/>
  <c r="N109" i="4" s="1"/>
  <c r="O109" i="4" s="1"/>
  <c r="P108" i="3"/>
  <c r="E109" i="3" s="1"/>
  <c r="F109" i="3" s="1"/>
  <c r="G109" i="3" s="1"/>
  <c r="H109" i="3" s="1"/>
  <c r="N109" i="3" s="1"/>
  <c r="O109" i="3" s="1"/>
  <c r="R108" i="3"/>
  <c r="R108" i="2"/>
  <c r="P108" i="2"/>
  <c r="E109" i="2" s="1"/>
  <c r="F109" i="2" s="1"/>
  <c r="G109" i="2" s="1"/>
  <c r="H109" i="2" s="1"/>
  <c r="N109" i="2" s="1"/>
  <c r="O109" i="2" s="1"/>
  <c r="R109" i="6" l="1"/>
  <c r="P109" i="6"/>
  <c r="E110" i="6" s="1"/>
  <c r="F110" i="6" s="1"/>
  <c r="G110" i="6" s="1"/>
  <c r="H110" i="6" s="1"/>
  <c r="N110" i="6" s="1"/>
  <c r="O110" i="6" s="1"/>
  <c r="R109" i="5"/>
  <c r="P109" i="5"/>
  <c r="E110" i="5" s="1"/>
  <c r="F110" i="5" s="1"/>
  <c r="G110" i="5" s="1"/>
  <c r="H110" i="5" s="1"/>
  <c r="N110" i="5" s="1"/>
  <c r="O110" i="5" s="1"/>
  <c r="R109" i="4"/>
  <c r="P109" i="4"/>
  <c r="E110" i="4" s="1"/>
  <c r="F110" i="4" s="1"/>
  <c r="G110" i="4" s="1"/>
  <c r="H110" i="4" s="1"/>
  <c r="N110" i="4" s="1"/>
  <c r="O110" i="4" s="1"/>
  <c r="P109" i="3"/>
  <c r="E110" i="3" s="1"/>
  <c r="F110" i="3" s="1"/>
  <c r="G110" i="3" s="1"/>
  <c r="H110" i="3" s="1"/>
  <c r="N110" i="3" s="1"/>
  <c r="O110" i="3" s="1"/>
  <c r="R109" i="3"/>
  <c r="R109" i="2"/>
  <c r="P109" i="2"/>
  <c r="E110" i="2" s="1"/>
  <c r="F110" i="2" s="1"/>
  <c r="G110" i="2" s="1"/>
  <c r="H110" i="2" s="1"/>
  <c r="N110" i="2" s="1"/>
  <c r="O110" i="2" s="1"/>
  <c r="R110" i="6" l="1"/>
  <c r="P110" i="6"/>
  <c r="E111" i="6" s="1"/>
  <c r="F111" i="6" s="1"/>
  <c r="G111" i="6" s="1"/>
  <c r="H111" i="6" s="1"/>
  <c r="N111" i="6" s="1"/>
  <c r="O111" i="6" s="1"/>
  <c r="R110" i="5"/>
  <c r="P110" i="5"/>
  <c r="E111" i="5" s="1"/>
  <c r="F111" i="5" s="1"/>
  <c r="G111" i="5" s="1"/>
  <c r="H111" i="5" s="1"/>
  <c r="N111" i="5" s="1"/>
  <c r="O111" i="5" s="1"/>
  <c r="R110" i="4"/>
  <c r="P110" i="4"/>
  <c r="E111" i="4" s="1"/>
  <c r="F111" i="4" s="1"/>
  <c r="G111" i="4" s="1"/>
  <c r="H111" i="4" s="1"/>
  <c r="N111" i="4" s="1"/>
  <c r="O111" i="4" s="1"/>
  <c r="P110" i="3"/>
  <c r="E111" i="3" s="1"/>
  <c r="F111" i="3" s="1"/>
  <c r="G111" i="3" s="1"/>
  <c r="H111" i="3" s="1"/>
  <c r="N111" i="3" s="1"/>
  <c r="O111" i="3" s="1"/>
  <c r="R110" i="3"/>
  <c r="R110" i="2"/>
  <c r="P110" i="2"/>
  <c r="E111" i="2" s="1"/>
  <c r="F111" i="2" s="1"/>
  <c r="G111" i="2" s="1"/>
  <c r="H111" i="2" s="1"/>
  <c r="N111" i="2" s="1"/>
  <c r="O111" i="2" s="1"/>
  <c r="R111" i="6" l="1"/>
  <c r="P111" i="6"/>
  <c r="E112" i="6" s="1"/>
  <c r="F112" i="6" s="1"/>
  <c r="G112" i="6" s="1"/>
  <c r="H112" i="6" s="1"/>
  <c r="N112" i="6" s="1"/>
  <c r="O112" i="6" s="1"/>
  <c r="R111" i="5"/>
  <c r="P111" i="5"/>
  <c r="E112" i="5" s="1"/>
  <c r="F112" i="5" s="1"/>
  <c r="G112" i="5" s="1"/>
  <c r="H112" i="5" s="1"/>
  <c r="N112" i="5" s="1"/>
  <c r="O112" i="5" s="1"/>
  <c r="R111" i="4"/>
  <c r="P111" i="4"/>
  <c r="E112" i="4" s="1"/>
  <c r="F112" i="4" s="1"/>
  <c r="G112" i="4" s="1"/>
  <c r="H112" i="4" s="1"/>
  <c r="N112" i="4" s="1"/>
  <c r="O112" i="4" s="1"/>
  <c r="P111" i="3"/>
  <c r="E112" i="3" s="1"/>
  <c r="F112" i="3" s="1"/>
  <c r="G112" i="3" s="1"/>
  <c r="H112" i="3" s="1"/>
  <c r="N112" i="3" s="1"/>
  <c r="O112" i="3" s="1"/>
  <c r="R111" i="3"/>
  <c r="R111" i="2"/>
  <c r="P111" i="2"/>
  <c r="E112" i="2" s="1"/>
  <c r="F112" i="2" s="1"/>
  <c r="G112" i="2" s="1"/>
  <c r="H112" i="2" s="1"/>
  <c r="N112" i="2" s="1"/>
  <c r="O112" i="2" s="1"/>
  <c r="R112" i="6" l="1"/>
  <c r="P112" i="6"/>
  <c r="E113" i="6" s="1"/>
  <c r="F113" i="6" s="1"/>
  <c r="G113" i="6" s="1"/>
  <c r="H113" i="6" s="1"/>
  <c r="N113" i="6" s="1"/>
  <c r="O113" i="6" s="1"/>
  <c r="R112" i="5"/>
  <c r="P112" i="5"/>
  <c r="E113" i="5" s="1"/>
  <c r="F113" i="5" s="1"/>
  <c r="G113" i="5" s="1"/>
  <c r="H113" i="5" s="1"/>
  <c r="N113" i="5" s="1"/>
  <c r="O113" i="5" s="1"/>
  <c r="R112" i="4"/>
  <c r="P112" i="4"/>
  <c r="E113" i="4" s="1"/>
  <c r="F113" i="4" s="1"/>
  <c r="G113" i="4" s="1"/>
  <c r="H113" i="4" s="1"/>
  <c r="N113" i="4" s="1"/>
  <c r="O113" i="4" s="1"/>
  <c r="P112" i="3"/>
  <c r="E113" i="3" s="1"/>
  <c r="F113" i="3" s="1"/>
  <c r="G113" i="3" s="1"/>
  <c r="H113" i="3" s="1"/>
  <c r="N113" i="3" s="1"/>
  <c r="O113" i="3" s="1"/>
  <c r="R112" i="3"/>
  <c r="R112" i="2"/>
  <c r="P112" i="2"/>
  <c r="E113" i="2" s="1"/>
  <c r="F113" i="2" s="1"/>
  <c r="G113" i="2" s="1"/>
  <c r="H113" i="2" s="1"/>
  <c r="N113" i="2" s="1"/>
  <c r="O113" i="2" s="1"/>
  <c r="R113" i="6" l="1"/>
  <c r="P113" i="6"/>
  <c r="E114" i="6" s="1"/>
  <c r="F114" i="6" s="1"/>
  <c r="G114" i="6" s="1"/>
  <c r="H114" i="6" s="1"/>
  <c r="N114" i="6" s="1"/>
  <c r="O114" i="6" s="1"/>
  <c r="R113" i="5"/>
  <c r="P113" i="5"/>
  <c r="E114" i="5" s="1"/>
  <c r="F114" i="5" s="1"/>
  <c r="G114" i="5" s="1"/>
  <c r="H114" i="5" s="1"/>
  <c r="N114" i="5" s="1"/>
  <c r="O114" i="5" s="1"/>
  <c r="R113" i="4"/>
  <c r="P113" i="4"/>
  <c r="E114" i="4" s="1"/>
  <c r="F114" i="4" s="1"/>
  <c r="G114" i="4" s="1"/>
  <c r="H114" i="4" s="1"/>
  <c r="N114" i="4" s="1"/>
  <c r="O114" i="4" s="1"/>
  <c r="P113" i="3"/>
  <c r="E114" i="3" s="1"/>
  <c r="F114" i="3" s="1"/>
  <c r="G114" i="3" s="1"/>
  <c r="H114" i="3" s="1"/>
  <c r="N114" i="3" s="1"/>
  <c r="O114" i="3" s="1"/>
  <c r="R113" i="3"/>
  <c r="R113" i="2"/>
  <c r="P113" i="2"/>
  <c r="E114" i="2" s="1"/>
  <c r="F114" i="2" s="1"/>
  <c r="G114" i="2" s="1"/>
  <c r="H114" i="2" s="1"/>
  <c r="N114" i="2" s="1"/>
  <c r="O114" i="2" s="1"/>
  <c r="R114" i="6" l="1"/>
  <c r="P114" i="6"/>
  <c r="E115" i="6" s="1"/>
  <c r="F115" i="6" s="1"/>
  <c r="G115" i="6" s="1"/>
  <c r="H115" i="6" s="1"/>
  <c r="N115" i="6" s="1"/>
  <c r="O115" i="6" s="1"/>
  <c r="R114" i="5"/>
  <c r="P114" i="5"/>
  <c r="E115" i="5" s="1"/>
  <c r="F115" i="5" s="1"/>
  <c r="G115" i="5" s="1"/>
  <c r="H115" i="5" s="1"/>
  <c r="N115" i="5" s="1"/>
  <c r="O115" i="5" s="1"/>
  <c r="R114" i="4"/>
  <c r="P114" i="4"/>
  <c r="E115" i="4" s="1"/>
  <c r="F115" i="4" s="1"/>
  <c r="G115" i="4" s="1"/>
  <c r="H115" i="4" s="1"/>
  <c r="N115" i="4" s="1"/>
  <c r="O115" i="4" s="1"/>
  <c r="P114" i="3"/>
  <c r="E115" i="3" s="1"/>
  <c r="F115" i="3" s="1"/>
  <c r="G115" i="3" s="1"/>
  <c r="H115" i="3" s="1"/>
  <c r="N115" i="3" s="1"/>
  <c r="O115" i="3" s="1"/>
  <c r="R114" i="3"/>
  <c r="R114" i="2"/>
  <c r="P114" i="2"/>
  <c r="E115" i="2" s="1"/>
  <c r="F115" i="2" s="1"/>
  <c r="G115" i="2" s="1"/>
  <c r="H115" i="2" s="1"/>
  <c r="N115" i="2" s="1"/>
  <c r="O115" i="2" s="1"/>
  <c r="R115" i="6" l="1"/>
  <c r="P115" i="6"/>
  <c r="E116" i="6" s="1"/>
  <c r="F116" i="6" s="1"/>
  <c r="G116" i="6" s="1"/>
  <c r="H116" i="6" s="1"/>
  <c r="N116" i="6" s="1"/>
  <c r="O116" i="6" s="1"/>
  <c r="R115" i="5"/>
  <c r="P115" i="5"/>
  <c r="E116" i="5" s="1"/>
  <c r="F116" i="5" s="1"/>
  <c r="G116" i="5" s="1"/>
  <c r="H116" i="5" s="1"/>
  <c r="N116" i="5" s="1"/>
  <c r="O116" i="5" s="1"/>
  <c r="R115" i="4"/>
  <c r="P115" i="4"/>
  <c r="E116" i="4" s="1"/>
  <c r="F116" i="4" s="1"/>
  <c r="G116" i="4" s="1"/>
  <c r="H116" i="4" s="1"/>
  <c r="N116" i="4" s="1"/>
  <c r="O116" i="4" s="1"/>
  <c r="P115" i="3"/>
  <c r="E116" i="3" s="1"/>
  <c r="F116" i="3" s="1"/>
  <c r="G116" i="3" s="1"/>
  <c r="H116" i="3" s="1"/>
  <c r="N116" i="3" s="1"/>
  <c r="O116" i="3" s="1"/>
  <c r="R115" i="3"/>
  <c r="R115" i="2"/>
  <c r="P115" i="2"/>
  <c r="E116" i="2" s="1"/>
  <c r="F116" i="2" s="1"/>
  <c r="G116" i="2" s="1"/>
  <c r="H116" i="2" s="1"/>
  <c r="N116" i="2" s="1"/>
  <c r="O116" i="2" s="1"/>
  <c r="R116" i="6" l="1"/>
  <c r="P116" i="6"/>
  <c r="E117" i="6" s="1"/>
  <c r="F117" i="6" s="1"/>
  <c r="G117" i="6" s="1"/>
  <c r="H117" i="6" s="1"/>
  <c r="N117" i="6" s="1"/>
  <c r="O117" i="6" s="1"/>
  <c r="R116" i="5"/>
  <c r="P116" i="5"/>
  <c r="E117" i="5" s="1"/>
  <c r="F117" i="5" s="1"/>
  <c r="G117" i="5" s="1"/>
  <c r="H117" i="5" s="1"/>
  <c r="N117" i="5" s="1"/>
  <c r="O117" i="5" s="1"/>
  <c r="R116" i="4"/>
  <c r="P116" i="4"/>
  <c r="E117" i="4" s="1"/>
  <c r="F117" i="4" s="1"/>
  <c r="G117" i="4" s="1"/>
  <c r="H117" i="4" s="1"/>
  <c r="N117" i="4" s="1"/>
  <c r="O117" i="4" s="1"/>
  <c r="R116" i="3"/>
  <c r="P116" i="3"/>
  <c r="E117" i="3" s="1"/>
  <c r="F117" i="3" s="1"/>
  <c r="G117" i="3" s="1"/>
  <c r="H117" i="3" s="1"/>
  <c r="N117" i="3" s="1"/>
  <c r="O117" i="3" s="1"/>
  <c r="R116" i="2"/>
  <c r="P116" i="2"/>
  <c r="E117" i="2" s="1"/>
  <c r="F117" i="2" s="1"/>
  <c r="G117" i="2" s="1"/>
  <c r="H117" i="2" s="1"/>
  <c r="N117" i="2" s="1"/>
  <c r="O117" i="2" s="1"/>
  <c r="R117" i="6" l="1"/>
  <c r="P117" i="6"/>
  <c r="E118" i="6" s="1"/>
  <c r="F118" i="6" s="1"/>
  <c r="G118" i="6" s="1"/>
  <c r="H118" i="6" s="1"/>
  <c r="N118" i="6" s="1"/>
  <c r="O118" i="6" s="1"/>
  <c r="R117" i="5"/>
  <c r="P117" i="5"/>
  <c r="E118" i="5" s="1"/>
  <c r="F118" i="5" s="1"/>
  <c r="G118" i="5" s="1"/>
  <c r="H118" i="5" s="1"/>
  <c r="N118" i="5" s="1"/>
  <c r="O118" i="5" s="1"/>
  <c r="R117" i="4"/>
  <c r="P117" i="4"/>
  <c r="E118" i="4" s="1"/>
  <c r="F118" i="4" s="1"/>
  <c r="G118" i="4" s="1"/>
  <c r="H118" i="4" s="1"/>
  <c r="N118" i="4" s="1"/>
  <c r="O118" i="4" s="1"/>
  <c r="R117" i="3"/>
  <c r="P117" i="3"/>
  <c r="E118" i="3" s="1"/>
  <c r="F118" i="3" s="1"/>
  <c r="G118" i="3" s="1"/>
  <c r="H118" i="3" s="1"/>
  <c r="N118" i="3" s="1"/>
  <c r="O118" i="3" s="1"/>
  <c r="R117" i="2"/>
  <c r="P117" i="2"/>
  <c r="E118" i="2" s="1"/>
  <c r="F118" i="2" s="1"/>
  <c r="G118" i="2" s="1"/>
  <c r="H118" i="2" s="1"/>
  <c r="N118" i="2" s="1"/>
  <c r="O118" i="2" s="1"/>
  <c r="R118" i="6" l="1"/>
  <c r="P118" i="6"/>
  <c r="E119" i="6" s="1"/>
  <c r="F119" i="6" s="1"/>
  <c r="G119" i="6" s="1"/>
  <c r="H119" i="6" s="1"/>
  <c r="N119" i="6" s="1"/>
  <c r="O119" i="6" s="1"/>
  <c r="R118" i="5"/>
  <c r="P118" i="5"/>
  <c r="E119" i="5" s="1"/>
  <c r="F119" i="5" s="1"/>
  <c r="G119" i="5" s="1"/>
  <c r="H119" i="5" s="1"/>
  <c r="N119" i="5" s="1"/>
  <c r="O119" i="5" s="1"/>
  <c r="R118" i="4"/>
  <c r="P118" i="4"/>
  <c r="E119" i="4" s="1"/>
  <c r="F119" i="4" s="1"/>
  <c r="G119" i="4" s="1"/>
  <c r="H119" i="4" s="1"/>
  <c r="N119" i="4" s="1"/>
  <c r="O119" i="4" s="1"/>
  <c r="R118" i="3"/>
  <c r="P118" i="3"/>
  <c r="E119" i="3" s="1"/>
  <c r="F119" i="3" s="1"/>
  <c r="G119" i="3" s="1"/>
  <c r="H119" i="3" s="1"/>
  <c r="N119" i="3" s="1"/>
  <c r="O119" i="3" s="1"/>
  <c r="R118" i="2"/>
  <c r="P118" i="2"/>
  <c r="E119" i="2" s="1"/>
  <c r="F119" i="2" s="1"/>
  <c r="G119" i="2" s="1"/>
  <c r="H119" i="2" s="1"/>
  <c r="N119" i="2" s="1"/>
  <c r="O119" i="2" s="1"/>
  <c r="R119" i="6" l="1"/>
  <c r="P119" i="6"/>
  <c r="E120" i="6" s="1"/>
  <c r="F120" i="6" s="1"/>
  <c r="G120" i="6" s="1"/>
  <c r="H120" i="6" s="1"/>
  <c r="N120" i="6" s="1"/>
  <c r="O120" i="6" s="1"/>
  <c r="R119" i="5"/>
  <c r="P119" i="5"/>
  <c r="E120" i="5" s="1"/>
  <c r="F120" i="5" s="1"/>
  <c r="G120" i="5" s="1"/>
  <c r="H120" i="5" s="1"/>
  <c r="N120" i="5" s="1"/>
  <c r="O120" i="5" s="1"/>
  <c r="R119" i="4"/>
  <c r="P119" i="4"/>
  <c r="E120" i="4" s="1"/>
  <c r="F120" i="4" s="1"/>
  <c r="G120" i="4" s="1"/>
  <c r="H120" i="4" s="1"/>
  <c r="N120" i="4" s="1"/>
  <c r="O120" i="4" s="1"/>
  <c r="R119" i="3"/>
  <c r="P119" i="3"/>
  <c r="E120" i="3" s="1"/>
  <c r="F120" i="3" s="1"/>
  <c r="G120" i="3" s="1"/>
  <c r="H120" i="3" s="1"/>
  <c r="N120" i="3" s="1"/>
  <c r="O120" i="3" s="1"/>
  <c r="R119" i="2"/>
  <c r="P119" i="2"/>
  <c r="E120" i="2" s="1"/>
  <c r="F120" i="2" s="1"/>
  <c r="G120" i="2" s="1"/>
  <c r="H120" i="2" s="1"/>
  <c r="N120" i="2" s="1"/>
  <c r="O120" i="2" s="1"/>
  <c r="R120" i="6" l="1"/>
  <c r="P120" i="6"/>
  <c r="E121" i="6" s="1"/>
  <c r="F121" i="6" s="1"/>
  <c r="G121" i="6" s="1"/>
  <c r="H121" i="6" s="1"/>
  <c r="N121" i="6" s="1"/>
  <c r="O121" i="6" s="1"/>
  <c r="R120" i="5"/>
  <c r="P120" i="5"/>
  <c r="E121" i="5" s="1"/>
  <c r="F121" i="5" s="1"/>
  <c r="G121" i="5" s="1"/>
  <c r="H121" i="5" s="1"/>
  <c r="N121" i="5" s="1"/>
  <c r="O121" i="5" s="1"/>
  <c r="R120" i="4"/>
  <c r="P120" i="4"/>
  <c r="E121" i="4" s="1"/>
  <c r="F121" i="4" s="1"/>
  <c r="G121" i="4" s="1"/>
  <c r="H121" i="4" s="1"/>
  <c r="N121" i="4" s="1"/>
  <c r="O121" i="4" s="1"/>
  <c r="R120" i="3"/>
  <c r="P120" i="3"/>
  <c r="E121" i="3" s="1"/>
  <c r="F121" i="3" s="1"/>
  <c r="G121" i="3" s="1"/>
  <c r="H121" i="3" s="1"/>
  <c r="N121" i="3" s="1"/>
  <c r="O121" i="3" s="1"/>
  <c r="R120" i="2"/>
  <c r="P120" i="2"/>
  <c r="E121" i="2" s="1"/>
  <c r="F121" i="2" s="1"/>
  <c r="G121" i="2" s="1"/>
  <c r="H121" i="2" s="1"/>
  <c r="N121" i="2" s="1"/>
  <c r="O121" i="2" s="1"/>
  <c r="R121" i="6" l="1"/>
  <c r="P121" i="6"/>
  <c r="E122" i="6" s="1"/>
  <c r="F122" i="6" s="1"/>
  <c r="G122" i="6" s="1"/>
  <c r="H122" i="6" s="1"/>
  <c r="N122" i="6" s="1"/>
  <c r="O122" i="6" s="1"/>
  <c r="R121" i="5"/>
  <c r="P121" i="5"/>
  <c r="E122" i="5" s="1"/>
  <c r="F122" i="5" s="1"/>
  <c r="G122" i="5" s="1"/>
  <c r="H122" i="5" s="1"/>
  <c r="N122" i="5" s="1"/>
  <c r="O122" i="5" s="1"/>
  <c r="R121" i="4"/>
  <c r="P121" i="4"/>
  <c r="E122" i="4" s="1"/>
  <c r="F122" i="4" s="1"/>
  <c r="G122" i="4" s="1"/>
  <c r="H122" i="4" s="1"/>
  <c r="N122" i="4" s="1"/>
  <c r="O122" i="4" s="1"/>
  <c r="R121" i="3"/>
  <c r="P121" i="3"/>
  <c r="E122" i="3" s="1"/>
  <c r="F122" i="3" s="1"/>
  <c r="G122" i="3" s="1"/>
  <c r="H122" i="3" s="1"/>
  <c r="N122" i="3" s="1"/>
  <c r="O122" i="3" s="1"/>
  <c r="R121" i="2"/>
  <c r="P121" i="2"/>
  <c r="E122" i="2" s="1"/>
  <c r="F122" i="2" s="1"/>
  <c r="G122" i="2" s="1"/>
  <c r="H122" i="2" s="1"/>
  <c r="N122" i="2" s="1"/>
  <c r="O122" i="2" s="1"/>
  <c r="R122" i="6" l="1"/>
  <c r="P122" i="6"/>
  <c r="E123" i="6" s="1"/>
  <c r="F123" i="6" s="1"/>
  <c r="G123" i="6" s="1"/>
  <c r="H123" i="6" s="1"/>
  <c r="N123" i="6" s="1"/>
  <c r="O123" i="6" s="1"/>
  <c r="R122" i="5"/>
  <c r="P122" i="5"/>
  <c r="E123" i="5" s="1"/>
  <c r="F123" i="5" s="1"/>
  <c r="G123" i="5" s="1"/>
  <c r="H123" i="5" s="1"/>
  <c r="N123" i="5" s="1"/>
  <c r="O123" i="5" s="1"/>
  <c r="P122" i="4"/>
  <c r="E123" i="4" s="1"/>
  <c r="F123" i="4" s="1"/>
  <c r="G123" i="4" s="1"/>
  <c r="H123" i="4" s="1"/>
  <c r="N123" i="4" s="1"/>
  <c r="O123" i="4" s="1"/>
  <c r="R122" i="4"/>
  <c r="R122" i="3"/>
  <c r="P122" i="3"/>
  <c r="E123" i="3" s="1"/>
  <c r="F123" i="3" s="1"/>
  <c r="G123" i="3" s="1"/>
  <c r="H123" i="3" s="1"/>
  <c r="N123" i="3" s="1"/>
  <c r="O123" i="3" s="1"/>
  <c r="R122" i="2"/>
  <c r="P122" i="2"/>
  <c r="E123" i="2" s="1"/>
  <c r="F123" i="2" s="1"/>
  <c r="G123" i="2" s="1"/>
  <c r="H123" i="2" s="1"/>
  <c r="N123" i="2" s="1"/>
  <c r="O123" i="2" s="1"/>
  <c r="P123" i="6" l="1"/>
  <c r="E124" i="6" s="1"/>
  <c r="F124" i="6" s="1"/>
  <c r="G124" i="6" s="1"/>
  <c r="H124" i="6" s="1"/>
  <c r="N124" i="6" s="1"/>
  <c r="O124" i="6" s="1"/>
  <c r="R123" i="6"/>
  <c r="R123" i="5"/>
  <c r="P123" i="5"/>
  <c r="E124" i="5" s="1"/>
  <c r="F124" i="5" s="1"/>
  <c r="G124" i="5" s="1"/>
  <c r="H124" i="5" s="1"/>
  <c r="N124" i="5" s="1"/>
  <c r="O124" i="5" s="1"/>
  <c r="R123" i="4"/>
  <c r="P123" i="4"/>
  <c r="E124" i="4" s="1"/>
  <c r="F124" i="4" s="1"/>
  <c r="G124" i="4" s="1"/>
  <c r="H124" i="4" s="1"/>
  <c r="N124" i="4" s="1"/>
  <c r="O124" i="4" s="1"/>
  <c r="R123" i="3"/>
  <c r="P123" i="3"/>
  <c r="E124" i="3" s="1"/>
  <c r="F124" i="3" s="1"/>
  <c r="G124" i="3" s="1"/>
  <c r="H124" i="3" s="1"/>
  <c r="N124" i="3" s="1"/>
  <c r="O124" i="3" s="1"/>
  <c r="R123" i="2"/>
  <c r="P123" i="2"/>
  <c r="E124" i="2" s="1"/>
  <c r="F124" i="2" s="1"/>
  <c r="G124" i="2" s="1"/>
  <c r="H124" i="2" s="1"/>
  <c r="N124" i="2" s="1"/>
  <c r="O124" i="2" s="1"/>
  <c r="P124" i="6" l="1"/>
  <c r="E125" i="6" s="1"/>
  <c r="F125" i="6" s="1"/>
  <c r="G125" i="6" s="1"/>
  <c r="H125" i="6" s="1"/>
  <c r="N125" i="6" s="1"/>
  <c r="O125" i="6" s="1"/>
  <c r="R124" i="6"/>
  <c r="R124" i="5"/>
  <c r="P124" i="5"/>
  <c r="E125" i="5" s="1"/>
  <c r="F125" i="5" s="1"/>
  <c r="G125" i="5" s="1"/>
  <c r="H125" i="5" s="1"/>
  <c r="N125" i="5" s="1"/>
  <c r="O125" i="5" s="1"/>
  <c r="P124" i="4"/>
  <c r="E125" i="4" s="1"/>
  <c r="F125" i="4" s="1"/>
  <c r="G125" i="4" s="1"/>
  <c r="H125" i="4" s="1"/>
  <c r="N125" i="4" s="1"/>
  <c r="O125" i="4" s="1"/>
  <c r="R124" i="4"/>
  <c r="R124" i="3"/>
  <c r="P124" i="3"/>
  <c r="E125" i="3" s="1"/>
  <c r="F125" i="3" s="1"/>
  <c r="G125" i="3" s="1"/>
  <c r="H125" i="3" s="1"/>
  <c r="N125" i="3" s="1"/>
  <c r="O125" i="3" s="1"/>
  <c r="R124" i="2"/>
  <c r="P124" i="2"/>
  <c r="E125" i="2" s="1"/>
  <c r="F125" i="2" s="1"/>
  <c r="G125" i="2" s="1"/>
  <c r="H125" i="2" s="1"/>
  <c r="N125" i="2" s="1"/>
  <c r="O125" i="2" s="1"/>
  <c r="P125" i="6" l="1"/>
  <c r="E126" i="6" s="1"/>
  <c r="F126" i="6" s="1"/>
  <c r="G126" i="6" s="1"/>
  <c r="H126" i="6" s="1"/>
  <c r="N126" i="6" s="1"/>
  <c r="O126" i="6" s="1"/>
  <c r="R125" i="6"/>
  <c r="R125" i="5"/>
  <c r="P125" i="5"/>
  <c r="E126" i="5" s="1"/>
  <c r="F126" i="5" s="1"/>
  <c r="G126" i="5" s="1"/>
  <c r="H126" i="5" s="1"/>
  <c r="N126" i="5" s="1"/>
  <c r="O126" i="5" s="1"/>
  <c r="P125" i="4"/>
  <c r="E126" i="4" s="1"/>
  <c r="F126" i="4" s="1"/>
  <c r="G126" i="4" s="1"/>
  <c r="H126" i="4" s="1"/>
  <c r="N126" i="4" s="1"/>
  <c r="O126" i="4" s="1"/>
  <c r="R125" i="4"/>
  <c r="R125" i="3"/>
  <c r="P125" i="3"/>
  <c r="E126" i="3" s="1"/>
  <c r="F126" i="3" s="1"/>
  <c r="G126" i="3" s="1"/>
  <c r="H126" i="3" s="1"/>
  <c r="N126" i="3" s="1"/>
  <c r="O126" i="3" s="1"/>
  <c r="R125" i="2"/>
  <c r="P125" i="2"/>
  <c r="E126" i="2" s="1"/>
  <c r="F126" i="2" s="1"/>
  <c r="G126" i="2" s="1"/>
  <c r="H126" i="2" s="1"/>
  <c r="N126" i="2" s="1"/>
  <c r="O126" i="2" s="1"/>
  <c r="R126" i="6" l="1"/>
  <c r="P126" i="6"/>
  <c r="E127" i="6" s="1"/>
  <c r="F127" i="6" s="1"/>
  <c r="G127" i="6" s="1"/>
  <c r="H127" i="6" s="1"/>
  <c r="N127" i="6" s="1"/>
  <c r="O127" i="6" s="1"/>
  <c r="R126" i="5"/>
  <c r="P126" i="5"/>
  <c r="E127" i="5" s="1"/>
  <c r="F127" i="5" s="1"/>
  <c r="G127" i="5" s="1"/>
  <c r="H127" i="5" s="1"/>
  <c r="N127" i="5" s="1"/>
  <c r="O127" i="5" s="1"/>
  <c r="P126" i="4"/>
  <c r="E127" i="4" s="1"/>
  <c r="F127" i="4" s="1"/>
  <c r="G127" i="4" s="1"/>
  <c r="H127" i="4" s="1"/>
  <c r="N127" i="4" s="1"/>
  <c r="O127" i="4" s="1"/>
  <c r="R126" i="4"/>
  <c r="R126" i="3"/>
  <c r="P126" i="3"/>
  <c r="E127" i="3" s="1"/>
  <c r="F127" i="3" s="1"/>
  <c r="G127" i="3" s="1"/>
  <c r="H127" i="3" s="1"/>
  <c r="N127" i="3" s="1"/>
  <c r="O127" i="3" s="1"/>
  <c r="R126" i="2"/>
  <c r="P126" i="2"/>
  <c r="E127" i="2" s="1"/>
  <c r="F127" i="2" s="1"/>
  <c r="G127" i="2" s="1"/>
  <c r="H127" i="2" s="1"/>
  <c r="N127" i="2" s="1"/>
  <c r="O127" i="2" s="1"/>
  <c r="R127" i="6" l="1"/>
  <c r="P127" i="6"/>
  <c r="E128" i="6" s="1"/>
  <c r="F128" i="6" s="1"/>
  <c r="G128" i="6" s="1"/>
  <c r="H128" i="6" s="1"/>
  <c r="N128" i="6" s="1"/>
  <c r="O128" i="6" s="1"/>
  <c r="P127" i="5"/>
  <c r="E128" i="5" s="1"/>
  <c r="F128" i="5" s="1"/>
  <c r="G128" i="5" s="1"/>
  <c r="H128" i="5" s="1"/>
  <c r="N128" i="5" s="1"/>
  <c r="O128" i="5" s="1"/>
  <c r="R127" i="5"/>
  <c r="P127" i="4"/>
  <c r="E128" i="4" s="1"/>
  <c r="F128" i="4" s="1"/>
  <c r="G128" i="4" s="1"/>
  <c r="H128" i="4" s="1"/>
  <c r="N128" i="4" s="1"/>
  <c r="O128" i="4" s="1"/>
  <c r="R127" i="4"/>
  <c r="R127" i="3"/>
  <c r="P127" i="3"/>
  <c r="E128" i="3" s="1"/>
  <c r="F128" i="3" s="1"/>
  <c r="G128" i="3" s="1"/>
  <c r="H128" i="3" s="1"/>
  <c r="N128" i="3" s="1"/>
  <c r="O128" i="3" s="1"/>
  <c r="R127" i="2"/>
  <c r="P127" i="2"/>
  <c r="E128" i="2" s="1"/>
  <c r="F128" i="2" s="1"/>
  <c r="G128" i="2" s="1"/>
  <c r="H128" i="2" s="1"/>
  <c r="N128" i="2" s="1"/>
  <c r="O128" i="2" s="1"/>
  <c r="R128" i="6" l="1"/>
  <c r="P128" i="6"/>
  <c r="E129" i="6" s="1"/>
  <c r="F129" i="6" s="1"/>
  <c r="G129" i="6" s="1"/>
  <c r="H129" i="6" s="1"/>
  <c r="N129" i="6" s="1"/>
  <c r="O129" i="6" s="1"/>
  <c r="P128" i="5"/>
  <c r="E129" i="5" s="1"/>
  <c r="F129" i="5" s="1"/>
  <c r="G129" i="5" s="1"/>
  <c r="H129" i="5" s="1"/>
  <c r="N129" i="5" s="1"/>
  <c r="O129" i="5" s="1"/>
  <c r="R128" i="5"/>
  <c r="P128" i="4"/>
  <c r="E129" i="4" s="1"/>
  <c r="F129" i="4" s="1"/>
  <c r="G129" i="4" s="1"/>
  <c r="H129" i="4" s="1"/>
  <c r="N129" i="4" s="1"/>
  <c r="O129" i="4" s="1"/>
  <c r="R128" i="4"/>
  <c r="R128" i="3"/>
  <c r="P128" i="3"/>
  <c r="E129" i="3" s="1"/>
  <c r="F129" i="3" s="1"/>
  <c r="G129" i="3" s="1"/>
  <c r="H129" i="3" s="1"/>
  <c r="N129" i="3" s="1"/>
  <c r="O129" i="3" s="1"/>
  <c r="R128" i="2"/>
  <c r="P128" i="2"/>
  <c r="E129" i="2" s="1"/>
  <c r="F129" i="2" s="1"/>
  <c r="G129" i="2" s="1"/>
  <c r="H129" i="2" s="1"/>
  <c r="N129" i="2" s="1"/>
  <c r="O129" i="2" s="1"/>
  <c r="R129" i="6" l="1"/>
  <c r="P129" i="6"/>
  <c r="E130" i="6" s="1"/>
  <c r="F130" i="6" s="1"/>
  <c r="G130" i="6" s="1"/>
  <c r="H130" i="6" s="1"/>
  <c r="N130" i="6" s="1"/>
  <c r="O130" i="6" s="1"/>
  <c r="P129" i="5"/>
  <c r="E130" i="5" s="1"/>
  <c r="F130" i="5" s="1"/>
  <c r="G130" i="5" s="1"/>
  <c r="H130" i="5" s="1"/>
  <c r="N130" i="5" s="1"/>
  <c r="O130" i="5" s="1"/>
  <c r="R129" i="5"/>
  <c r="R129" i="4"/>
  <c r="P129" i="4"/>
  <c r="E130" i="4" s="1"/>
  <c r="F130" i="4" s="1"/>
  <c r="G130" i="4" s="1"/>
  <c r="H130" i="4" s="1"/>
  <c r="N130" i="4" s="1"/>
  <c r="O130" i="4" s="1"/>
  <c r="R129" i="3"/>
  <c r="P129" i="3"/>
  <c r="E130" i="3" s="1"/>
  <c r="F130" i="3" s="1"/>
  <c r="G130" i="3" s="1"/>
  <c r="H130" i="3" s="1"/>
  <c r="N130" i="3" s="1"/>
  <c r="O130" i="3" s="1"/>
  <c r="R129" i="2"/>
  <c r="P129" i="2"/>
  <c r="E130" i="2" s="1"/>
  <c r="F130" i="2" s="1"/>
  <c r="G130" i="2" s="1"/>
  <c r="H130" i="2" s="1"/>
  <c r="N130" i="2" s="1"/>
  <c r="O130" i="2" s="1"/>
  <c r="R130" i="6" l="1"/>
  <c r="P130" i="6"/>
  <c r="E131" i="6" s="1"/>
  <c r="F131" i="6" s="1"/>
  <c r="G131" i="6" s="1"/>
  <c r="H131" i="6" s="1"/>
  <c r="N131" i="6" s="1"/>
  <c r="O131" i="6" s="1"/>
  <c r="P130" i="5"/>
  <c r="E131" i="5" s="1"/>
  <c r="F131" i="5" s="1"/>
  <c r="G131" i="5" s="1"/>
  <c r="H131" i="5" s="1"/>
  <c r="N131" i="5" s="1"/>
  <c r="O131" i="5" s="1"/>
  <c r="R130" i="5"/>
  <c r="R130" i="4"/>
  <c r="P130" i="4"/>
  <c r="E131" i="4" s="1"/>
  <c r="F131" i="4" s="1"/>
  <c r="G131" i="4" s="1"/>
  <c r="H131" i="4" s="1"/>
  <c r="N131" i="4" s="1"/>
  <c r="O131" i="4" s="1"/>
  <c r="R130" i="3"/>
  <c r="P130" i="3"/>
  <c r="E131" i="3" s="1"/>
  <c r="F131" i="3" s="1"/>
  <c r="G131" i="3" s="1"/>
  <c r="H131" i="3" s="1"/>
  <c r="N131" i="3" s="1"/>
  <c r="O131" i="3" s="1"/>
  <c r="R130" i="2"/>
  <c r="P130" i="2"/>
  <c r="E131" i="2" s="1"/>
  <c r="F131" i="2" s="1"/>
  <c r="G131" i="2" s="1"/>
  <c r="H131" i="2" s="1"/>
  <c r="N131" i="2" s="1"/>
  <c r="O131" i="2" s="1"/>
  <c r="R131" i="6" l="1"/>
  <c r="P131" i="6"/>
  <c r="E132" i="6" s="1"/>
  <c r="F132" i="6" s="1"/>
  <c r="G132" i="6" s="1"/>
  <c r="H132" i="6" s="1"/>
  <c r="N132" i="6" s="1"/>
  <c r="O132" i="6" s="1"/>
  <c r="R131" i="5"/>
  <c r="P131" i="5"/>
  <c r="E132" i="5" s="1"/>
  <c r="F132" i="5" s="1"/>
  <c r="G132" i="5" s="1"/>
  <c r="H132" i="5" s="1"/>
  <c r="N132" i="5" s="1"/>
  <c r="O132" i="5" s="1"/>
  <c r="R131" i="4"/>
  <c r="P131" i="4"/>
  <c r="E132" i="4" s="1"/>
  <c r="F132" i="4" s="1"/>
  <c r="G132" i="4" s="1"/>
  <c r="H132" i="4" s="1"/>
  <c r="N132" i="4" s="1"/>
  <c r="O132" i="4" s="1"/>
  <c r="R131" i="3"/>
  <c r="P131" i="3"/>
  <c r="E132" i="3" s="1"/>
  <c r="F132" i="3" s="1"/>
  <c r="G132" i="3" s="1"/>
  <c r="H132" i="3" s="1"/>
  <c r="N132" i="3" s="1"/>
  <c r="O132" i="3" s="1"/>
  <c r="R131" i="2"/>
  <c r="P131" i="2"/>
  <c r="E132" i="2" s="1"/>
  <c r="F132" i="2" s="1"/>
  <c r="G132" i="2" s="1"/>
  <c r="H132" i="2" s="1"/>
  <c r="N132" i="2" s="1"/>
  <c r="O132" i="2" s="1"/>
  <c r="R132" i="6" l="1"/>
  <c r="P132" i="6"/>
  <c r="E133" i="6" s="1"/>
  <c r="F133" i="6" s="1"/>
  <c r="G133" i="6" s="1"/>
  <c r="H133" i="6" s="1"/>
  <c r="N133" i="6" s="1"/>
  <c r="O133" i="6" s="1"/>
  <c r="R132" i="5"/>
  <c r="P132" i="5"/>
  <c r="E133" i="5" s="1"/>
  <c r="F133" i="5" s="1"/>
  <c r="G133" i="5" s="1"/>
  <c r="H133" i="5" s="1"/>
  <c r="N133" i="5" s="1"/>
  <c r="O133" i="5" s="1"/>
  <c r="R132" i="4"/>
  <c r="P132" i="4"/>
  <c r="E133" i="4" s="1"/>
  <c r="F133" i="4" s="1"/>
  <c r="G133" i="4" s="1"/>
  <c r="H133" i="4" s="1"/>
  <c r="N133" i="4" s="1"/>
  <c r="O133" i="4" s="1"/>
  <c r="R132" i="3"/>
  <c r="P132" i="3"/>
  <c r="E133" i="3" s="1"/>
  <c r="F133" i="3" s="1"/>
  <c r="G133" i="3" s="1"/>
  <c r="H133" i="3" s="1"/>
  <c r="N133" i="3" s="1"/>
  <c r="O133" i="3" s="1"/>
  <c r="R132" i="2"/>
  <c r="P132" i="2"/>
  <c r="E133" i="2" s="1"/>
  <c r="F133" i="2" s="1"/>
  <c r="G133" i="2" s="1"/>
  <c r="H133" i="2" s="1"/>
  <c r="N133" i="2" s="1"/>
  <c r="O133" i="2" s="1"/>
  <c r="R133" i="6" l="1"/>
  <c r="P133" i="6"/>
  <c r="E134" i="6" s="1"/>
  <c r="F134" i="6" s="1"/>
  <c r="G134" i="6" s="1"/>
  <c r="H134" i="6" s="1"/>
  <c r="N134" i="6" s="1"/>
  <c r="O134" i="6" s="1"/>
  <c r="R133" i="5"/>
  <c r="P133" i="5"/>
  <c r="E134" i="5" s="1"/>
  <c r="F134" i="5" s="1"/>
  <c r="G134" i="5" s="1"/>
  <c r="H134" i="5" s="1"/>
  <c r="N134" i="5" s="1"/>
  <c r="O134" i="5" s="1"/>
  <c r="R133" i="4"/>
  <c r="P133" i="4"/>
  <c r="E134" i="4" s="1"/>
  <c r="F134" i="4" s="1"/>
  <c r="G134" i="4" s="1"/>
  <c r="H134" i="4" s="1"/>
  <c r="N134" i="4" s="1"/>
  <c r="O134" i="4" s="1"/>
  <c r="R133" i="3"/>
  <c r="P133" i="3"/>
  <c r="E134" i="3" s="1"/>
  <c r="F134" i="3" s="1"/>
  <c r="G134" i="3" s="1"/>
  <c r="H134" i="3" s="1"/>
  <c r="N134" i="3" s="1"/>
  <c r="O134" i="3" s="1"/>
  <c r="R133" i="2"/>
  <c r="P133" i="2"/>
  <c r="E134" i="2" s="1"/>
  <c r="F134" i="2" s="1"/>
  <c r="G134" i="2" s="1"/>
  <c r="H134" i="2" s="1"/>
  <c r="N134" i="2" s="1"/>
  <c r="O134" i="2" s="1"/>
  <c r="R134" i="6" l="1"/>
  <c r="P134" i="6"/>
  <c r="E135" i="6" s="1"/>
  <c r="F135" i="6" s="1"/>
  <c r="G135" i="6" s="1"/>
  <c r="H135" i="6" s="1"/>
  <c r="N135" i="6" s="1"/>
  <c r="O135" i="6" s="1"/>
  <c r="R134" i="5"/>
  <c r="P134" i="5"/>
  <c r="E135" i="5" s="1"/>
  <c r="F135" i="5" s="1"/>
  <c r="G135" i="5" s="1"/>
  <c r="H135" i="5" s="1"/>
  <c r="N135" i="5" s="1"/>
  <c r="O135" i="5" s="1"/>
  <c r="R134" i="4"/>
  <c r="P134" i="4"/>
  <c r="E135" i="4" s="1"/>
  <c r="F135" i="4" s="1"/>
  <c r="G135" i="4" s="1"/>
  <c r="H135" i="4" s="1"/>
  <c r="N135" i="4" s="1"/>
  <c r="O135" i="4" s="1"/>
  <c r="R134" i="3"/>
  <c r="P134" i="3"/>
  <c r="E135" i="3" s="1"/>
  <c r="F135" i="3" s="1"/>
  <c r="G135" i="3" s="1"/>
  <c r="H135" i="3" s="1"/>
  <c r="N135" i="3" s="1"/>
  <c r="O135" i="3" s="1"/>
  <c r="R134" i="2"/>
  <c r="P134" i="2"/>
  <c r="E135" i="2" s="1"/>
  <c r="F135" i="2" s="1"/>
  <c r="G135" i="2" s="1"/>
  <c r="H135" i="2" s="1"/>
  <c r="N135" i="2" s="1"/>
  <c r="O135" i="2" s="1"/>
  <c r="R135" i="6" l="1"/>
  <c r="P135" i="6"/>
  <c r="E136" i="6" s="1"/>
  <c r="F136" i="6" s="1"/>
  <c r="G136" i="6" s="1"/>
  <c r="H136" i="6" s="1"/>
  <c r="N136" i="6" s="1"/>
  <c r="O136" i="6" s="1"/>
  <c r="R135" i="5"/>
  <c r="P135" i="5"/>
  <c r="E136" i="5" s="1"/>
  <c r="F136" i="5" s="1"/>
  <c r="G136" i="5" s="1"/>
  <c r="H136" i="5" s="1"/>
  <c r="N136" i="5" s="1"/>
  <c r="O136" i="5" s="1"/>
  <c r="R135" i="4"/>
  <c r="P135" i="4"/>
  <c r="E136" i="4" s="1"/>
  <c r="F136" i="4" s="1"/>
  <c r="G136" i="4" s="1"/>
  <c r="H136" i="4" s="1"/>
  <c r="N136" i="4" s="1"/>
  <c r="O136" i="4" s="1"/>
  <c r="R135" i="3"/>
  <c r="P135" i="3"/>
  <c r="E136" i="3" s="1"/>
  <c r="F136" i="3" s="1"/>
  <c r="G136" i="3" s="1"/>
  <c r="H136" i="3" s="1"/>
  <c r="N136" i="3" s="1"/>
  <c r="O136" i="3" s="1"/>
  <c r="R135" i="2"/>
  <c r="P135" i="2"/>
  <c r="E136" i="2" s="1"/>
  <c r="F136" i="2" s="1"/>
  <c r="G136" i="2" s="1"/>
  <c r="H136" i="2" s="1"/>
  <c r="N136" i="2" s="1"/>
  <c r="O136" i="2" s="1"/>
  <c r="R136" i="6" l="1"/>
  <c r="P136" i="6"/>
  <c r="E137" i="6" s="1"/>
  <c r="F137" i="6" s="1"/>
  <c r="G137" i="6" s="1"/>
  <c r="H137" i="6" s="1"/>
  <c r="N137" i="6" s="1"/>
  <c r="O137" i="6" s="1"/>
  <c r="R136" i="5"/>
  <c r="P136" i="5"/>
  <c r="E137" i="5" s="1"/>
  <c r="F137" i="5" s="1"/>
  <c r="G137" i="5" s="1"/>
  <c r="H137" i="5" s="1"/>
  <c r="N137" i="5" s="1"/>
  <c r="O137" i="5" s="1"/>
  <c r="R136" i="4"/>
  <c r="P136" i="4"/>
  <c r="E137" i="4" s="1"/>
  <c r="F137" i="4" s="1"/>
  <c r="G137" i="4" s="1"/>
  <c r="H137" i="4" s="1"/>
  <c r="N137" i="4" s="1"/>
  <c r="O137" i="4" s="1"/>
  <c r="R136" i="3"/>
  <c r="P136" i="3"/>
  <c r="E137" i="3" s="1"/>
  <c r="F137" i="3" s="1"/>
  <c r="G137" i="3" s="1"/>
  <c r="H137" i="3" s="1"/>
  <c r="N137" i="3" s="1"/>
  <c r="O137" i="3" s="1"/>
  <c r="R136" i="2"/>
  <c r="P136" i="2"/>
  <c r="E137" i="2" s="1"/>
  <c r="F137" i="2" s="1"/>
  <c r="G137" i="2" s="1"/>
  <c r="H137" i="2" s="1"/>
  <c r="N137" i="2" s="1"/>
  <c r="O137" i="2" s="1"/>
  <c r="R137" i="6" l="1"/>
  <c r="P137" i="6"/>
  <c r="E138" i="6" s="1"/>
  <c r="F138" i="6" s="1"/>
  <c r="G138" i="6" s="1"/>
  <c r="H138" i="6" s="1"/>
  <c r="N138" i="6" s="1"/>
  <c r="O138" i="6" s="1"/>
  <c r="R137" i="5"/>
  <c r="P137" i="5"/>
  <c r="E138" i="5" s="1"/>
  <c r="F138" i="5" s="1"/>
  <c r="G138" i="5" s="1"/>
  <c r="H138" i="5" s="1"/>
  <c r="N138" i="5" s="1"/>
  <c r="O138" i="5" s="1"/>
  <c r="R137" i="4"/>
  <c r="P137" i="4"/>
  <c r="E138" i="4" s="1"/>
  <c r="F138" i="4" s="1"/>
  <c r="G138" i="4" s="1"/>
  <c r="H138" i="4" s="1"/>
  <c r="N138" i="4" s="1"/>
  <c r="O138" i="4" s="1"/>
  <c r="R137" i="3"/>
  <c r="P137" i="3"/>
  <c r="E138" i="3" s="1"/>
  <c r="F138" i="3" s="1"/>
  <c r="G138" i="3" s="1"/>
  <c r="H138" i="3" s="1"/>
  <c r="N138" i="3" s="1"/>
  <c r="O138" i="3" s="1"/>
  <c r="R137" i="2"/>
  <c r="P137" i="2"/>
  <c r="E138" i="2" s="1"/>
  <c r="F138" i="2" s="1"/>
  <c r="G138" i="2" s="1"/>
  <c r="H138" i="2" s="1"/>
  <c r="N138" i="2" s="1"/>
  <c r="O138" i="2" s="1"/>
  <c r="R138" i="6" l="1"/>
  <c r="P138" i="6"/>
  <c r="E139" i="6" s="1"/>
  <c r="F139" i="6" s="1"/>
  <c r="G139" i="6" s="1"/>
  <c r="H139" i="6" s="1"/>
  <c r="N139" i="6" s="1"/>
  <c r="O139" i="6" s="1"/>
  <c r="R138" i="5"/>
  <c r="P138" i="5"/>
  <c r="E139" i="5" s="1"/>
  <c r="F139" i="5" s="1"/>
  <c r="G139" i="5" s="1"/>
  <c r="H139" i="5" s="1"/>
  <c r="N139" i="5" s="1"/>
  <c r="O139" i="5" s="1"/>
  <c r="R138" i="4"/>
  <c r="P138" i="4"/>
  <c r="E139" i="4" s="1"/>
  <c r="F139" i="4" s="1"/>
  <c r="G139" i="4" s="1"/>
  <c r="H139" i="4" s="1"/>
  <c r="N139" i="4" s="1"/>
  <c r="O139" i="4" s="1"/>
  <c r="R138" i="3"/>
  <c r="P138" i="3"/>
  <c r="E139" i="3" s="1"/>
  <c r="F139" i="3" s="1"/>
  <c r="G139" i="3" s="1"/>
  <c r="H139" i="3" s="1"/>
  <c r="N139" i="3" s="1"/>
  <c r="O139" i="3" s="1"/>
  <c r="R138" i="2"/>
  <c r="P138" i="2"/>
  <c r="E139" i="2" s="1"/>
  <c r="F139" i="2" s="1"/>
  <c r="G139" i="2" s="1"/>
  <c r="H139" i="2" s="1"/>
  <c r="N139" i="2" s="1"/>
  <c r="O139" i="2" s="1"/>
  <c r="R139" i="6" l="1"/>
  <c r="P139" i="6"/>
  <c r="E140" i="6" s="1"/>
  <c r="F140" i="6" s="1"/>
  <c r="G140" i="6" s="1"/>
  <c r="H140" i="6" s="1"/>
  <c r="N140" i="6" s="1"/>
  <c r="O140" i="6" s="1"/>
  <c r="R139" i="5"/>
  <c r="P139" i="5"/>
  <c r="E140" i="5" s="1"/>
  <c r="F140" i="5" s="1"/>
  <c r="G140" i="5" s="1"/>
  <c r="H140" i="5" s="1"/>
  <c r="N140" i="5" s="1"/>
  <c r="O140" i="5" s="1"/>
  <c r="R139" i="4"/>
  <c r="P139" i="4"/>
  <c r="E140" i="4" s="1"/>
  <c r="F140" i="4" s="1"/>
  <c r="G140" i="4" s="1"/>
  <c r="H140" i="4" s="1"/>
  <c r="N140" i="4" s="1"/>
  <c r="O140" i="4" s="1"/>
  <c r="R139" i="3"/>
  <c r="P139" i="3"/>
  <c r="E140" i="3" s="1"/>
  <c r="F140" i="3" s="1"/>
  <c r="G140" i="3" s="1"/>
  <c r="H140" i="3" s="1"/>
  <c r="N140" i="3" s="1"/>
  <c r="O140" i="3" s="1"/>
  <c r="R139" i="2"/>
  <c r="P139" i="2"/>
  <c r="E140" i="2" s="1"/>
  <c r="F140" i="2" s="1"/>
  <c r="G140" i="2" s="1"/>
  <c r="H140" i="2" s="1"/>
  <c r="N140" i="2" s="1"/>
  <c r="O140" i="2" s="1"/>
  <c r="R140" i="6" l="1"/>
  <c r="P140" i="6"/>
  <c r="E141" i="6" s="1"/>
  <c r="F141" i="6" s="1"/>
  <c r="G141" i="6" s="1"/>
  <c r="H141" i="6" s="1"/>
  <c r="N141" i="6" s="1"/>
  <c r="O141" i="6" s="1"/>
  <c r="R140" i="5"/>
  <c r="P140" i="5"/>
  <c r="E141" i="5" s="1"/>
  <c r="F141" i="5" s="1"/>
  <c r="G141" i="5" s="1"/>
  <c r="H141" i="5" s="1"/>
  <c r="N141" i="5" s="1"/>
  <c r="O141" i="5" s="1"/>
  <c r="R140" i="4"/>
  <c r="P140" i="4"/>
  <c r="E141" i="4" s="1"/>
  <c r="F141" i="4" s="1"/>
  <c r="G141" i="4" s="1"/>
  <c r="H141" i="4" s="1"/>
  <c r="N141" i="4" s="1"/>
  <c r="O141" i="4" s="1"/>
  <c r="R140" i="3"/>
  <c r="P140" i="3"/>
  <c r="E141" i="3" s="1"/>
  <c r="F141" i="3" s="1"/>
  <c r="G141" i="3" s="1"/>
  <c r="H141" i="3" s="1"/>
  <c r="N141" i="3" s="1"/>
  <c r="O141" i="3" s="1"/>
  <c r="R140" i="2"/>
  <c r="P140" i="2"/>
  <c r="E141" i="2" s="1"/>
  <c r="F141" i="2" s="1"/>
  <c r="G141" i="2" s="1"/>
  <c r="H141" i="2" s="1"/>
  <c r="N141" i="2" s="1"/>
  <c r="O141" i="2" s="1"/>
  <c r="R141" i="6" l="1"/>
  <c r="P141" i="6"/>
  <c r="E142" i="6" s="1"/>
  <c r="F142" i="6" s="1"/>
  <c r="G142" i="6" s="1"/>
  <c r="H142" i="6" s="1"/>
  <c r="N142" i="6" s="1"/>
  <c r="O142" i="6" s="1"/>
  <c r="R141" i="5"/>
  <c r="P141" i="5"/>
  <c r="E142" i="5" s="1"/>
  <c r="F142" i="5" s="1"/>
  <c r="G142" i="5" s="1"/>
  <c r="H142" i="5" s="1"/>
  <c r="N142" i="5" s="1"/>
  <c r="O142" i="5" s="1"/>
  <c r="R141" i="4"/>
  <c r="P141" i="4"/>
  <c r="E142" i="4" s="1"/>
  <c r="F142" i="4" s="1"/>
  <c r="G142" i="4" s="1"/>
  <c r="H142" i="4" s="1"/>
  <c r="N142" i="4" s="1"/>
  <c r="O142" i="4" s="1"/>
  <c r="R141" i="3"/>
  <c r="P141" i="3"/>
  <c r="E142" i="3" s="1"/>
  <c r="F142" i="3" s="1"/>
  <c r="G142" i="3" s="1"/>
  <c r="H142" i="3" s="1"/>
  <c r="N142" i="3" s="1"/>
  <c r="O142" i="3" s="1"/>
  <c r="R141" i="2"/>
  <c r="P141" i="2"/>
  <c r="E142" i="2" s="1"/>
  <c r="F142" i="2" s="1"/>
  <c r="G142" i="2" s="1"/>
  <c r="H142" i="2" s="1"/>
  <c r="N142" i="2" s="1"/>
  <c r="O142" i="2" s="1"/>
  <c r="R142" i="6" l="1"/>
  <c r="P142" i="6"/>
  <c r="E143" i="6" s="1"/>
  <c r="F143" i="6" s="1"/>
  <c r="G143" i="6" s="1"/>
  <c r="H143" i="6" s="1"/>
  <c r="N143" i="6" s="1"/>
  <c r="O143" i="6" s="1"/>
  <c r="R142" i="5"/>
  <c r="P142" i="5"/>
  <c r="E143" i="5" s="1"/>
  <c r="F143" i="5" s="1"/>
  <c r="G143" i="5" s="1"/>
  <c r="H143" i="5" s="1"/>
  <c r="N143" i="5" s="1"/>
  <c r="O143" i="5" s="1"/>
  <c r="R142" i="4"/>
  <c r="P142" i="4"/>
  <c r="E143" i="4" s="1"/>
  <c r="F143" i="4" s="1"/>
  <c r="G143" i="4" s="1"/>
  <c r="H143" i="4" s="1"/>
  <c r="N143" i="4" s="1"/>
  <c r="O143" i="4" s="1"/>
  <c r="R142" i="3"/>
  <c r="P142" i="3"/>
  <c r="E143" i="3" s="1"/>
  <c r="F143" i="3" s="1"/>
  <c r="G143" i="3" s="1"/>
  <c r="H143" i="3" s="1"/>
  <c r="N143" i="3" s="1"/>
  <c r="O143" i="3" s="1"/>
  <c r="R142" i="2"/>
  <c r="P142" i="2"/>
  <c r="E143" i="2" s="1"/>
  <c r="F143" i="2" s="1"/>
  <c r="G143" i="2" s="1"/>
  <c r="H143" i="2" s="1"/>
  <c r="N143" i="2" s="1"/>
  <c r="O143" i="2" s="1"/>
  <c r="R143" i="6" l="1"/>
  <c r="P143" i="6"/>
  <c r="E144" i="6" s="1"/>
  <c r="F144" i="6" s="1"/>
  <c r="G144" i="6" s="1"/>
  <c r="H144" i="6" s="1"/>
  <c r="N144" i="6" s="1"/>
  <c r="O144" i="6" s="1"/>
  <c r="R143" i="5"/>
  <c r="P143" i="5"/>
  <c r="E144" i="5" s="1"/>
  <c r="F144" i="5" s="1"/>
  <c r="G144" i="5" s="1"/>
  <c r="H144" i="5" s="1"/>
  <c r="N144" i="5" s="1"/>
  <c r="O144" i="5" s="1"/>
  <c r="R143" i="4"/>
  <c r="P143" i="4"/>
  <c r="E144" i="4" s="1"/>
  <c r="F144" i="4" s="1"/>
  <c r="G144" i="4" s="1"/>
  <c r="H144" i="4" s="1"/>
  <c r="N144" i="4" s="1"/>
  <c r="O144" i="4" s="1"/>
  <c r="R143" i="3"/>
  <c r="P143" i="3"/>
  <c r="E144" i="3" s="1"/>
  <c r="F144" i="3" s="1"/>
  <c r="G144" i="3" s="1"/>
  <c r="H144" i="3" s="1"/>
  <c r="N144" i="3" s="1"/>
  <c r="O144" i="3" s="1"/>
  <c r="R143" i="2"/>
  <c r="P143" i="2"/>
  <c r="E144" i="2" s="1"/>
  <c r="F144" i="2" s="1"/>
  <c r="G144" i="2" s="1"/>
  <c r="H144" i="2" s="1"/>
  <c r="N144" i="2" s="1"/>
  <c r="O144" i="2" s="1"/>
  <c r="R144" i="6" l="1"/>
  <c r="P144" i="6"/>
  <c r="E145" i="6" s="1"/>
  <c r="F145" i="6" s="1"/>
  <c r="G145" i="6" s="1"/>
  <c r="H145" i="6" s="1"/>
  <c r="N145" i="6" s="1"/>
  <c r="O145" i="6" s="1"/>
  <c r="R144" i="5"/>
  <c r="P144" i="5"/>
  <c r="E145" i="5" s="1"/>
  <c r="F145" i="5" s="1"/>
  <c r="G145" i="5" s="1"/>
  <c r="H145" i="5" s="1"/>
  <c r="N145" i="5" s="1"/>
  <c r="O145" i="5" s="1"/>
  <c r="R144" i="4"/>
  <c r="P144" i="4"/>
  <c r="E145" i="4" s="1"/>
  <c r="F145" i="4" s="1"/>
  <c r="G145" i="4" s="1"/>
  <c r="H145" i="4" s="1"/>
  <c r="N145" i="4" s="1"/>
  <c r="O145" i="4" s="1"/>
  <c r="R144" i="3"/>
  <c r="P144" i="3"/>
  <c r="E145" i="3" s="1"/>
  <c r="F145" i="3" s="1"/>
  <c r="G145" i="3" s="1"/>
  <c r="H145" i="3" s="1"/>
  <c r="N145" i="3" s="1"/>
  <c r="O145" i="3" s="1"/>
  <c r="R144" i="2"/>
  <c r="P144" i="2"/>
  <c r="E145" i="2" s="1"/>
  <c r="F145" i="2" s="1"/>
  <c r="G145" i="2" s="1"/>
  <c r="H145" i="2" s="1"/>
  <c r="N145" i="2" s="1"/>
  <c r="O145" i="2" s="1"/>
  <c r="R145" i="6" l="1"/>
  <c r="P145" i="6"/>
  <c r="E146" i="6" s="1"/>
  <c r="F146" i="6" s="1"/>
  <c r="G146" i="6" s="1"/>
  <c r="H146" i="6" s="1"/>
  <c r="N146" i="6" s="1"/>
  <c r="O146" i="6" s="1"/>
  <c r="R145" i="5"/>
  <c r="P145" i="5"/>
  <c r="E146" i="5" s="1"/>
  <c r="F146" i="5" s="1"/>
  <c r="G146" i="5" s="1"/>
  <c r="H146" i="5" s="1"/>
  <c r="N146" i="5" s="1"/>
  <c r="O146" i="5" s="1"/>
  <c r="R145" i="4"/>
  <c r="P145" i="4"/>
  <c r="E146" i="4" s="1"/>
  <c r="F146" i="4" s="1"/>
  <c r="G146" i="4" s="1"/>
  <c r="H146" i="4" s="1"/>
  <c r="N146" i="4" s="1"/>
  <c r="O146" i="4" s="1"/>
  <c r="R145" i="3"/>
  <c r="P145" i="3"/>
  <c r="E146" i="3" s="1"/>
  <c r="F146" i="3" s="1"/>
  <c r="G146" i="3" s="1"/>
  <c r="H146" i="3" s="1"/>
  <c r="N146" i="3" s="1"/>
  <c r="O146" i="3" s="1"/>
  <c r="R145" i="2"/>
  <c r="P145" i="2"/>
  <c r="E146" i="2" s="1"/>
  <c r="F146" i="2" s="1"/>
  <c r="G146" i="2" s="1"/>
  <c r="H146" i="2" s="1"/>
  <c r="N146" i="2" s="1"/>
  <c r="O146" i="2" s="1"/>
  <c r="R146" i="6" l="1"/>
  <c r="P146" i="6"/>
  <c r="E147" i="6" s="1"/>
  <c r="F147" i="6" s="1"/>
  <c r="G147" i="6" s="1"/>
  <c r="H147" i="6" s="1"/>
  <c r="N147" i="6" s="1"/>
  <c r="O147" i="6" s="1"/>
  <c r="R146" i="5"/>
  <c r="P146" i="5"/>
  <c r="E147" i="5" s="1"/>
  <c r="F147" i="5" s="1"/>
  <c r="G147" i="5" s="1"/>
  <c r="H147" i="5" s="1"/>
  <c r="N147" i="5" s="1"/>
  <c r="O147" i="5" s="1"/>
  <c r="R146" i="4"/>
  <c r="P146" i="4"/>
  <c r="E147" i="4" s="1"/>
  <c r="F147" i="4" s="1"/>
  <c r="G147" i="4" s="1"/>
  <c r="H147" i="4" s="1"/>
  <c r="N147" i="4" s="1"/>
  <c r="O147" i="4" s="1"/>
  <c r="R146" i="3"/>
  <c r="P146" i="3"/>
  <c r="E147" i="3" s="1"/>
  <c r="F147" i="3" s="1"/>
  <c r="G147" i="3" s="1"/>
  <c r="H147" i="3" s="1"/>
  <c r="N147" i="3" s="1"/>
  <c r="O147" i="3" s="1"/>
  <c r="R146" i="2"/>
  <c r="P146" i="2"/>
  <c r="E147" i="2" s="1"/>
  <c r="F147" i="2" s="1"/>
  <c r="G147" i="2" s="1"/>
  <c r="H147" i="2" s="1"/>
  <c r="N147" i="2" s="1"/>
  <c r="O147" i="2" s="1"/>
  <c r="R147" i="6" l="1"/>
  <c r="P147" i="6"/>
  <c r="E148" i="6" s="1"/>
  <c r="F148" i="6" s="1"/>
  <c r="G148" i="6" s="1"/>
  <c r="H148" i="6" s="1"/>
  <c r="N148" i="6" s="1"/>
  <c r="O148" i="6" s="1"/>
  <c r="R147" i="5"/>
  <c r="P147" i="5"/>
  <c r="E148" i="5" s="1"/>
  <c r="F148" i="5" s="1"/>
  <c r="G148" i="5" s="1"/>
  <c r="H148" i="5" s="1"/>
  <c r="N148" i="5" s="1"/>
  <c r="O148" i="5" s="1"/>
  <c r="R147" i="4"/>
  <c r="P147" i="4"/>
  <c r="E148" i="4" s="1"/>
  <c r="F148" i="4" s="1"/>
  <c r="G148" i="4" s="1"/>
  <c r="H148" i="4" s="1"/>
  <c r="N148" i="4" s="1"/>
  <c r="O148" i="4" s="1"/>
  <c r="R147" i="3"/>
  <c r="P147" i="3"/>
  <c r="E148" i="3" s="1"/>
  <c r="F148" i="3" s="1"/>
  <c r="G148" i="3" s="1"/>
  <c r="H148" i="3" s="1"/>
  <c r="N148" i="3" s="1"/>
  <c r="O148" i="3" s="1"/>
  <c r="P147" i="2"/>
  <c r="E148" i="2" s="1"/>
  <c r="F148" i="2" s="1"/>
  <c r="G148" i="2" s="1"/>
  <c r="H148" i="2" s="1"/>
  <c r="N148" i="2" s="1"/>
  <c r="O148" i="2" s="1"/>
  <c r="R147" i="2"/>
  <c r="R148" i="6" l="1"/>
  <c r="P148" i="6"/>
  <c r="E149" i="6" s="1"/>
  <c r="F149" i="6" s="1"/>
  <c r="G149" i="6" s="1"/>
  <c r="H149" i="6" s="1"/>
  <c r="N149" i="6" s="1"/>
  <c r="O149" i="6" s="1"/>
  <c r="R148" i="5"/>
  <c r="P148" i="5"/>
  <c r="E149" i="5" s="1"/>
  <c r="F149" i="5" s="1"/>
  <c r="G149" i="5" s="1"/>
  <c r="H149" i="5" s="1"/>
  <c r="N149" i="5" s="1"/>
  <c r="O149" i="5" s="1"/>
  <c r="R148" i="4"/>
  <c r="P148" i="4"/>
  <c r="E149" i="4" s="1"/>
  <c r="F149" i="4" s="1"/>
  <c r="G149" i="4" s="1"/>
  <c r="H149" i="4" s="1"/>
  <c r="N149" i="4" s="1"/>
  <c r="O149" i="4" s="1"/>
  <c r="R148" i="3"/>
  <c r="P148" i="3"/>
  <c r="E149" i="3" s="1"/>
  <c r="F149" i="3" s="1"/>
  <c r="G149" i="3" s="1"/>
  <c r="H149" i="3" s="1"/>
  <c r="N149" i="3" s="1"/>
  <c r="O149" i="3" s="1"/>
  <c r="P148" i="2"/>
  <c r="E149" i="2" s="1"/>
  <c r="F149" i="2" s="1"/>
  <c r="G149" i="2" s="1"/>
  <c r="H149" i="2" s="1"/>
  <c r="N149" i="2" s="1"/>
  <c r="O149" i="2" s="1"/>
  <c r="R148" i="2"/>
  <c r="R149" i="6" l="1"/>
  <c r="P149" i="6"/>
  <c r="E150" i="6" s="1"/>
  <c r="F150" i="6" s="1"/>
  <c r="G150" i="6" s="1"/>
  <c r="H150" i="6" s="1"/>
  <c r="N150" i="6" s="1"/>
  <c r="O150" i="6" s="1"/>
  <c r="R149" i="5"/>
  <c r="P149" i="5"/>
  <c r="E150" i="5" s="1"/>
  <c r="F150" i="5" s="1"/>
  <c r="G150" i="5" s="1"/>
  <c r="H150" i="5" s="1"/>
  <c r="N150" i="5" s="1"/>
  <c r="O150" i="5" s="1"/>
  <c r="R149" i="4"/>
  <c r="P149" i="4"/>
  <c r="E150" i="4" s="1"/>
  <c r="F150" i="4" s="1"/>
  <c r="G150" i="4" s="1"/>
  <c r="H150" i="4" s="1"/>
  <c r="N150" i="4" s="1"/>
  <c r="O150" i="4" s="1"/>
  <c r="R149" i="3"/>
  <c r="P149" i="3"/>
  <c r="E150" i="3" s="1"/>
  <c r="F150" i="3" s="1"/>
  <c r="G150" i="3" s="1"/>
  <c r="H150" i="3" s="1"/>
  <c r="N150" i="3" s="1"/>
  <c r="O150" i="3" s="1"/>
  <c r="P149" i="2"/>
  <c r="E150" i="2" s="1"/>
  <c r="F150" i="2" s="1"/>
  <c r="G150" i="2" s="1"/>
  <c r="H150" i="2" s="1"/>
  <c r="N150" i="2" s="1"/>
  <c r="O150" i="2" s="1"/>
  <c r="R149" i="2"/>
  <c r="R150" i="6" l="1"/>
  <c r="P150" i="6"/>
  <c r="E151" i="6" s="1"/>
  <c r="F151" i="6" s="1"/>
  <c r="G151" i="6" s="1"/>
  <c r="H151" i="6" s="1"/>
  <c r="N151" i="6" s="1"/>
  <c r="O151" i="6" s="1"/>
  <c r="R150" i="5"/>
  <c r="P150" i="5"/>
  <c r="E151" i="5" s="1"/>
  <c r="F151" i="5" s="1"/>
  <c r="G151" i="5" s="1"/>
  <c r="H151" i="5" s="1"/>
  <c r="N151" i="5" s="1"/>
  <c r="O151" i="5" s="1"/>
  <c r="R150" i="4"/>
  <c r="P150" i="4"/>
  <c r="E151" i="4" s="1"/>
  <c r="F151" i="4" s="1"/>
  <c r="G151" i="4" s="1"/>
  <c r="H151" i="4" s="1"/>
  <c r="N151" i="4" s="1"/>
  <c r="O151" i="4" s="1"/>
  <c r="R150" i="3"/>
  <c r="P150" i="3"/>
  <c r="E151" i="3" s="1"/>
  <c r="F151" i="3" s="1"/>
  <c r="G151" i="3" s="1"/>
  <c r="H151" i="3" s="1"/>
  <c r="N151" i="3" s="1"/>
  <c r="O151" i="3" s="1"/>
  <c r="P150" i="2"/>
  <c r="E151" i="2" s="1"/>
  <c r="F151" i="2" s="1"/>
  <c r="G151" i="2" s="1"/>
  <c r="H151" i="2" s="1"/>
  <c r="N151" i="2" s="1"/>
  <c r="O151" i="2" s="1"/>
  <c r="R150" i="2"/>
  <c r="R151" i="6" l="1"/>
  <c r="P151" i="6"/>
  <c r="E152" i="6" s="1"/>
  <c r="F152" i="6" s="1"/>
  <c r="G152" i="6" s="1"/>
  <c r="H152" i="6" s="1"/>
  <c r="N152" i="6" s="1"/>
  <c r="O152" i="6" s="1"/>
  <c r="R151" i="5"/>
  <c r="P151" i="5"/>
  <c r="E152" i="5" s="1"/>
  <c r="F152" i="5" s="1"/>
  <c r="G152" i="5" s="1"/>
  <c r="H152" i="5" s="1"/>
  <c r="N152" i="5" s="1"/>
  <c r="O152" i="5" s="1"/>
  <c r="R151" i="4"/>
  <c r="P151" i="4"/>
  <c r="E152" i="4" s="1"/>
  <c r="F152" i="4" s="1"/>
  <c r="G152" i="4" s="1"/>
  <c r="H152" i="4" s="1"/>
  <c r="N152" i="4" s="1"/>
  <c r="O152" i="4" s="1"/>
  <c r="R151" i="3"/>
  <c r="P151" i="3"/>
  <c r="E152" i="3" s="1"/>
  <c r="F152" i="3" s="1"/>
  <c r="G152" i="3" s="1"/>
  <c r="H152" i="3" s="1"/>
  <c r="N152" i="3" s="1"/>
  <c r="O152" i="3" s="1"/>
  <c r="P151" i="2"/>
  <c r="E152" i="2" s="1"/>
  <c r="F152" i="2" s="1"/>
  <c r="G152" i="2" s="1"/>
  <c r="H152" i="2" s="1"/>
  <c r="N152" i="2" s="1"/>
  <c r="O152" i="2" s="1"/>
  <c r="R151" i="2"/>
  <c r="R152" i="6" l="1"/>
  <c r="P152" i="6"/>
  <c r="E153" i="6" s="1"/>
  <c r="F153" i="6" s="1"/>
  <c r="G153" i="6" s="1"/>
  <c r="H153" i="6" s="1"/>
  <c r="N153" i="6" s="1"/>
  <c r="O153" i="6" s="1"/>
  <c r="R152" i="5"/>
  <c r="P152" i="5"/>
  <c r="E153" i="5" s="1"/>
  <c r="F153" i="5" s="1"/>
  <c r="G153" i="5" s="1"/>
  <c r="H153" i="5" s="1"/>
  <c r="N153" i="5" s="1"/>
  <c r="O153" i="5" s="1"/>
  <c r="R152" i="4"/>
  <c r="P152" i="4"/>
  <c r="E153" i="4" s="1"/>
  <c r="F153" i="4" s="1"/>
  <c r="G153" i="4" s="1"/>
  <c r="H153" i="4" s="1"/>
  <c r="N153" i="4" s="1"/>
  <c r="O153" i="4" s="1"/>
  <c r="R152" i="3"/>
  <c r="P152" i="3"/>
  <c r="E153" i="3" s="1"/>
  <c r="F153" i="3" s="1"/>
  <c r="G153" i="3" s="1"/>
  <c r="H153" i="3" s="1"/>
  <c r="N153" i="3" s="1"/>
  <c r="O153" i="3" s="1"/>
  <c r="P152" i="2"/>
  <c r="E153" i="2" s="1"/>
  <c r="F153" i="2" s="1"/>
  <c r="G153" i="2" s="1"/>
  <c r="H153" i="2" s="1"/>
  <c r="N153" i="2" s="1"/>
  <c r="O153" i="2" s="1"/>
  <c r="R152" i="2"/>
  <c r="R153" i="6" l="1"/>
  <c r="P153" i="6"/>
  <c r="E154" i="6" s="1"/>
  <c r="F154" i="6" s="1"/>
  <c r="G154" i="6" s="1"/>
  <c r="H154" i="6" s="1"/>
  <c r="N154" i="6" s="1"/>
  <c r="O154" i="6" s="1"/>
  <c r="R153" i="5"/>
  <c r="P153" i="5"/>
  <c r="E154" i="5" s="1"/>
  <c r="F154" i="5" s="1"/>
  <c r="G154" i="5" s="1"/>
  <c r="H154" i="5" s="1"/>
  <c r="N154" i="5" s="1"/>
  <c r="O154" i="5" s="1"/>
  <c r="R153" i="4"/>
  <c r="P153" i="4"/>
  <c r="E154" i="4" s="1"/>
  <c r="F154" i="4" s="1"/>
  <c r="G154" i="4" s="1"/>
  <c r="H154" i="4" s="1"/>
  <c r="N154" i="4" s="1"/>
  <c r="O154" i="4" s="1"/>
  <c r="R153" i="3"/>
  <c r="P153" i="3"/>
  <c r="E154" i="3" s="1"/>
  <c r="F154" i="3" s="1"/>
  <c r="G154" i="3" s="1"/>
  <c r="H154" i="3" s="1"/>
  <c r="N154" i="3" s="1"/>
  <c r="O154" i="3" s="1"/>
  <c r="P153" i="2"/>
  <c r="E154" i="2" s="1"/>
  <c r="F154" i="2" s="1"/>
  <c r="G154" i="2" s="1"/>
  <c r="H154" i="2" s="1"/>
  <c r="N154" i="2" s="1"/>
  <c r="O154" i="2" s="1"/>
  <c r="R153" i="2"/>
  <c r="R154" i="6" l="1"/>
  <c r="P154" i="6"/>
  <c r="E155" i="6" s="1"/>
  <c r="F155" i="6" s="1"/>
  <c r="G155" i="6" s="1"/>
  <c r="H155" i="6" s="1"/>
  <c r="N155" i="6" s="1"/>
  <c r="O155" i="6" s="1"/>
  <c r="R154" i="5"/>
  <c r="P154" i="5"/>
  <c r="E155" i="5" s="1"/>
  <c r="F155" i="5" s="1"/>
  <c r="G155" i="5" s="1"/>
  <c r="H155" i="5" s="1"/>
  <c r="N155" i="5" s="1"/>
  <c r="O155" i="5" s="1"/>
  <c r="R154" i="4"/>
  <c r="P154" i="4"/>
  <c r="E155" i="4" s="1"/>
  <c r="F155" i="4" s="1"/>
  <c r="G155" i="4" s="1"/>
  <c r="H155" i="4" s="1"/>
  <c r="N155" i="4" s="1"/>
  <c r="O155" i="4" s="1"/>
  <c r="R154" i="3"/>
  <c r="P154" i="3"/>
  <c r="E155" i="3" s="1"/>
  <c r="F155" i="3" s="1"/>
  <c r="G155" i="3" s="1"/>
  <c r="H155" i="3" s="1"/>
  <c r="N155" i="3" s="1"/>
  <c r="O155" i="3" s="1"/>
  <c r="P154" i="2"/>
  <c r="E155" i="2" s="1"/>
  <c r="F155" i="2" s="1"/>
  <c r="G155" i="2" s="1"/>
  <c r="H155" i="2" s="1"/>
  <c r="N155" i="2" s="1"/>
  <c r="O155" i="2" s="1"/>
  <c r="R154" i="2"/>
  <c r="R155" i="6" l="1"/>
  <c r="P155" i="6"/>
  <c r="E156" i="6" s="1"/>
  <c r="F156" i="6" s="1"/>
  <c r="G156" i="6" s="1"/>
  <c r="H156" i="6" s="1"/>
  <c r="N156" i="6" s="1"/>
  <c r="O156" i="6" s="1"/>
  <c r="R155" i="5"/>
  <c r="P155" i="5"/>
  <c r="E156" i="5" s="1"/>
  <c r="F156" i="5" s="1"/>
  <c r="G156" i="5" s="1"/>
  <c r="H156" i="5" s="1"/>
  <c r="N156" i="5" s="1"/>
  <c r="O156" i="5" s="1"/>
  <c r="R155" i="4"/>
  <c r="P155" i="4"/>
  <c r="E156" i="4" s="1"/>
  <c r="F156" i="4" s="1"/>
  <c r="G156" i="4" s="1"/>
  <c r="H156" i="4" s="1"/>
  <c r="N156" i="4" s="1"/>
  <c r="O156" i="4" s="1"/>
  <c r="R155" i="3"/>
  <c r="P155" i="3"/>
  <c r="E156" i="3" s="1"/>
  <c r="F156" i="3" s="1"/>
  <c r="G156" i="3" s="1"/>
  <c r="H156" i="3" s="1"/>
  <c r="N156" i="3" s="1"/>
  <c r="O156" i="3" s="1"/>
  <c r="P155" i="2"/>
  <c r="E156" i="2" s="1"/>
  <c r="F156" i="2" s="1"/>
  <c r="G156" i="2" s="1"/>
  <c r="H156" i="2" s="1"/>
  <c r="N156" i="2" s="1"/>
  <c r="O156" i="2" s="1"/>
  <c r="R155" i="2"/>
  <c r="R156" i="6" l="1"/>
  <c r="P156" i="6"/>
  <c r="E157" i="6" s="1"/>
  <c r="F157" i="6" s="1"/>
  <c r="G157" i="6" s="1"/>
  <c r="H157" i="6" s="1"/>
  <c r="N157" i="6" s="1"/>
  <c r="O157" i="6" s="1"/>
  <c r="R156" i="5"/>
  <c r="P156" i="5"/>
  <c r="E157" i="5" s="1"/>
  <c r="F157" i="5" s="1"/>
  <c r="G157" i="5" s="1"/>
  <c r="H157" i="5" s="1"/>
  <c r="N157" i="5" s="1"/>
  <c r="O157" i="5" s="1"/>
  <c r="R156" i="4"/>
  <c r="P156" i="4"/>
  <c r="E157" i="4" s="1"/>
  <c r="F157" i="4" s="1"/>
  <c r="G157" i="4" s="1"/>
  <c r="H157" i="4" s="1"/>
  <c r="N157" i="4" s="1"/>
  <c r="O157" i="4" s="1"/>
  <c r="R156" i="3"/>
  <c r="P156" i="3"/>
  <c r="E157" i="3" s="1"/>
  <c r="F157" i="3" s="1"/>
  <c r="G157" i="3" s="1"/>
  <c r="H157" i="3" s="1"/>
  <c r="N157" i="3" s="1"/>
  <c r="O157" i="3" s="1"/>
  <c r="P156" i="2"/>
  <c r="E157" i="2" s="1"/>
  <c r="F157" i="2" s="1"/>
  <c r="G157" i="2" s="1"/>
  <c r="H157" i="2" s="1"/>
  <c r="N157" i="2" s="1"/>
  <c r="O157" i="2" s="1"/>
  <c r="R156" i="2"/>
  <c r="R157" i="6" l="1"/>
  <c r="P157" i="6"/>
  <c r="E158" i="6" s="1"/>
  <c r="F158" i="6" s="1"/>
  <c r="G158" i="6" s="1"/>
  <c r="H158" i="6" s="1"/>
  <c r="N158" i="6" s="1"/>
  <c r="O158" i="6" s="1"/>
  <c r="R157" i="5"/>
  <c r="P157" i="5"/>
  <c r="E158" i="5" s="1"/>
  <c r="F158" i="5" s="1"/>
  <c r="G158" i="5" s="1"/>
  <c r="H158" i="5" s="1"/>
  <c r="N158" i="5" s="1"/>
  <c r="O158" i="5" s="1"/>
  <c r="R157" i="4"/>
  <c r="P157" i="4"/>
  <c r="E158" i="4" s="1"/>
  <c r="F158" i="4" s="1"/>
  <c r="G158" i="4" s="1"/>
  <c r="H158" i="4" s="1"/>
  <c r="N158" i="4" s="1"/>
  <c r="O158" i="4" s="1"/>
  <c r="R157" i="3"/>
  <c r="P157" i="3"/>
  <c r="E158" i="3" s="1"/>
  <c r="F158" i="3" s="1"/>
  <c r="G158" i="3" s="1"/>
  <c r="H158" i="3" s="1"/>
  <c r="N158" i="3" s="1"/>
  <c r="O158" i="3" s="1"/>
  <c r="P157" i="2"/>
  <c r="E158" i="2" s="1"/>
  <c r="F158" i="2" s="1"/>
  <c r="G158" i="2" s="1"/>
  <c r="H158" i="2" s="1"/>
  <c r="N158" i="2" s="1"/>
  <c r="O158" i="2" s="1"/>
  <c r="R157" i="2"/>
  <c r="R158" i="6" l="1"/>
  <c r="P158" i="6"/>
  <c r="E159" i="6" s="1"/>
  <c r="F159" i="6" s="1"/>
  <c r="G159" i="6" s="1"/>
  <c r="H159" i="6" s="1"/>
  <c r="N159" i="6" s="1"/>
  <c r="O159" i="6" s="1"/>
  <c r="R158" i="5"/>
  <c r="P158" i="5"/>
  <c r="E159" i="5" s="1"/>
  <c r="F159" i="5" s="1"/>
  <c r="G159" i="5" s="1"/>
  <c r="H159" i="5" s="1"/>
  <c r="N159" i="5" s="1"/>
  <c r="O159" i="5" s="1"/>
  <c r="R158" i="4"/>
  <c r="P158" i="4"/>
  <c r="E159" i="4" s="1"/>
  <c r="F159" i="4" s="1"/>
  <c r="G159" i="4" s="1"/>
  <c r="H159" i="4" s="1"/>
  <c r="N159" i="4" s="1"/>
  <c r="O159" i="4" s="1"/>
  <c r="R158" i="3"/>
  <c r="P158" i="3"/>
  <c r="E159" i="3" s="1"/>
  <c r="F159" i="3" s="1"/>
  <c r="G159" i="3" s="1"/>
  <c r="H159" i="3" s="1"/>
  <c r="N159" i="3" s="1"/>
  <c r="O159" i="3" s="1"/>
  <c r="P158" i="2"/>
  <c r="E159" i="2" s="1"/>
  <c r="F159" i="2" s="1"/>
  <c r="G159" i="2" s="1"/>
  <c r="H159" i="2" s="1"/>
  <c r="N159" i="2" s="1"/>
  <c r="O159" i="2" s="1"/>
  <c r="R158" i="2"/>
  <c r="R159" i="6" l="1"/>
  <c r="P159" i="6"/>
  <c r="E160" i="6" s="1"/>
  <c r="F160" i="6" s="1"/>
  <c r="G160" i="6" s="1"/>
  <c r="H160" i="6" s="1"/>
  <c r="N160" i="6" s="1"/>
  <c r="O160" i="6" s="1"/>
  <c r="R159" i="5"/>
  <c r="P159" i="5"/>
  <c r="E160" i="5" s="1"/>
  <c r="F160" i="5" s="1"/>
  <c r="G160" i="5" s="1"/>
  <c r="H160" i="5" s="1"/>
  <c r="N160" i="5" s="1"/>
  <c r="O160" i="5" s="1"/>
  <c r="R159" i="4"/>
  <c r="P159" i="4"/>
  <c r="E160" i="4" s="1"/>
  <c r="F160" i="4" s="1"/>
  <c r="G160" i="4" s="1"/>
  <c r="H160" i="4" s="1"/>
  <c r="N160" i="4" s="1"/>
  <c r="O160" i="4" s="1"/>
  <c r="R159" i="3"/>
  <c r="P159" i="3"/>
  <c r="E160" i="3" s="1"/>
  <c r="F160" i="3" s="1"/>
  <c r="G160" i="3" s="1"/>
  <c r="H160" i="3" s="1"/>
  <c r="N160" i="3" s="1"/>
  <c r="O160" i="3" s="1"/>
  <c r="P159" i="2"/>
  <c r="E160" i="2" s="1"/>
  <c r="F160" i="2" s="1"/>
  <c r="G160" i="2" s="1"/>
  <c r="H160" i="2" s="1"/>
  <c r="N160" i="2" s="1"/>
  <c r="O160" i="2" s="1"/>
  <c r="R159" i="2"/>
  <c r="R160" i="6" l="1"/>
  <c r="P160" i="6"/>
  <c r="E161" i="6" s="1"/>
  <c r="F161" i="6" s="1"/>
  <c r="G161" i="6" s="1"/>
  <c r="H161" i="6" s="1"/>
  <c r="N161" i="6" s="1"/>
  <c r="O161" i="6" s="1"/>
  <c r="R160" i="5"/>
  <c r="P160" i="5"/>
  <c r="E161" i="5" s="1"/>
  <c r="F161" i="5" s="1"/>
  <c r="G161" i="5" s="1"/>
  <c r="H161" i="5" s="1"/>
  <c r="N161" i="5" s="1"/>
  <c r="O161" i="5" s="1"/>
  <c r="R160" i="4"/>
  <c r="P160" i="4"/>
  <c r="E161" i="4" s="1"/>
  <c r="F161" i="4" s="1"/>
  <c r="G161" i="4" s="1"/>
  <c r="H161" i="4" s="1"/>
  <c r="N161" i="4" s="1"/>
  <c r="O161" i="4" s="1"/>
  <c r="R160" i="3"/>
  <c r="P160" i="3"/>
  <c r="E161" i="3" s="1"/>
  <c r="F161" i="3" s="1"/>
  <c r="G161" i="3" s="1"/>
  <c r="H161" i="3" s="1"/>
  <c r="N161" i="3" s="1"/>
  <c r="O161" i="3" s="1"/>
  <c r="P160" i="2"/>
  <c r="E161" i="2" s="1"/>
  <c r="F161" i="2" s="1"/>
  <c r="G161" i="2" s="1"/>
  <c r="H161" i="2" s="1"/>
  <c r="N161" i="2" s="1"/>
  <c r="O161" i="2" s="1"/>
  <c r="R160" i="2"/>
  <c r="R161" i="6" l="1"/>
  <c r="P161" i="6"/>
  <c r="E162" i="6" s="1"/>
  <c r="F162" i="6" s="1"/>
  <c r="G162" i="6" s="1"/>
  <c r="H162" i="6" s="1"/>
  <c r="N162" i="6" s="1"/>
  <c r="O162" i="6" s="1"/>
  <c r="R161" i="5"/>
  <c r="P161" i="5"/>
  <c r="E162" i="5" s="1"/>
  <c r="F162" i="5" s="1"/>
  <c r="G162" i="5" s="1"/>
  <c r="H162" i="5" s="1"/>
  <c r="N162" i="5" s="1"/>
  <c r="O162" i="5" s="1"/>
  <c r="R161" i="4"/>
  <c r="P161" i="4"/>
  <c r="E162" i="4" s="1"/>
  <c r="F162" i="4" s="1"/>
  <c r="G162" i="4" s="1"/>
  <c r="H162" i="4" s="1"/>
  <c r="N162" i="4" s="1"/>
  <c r="O162" i="4" s="1"/>
  <c r="R161" i="3"/>
  <c r="P161" i="3"/>
  <c r="E162" i="3" s="1"/>
  <c r="F162" i="3" s="1"/>
  <c r="G162" i="3" s="1"/>
  <c r="H162" i="3" s="1"/>
  <c r="N162" i="3" s="1"/>
  <c r="O162" i="3" s="1"/>
  <c r="P161" i="2"/>
  <c r="E162" i="2" s="1"/>
  <c r="F162" i="2" s="1"/>
  <c r="G162" i="2" s="1"/>
  <c r="H162" i="2" s="1"/>
  <c r="N162" i="2" s="1"/>
  <c r="O162" i="2" s="1"/>
  <c r="R161" i="2"/>
  <c r="R162" i="6" l="1"/>
  <c r="P162" i="6"/>
  <c r="E163" i="6" s="1"/>
  <c r="F163" i="6" s="1"/>
  <c r="G163" i="6" s="1"/>
  <c r="H163" i="6" s="1"/>
  <c r="N163" i="6" s="1"/>
  <c r="O163" i="6" s="1"/>
  <c r="P162" i="5"/>
  <c r="E163" i="5" s="1"/>
  <c r="F163" i="5" s="1"/>
  <c r="G163" i="5" s="1"/>
  <c r="H163" i="5" s="1"/>
  <c r="N163" i="5" s="1"/>
  <c r="O163" i="5" s="1"/>
  <c r="R162" i="5"/>
  <c r="R162" i="4"/>
  <c r="P162" i="4"/>
  <c r="E163" i="4" s="1"/>
  <c r="F163" i="4" s="1"/>
  <c r="G163" i="4" s="1"/>
  <c r="H163" i="4" s="1"/>
  <c r="N163" i="4" s="1"/>
  <c r="O163" i="4" s="1"/>
  <c r="R162" i="3"/>
  <c r="P162" i="3"/>
  <c r="E163" i="3" s="1"/>
  <c r="F163" i="3" s="1"/>
  <c r="G163" i="3" s="1"/>
  <c r="H163" i="3" s="1"/>
  <c r="N163" i="3" s="1"/>
  <c r="O163" i="3" s="1"/>
  <c r="P162" i="2"/>
  <c r="E163" i="2" s="1"/>
  <c r="F163" i="2" s="1"/>
  <c r="G163" i="2" s="1"/>
  <c r="H163" i="2" s="1"/>
  <c r="N163" i="2" s="1"/>
  <c r="O163" i="2" s="1"/>
  <c r="R162" i="2"/>
  <c r="R163" i="6" l="1"/>
  <c r="P163" i="6"/>
  <c r="E164" i="6" s="1"/>
  <c r="F164" i="6" s="1"/>
  <c r="G164" i="6" s="1"/>
  <c r="H164" i="6" s="1"/>
  <c r="N164" i="6" s="1"/>
  <c r="O164" i="6" s="1"/>
  <c r="P163" i="5"/>
  <c r="E164" i="5" s="1"/>
  <c r="F164" i="5" s="1"/>
  <c r="G164" i="5" s="1"/>
  <c r="H164" i="5" s="1"/>
  <c r="N164" i="5" s="1"/>
  <c r="O164" i="5" s="1"/>
  <c r="R163" i="5"/>
  <c r="R163" i="4"/>
  <c r="P163" i="4"/>
  <c r="E164" i="4" s="1"/>
  <c r="F164" i="4" s="1"/>
  <c r="G164" i="4" s="1"/>
  <c r="H164" i="4" s="1"/>
  <c r="N164" i="4" s="1"/>
  <c r="O164" i="4" s="1"/>
  <c r="R163" i="3"/>
  <c r="P163" i="3"/>
  <c r="E164" i="3" s="1"/>
  <c r="F164" i="3" s="1"/>
  <c r="G164" i="3" s="1"/>
  <c r="H164" i="3" s="1"/>
  <c r="N164" i="3" s="1"/>
  <c r="O164" i="3" s="1"/>
  <c r="P163" i="2"/>
  <c r="E164" i="2" s="1"/>
  <c r="F164" i="2" s="1"/>
  <c r="G164" i="2" s="1"/>
  <c r="H164" i="2" s="1"/>
  <c r="N164" i="2" s="1"/>
  <c r="O164" i="2" s="1"/>
  <c r="R163" i="2"/>
  <c r="R164" i="6" l="1"/>
  <c r="P164" i="6"/>
  <c r="E165" i="6" s="1"/>
  <c r="F165" i="6" s="1"/>
  <c r="G165" i="6" s="1"/>
  <c r="H165" i="6" s="1"/>
  <c r="N165" i="6" s="1"/>
  <c r="O165" i="6" s="1"/>
  <c r="P164" i="5"/>
  <c r="E165" i="5" s="1"/>
  <c r="F165" i="5" s="1"/>
  <c r="G165" i="5" s="1"/>
  <c r="H165" i="5" s="1"/>
  <c r="N165" i="5" s="1"/>
  <c r="O165" i="5" s="1"/>
  <c r="R164" i="5"/>
  <c r="R164" i="4"/>
  <c r="P164" i="4"/>
  <c r="E165" i="4" s="1"/>
  <c r="F165" i="4" s="1"/>
  <c r="G165" i="4" s="1"/>
  <c r="H165" i="4" s="1"/>
  <c r="N165" i="4" s="1"/>
  <c r="O165" i="4" s="1"/>
  <c r="R164" i="3"/>
  <c r="P164" i="3"/>
  <c r="E165" i="3" s="1"/>
  <c r="F165" i="3" s="1"/>
  <c r="G165" i="3" s="1"/>
  <c r="H165" i="3" s="1"/>
  <c r="N165" i="3" s="1"/>
  <c r="O165" i="3" s="1"/>
  <c r="P164" i="2"/>
  <c r="E165" i="2" s="1"/>
  <c r="F165" i="2" s="1"/>
  <c r="G165" i="2" s="1"/>
  <c r="H165" i="2" s="1"/>
  <c r="N165" i="2" s="1"/>
  <c r="O165" i="2" s="1"/>
  <c r="R164" i="2"/>
  <c r="R165" i="6" l="1"/>
  <c r="P165" i="6"/>
  <c r="E166" i="6" s="1"/>
  <c r="F166" i="6" s="1"/>
  <c r="G166" i="6" s="1"/>
  <c r="H166" i="6" s="1"/>
  <c r="N166" i="6" s="1"/>
  <c r="O166" i="6" s="1"/>
  <c r="P165" i="5"/>
  <c r="E166" i="5" s="1"/>
  <c r="F166" i="5" s="1"/>
  <c r="G166" i="5" s="1"/>
  <c r="H166" i="5" s="1"/>
  <c r="N166" i="5" s="1"/>
  <c r="O166" i="5" s="1"/>
  <c r="R165" i="5"/>
  <c r="P165" i="4"/>
  <c r="E166" i="4" s="1"/>
  <c r="F166" i="4" s="1"/>
  <c r="G166" i="4" s="1"/>
  <c r="H166" i="4" s="1"/>
  <c r="N166" i="4" s="1"/>
  <c r="O166" i="4" s="1"/>
  <c r="R165" i="4"/>
  <c r="R165" i="3"/>
  <c r="P165" i="3"/>
  <c r="E166" i="3" s="1"/>
  <c r="F166" i="3" s="1"/>
  <c r="G166" i="3" s="1"/>
  <c r="H166" i="3" s="1"/>
  <c r="N166" i="3" s="1"/>
  <c r="O166" i="3" s="1"/>
  <c r="P165" i="2"/>
  <c r="E166" i="2" s="1"/>
  <c r="F166" i="2" s="1"/>
  <c r="G166" i="2" s="1"/>
  <c r="H166" i="2" s="1"/>
  <c r="N166" i="2" s="1"/>
  <c r="O166" i="2" s="1"/>
  <c r="R165" i="2"/>
  <c r="R166" i="6" l="1"/>
  <c r="P166" i="6"/>
  <c r="E167" i="6" s="1"/>
  <c r="F167" i="6" s="1"/>
  <c r="G167" i="6" s="1"/>
  <c r="H167" i="6" s="1"/>
  <c r="N167" i="6" s="1"/>
  <c r="O167" i="6" s="1"/>
  <c r="P166" i="5"/>
  <c r="E167" i="5" s="1"/>
  <c r="F167" i="5" s="1"/>
  <c r="G167" i="5" s="1"/>
  <c r="H167" i="5" s="1"/>
  <c r="N167" i="5" s="1"/>
  <c r="O167" i="5" s="1"/>
  <c r="R166" i="5"/>
  <c r="P166" i="4"/>
  <c r="E167" i="4" s="1"/>
  <c r="F167" i="4" s="1"/>
  <c r="G167" i="4" s="1"/>
  <c r="H167" i="4" s="1"/>
  <c r="N167" i="4" s="1"/>
  <c r="O167" i="4" s="1"/>
  <c r="R166" i="4"/>
  <c r="R166" i="3"/>
  <c r="P166" i="3"/>
  <c r="E167" i="3" s="1"/>
  <c r="F167" i="3" s="1"/>
  <c r="G167" i="3" s="1"/>
  <c r="H167" i="3" s="1"/>
  <c r="N167" i="3" s="1"/>
  <c r="O167" i="3" s="1"/>
  <c r="P166" i="2"/>
  <c r="E167" i="2" s="1"/>
  <c r="F167" i="2" s="1"/>
  <c r="G167" i="2" s="1"/>
  <c r="H167" i="2" s="1"/>
  <c r="N167" i="2" s="1"/>
  <c r="O167" i="2" s="1"/>
  <c r="R166" i="2"/>
  <c r="R167" i="6" l="1"/>
  <c r="P167" i="6"/>
  <c r="E168" i="6" s="1"/>
  <c r="F168" i="6" s="1"/>
  <c r="G168" i="6" s="1"/>
  <c r="H168" i="6" s="1"/>
  <c r="N168" i="6" s="1"/>
  <c r="O168" i="6" s="1"/>
  <c r="P167" i="5"/>
  <c r="E168" i="5" s="1"/>
  <c r="F168" i="5" s="1"/>
  <c r="G168" i="5" s="1"/>
  <c r="H168" i="5" s="1"/>
  <c r="N168" i="5" s="1"/>
  <c r="O168" i="5" s="1"/>
  <c r="R167" i="5"/>
  <c r="P167" i="4"/>
  <c r="E168" i="4" s="1"/>
  <c r="F168" i="4" s="1"/>
  <c r="G168" i="4" s="1"/>
  <c r="H168" i="4" s="1"/>
  <c r="N168" i="4" s="1"/>
  <c r="O168" i="4" s="1"/>
  <c r="R167" i="4"/>
  <c r="R167" i="3"/>
  <c r="P167" i="3"/>
  <c r="E168" i="3" s="1"/>
  <c r="F168" i="3" s="1"/>
  <c r="G168" i="3" s="1"/>
  <c r="H168" i="3" s="1"/>
  <c r="N168" i="3" s="1"/>
  <c r="O168" i="3" s="1"/>
  <c r="P167" i="2"/>
  <c r="E168" i="2" s="1"/>
  <c r="F168" i="2" s="1"/>
  <c r="G168" i="2" s="1"/>
  <c r="H168" i="2" s="1"/>
  <c r="N168" i="2" s="1"/>
  <c r="O168" i="2" s="1"/>
  <c r="R167" i="2"/>
  <c r="R168" i="6" l="1"/>
  <c r="P168" i="6"/>
  <c r="E169" i="6" s="1"/>
  <c r="F169" i="6" s="1"/>
  <c r="G169" i="6" s="1"/>
  <c r="H169" i="6" s="1"/>
  <c r="N169" i="6" s="1"/>
  <c r="O169" i="6" s="1"/>
  <c r="P168" i="5"/>
  <c r="E169" i="5" s="1"/>
  <c r="F169" i="5" s="1"/>
  <c r="G169" i="5" s="1"/>
  <c r="H169" i="5" s="1"/>
  <c r="N169" i="5" s="1"/>
  <c r="O169" i="5" s="1"/>
  <c r="R168" i="5"/>
  <c r="P168" i="4"/>
  <c r="E169" i="4" s="1"/>
  <c r="F169" i="4" s="1"/>
  <c r="G169" i="4" s="1"/>
  <c r="H169" i="4" s="1"/>
  <c r="N169" i="4" s="1"/>
  <c r="O169" i="4" s="1"/>
  <c r="R168" i="4"/>
  <c r="R168" i="3"/>
  <c r="P168" i="3"/>
  <c r="E169" i="3" s="1"/>
  <c r="F169" i="3" s="1"/>
  <c r="G169" i="3" s="1"/>
  <c r="H169" i="3" s="1"/>
  <c r="N169" i="3" s="1"/>
  <c r="O169" i="3" s="1"/>
  <c r="P168" i="2"/>
  <c r="E169" i="2" s="1"/>
  <c r="F169" i="2" s="1"/>
  <c r="G169" i="2" s="1"/>
  <c r="H169" i="2" s="1"/>
  <c r="N169" i="2" s="1"/>
  <c r="O169" i="2" s="1"/>
  <c r="R168" i="2"/>
  <c r="R169" i="6" l="1"/>
  <c r="P169" i="6"/>
  <c r="E170" i="6" s="1"/>
  <c r="F170" i="6" s="1"/>
  <c r="G170" i="6" s="1"/>
  <c r="H170" i="6" s="1"/>
  <c r="N170" i="6" s="1"/>
  <c r="O170" i="6" s="1"/>
  <c r="P169" i="5"/>
  <c r="E170" i="5" s="1"/>
  <c r="F170" i="5" s="1"/>
  <c r="G170" i="5" s="1"/>
  <c r="H170" i="5" s="1"/>
  <c r="N170" i="5" s="1"/>
  <c r="O170" i="5" s="1"/>
  <c r="R169" i="5"/>
  <c r="P169" i="4"/>
  <c r="E170" i="4" s="1"/>
  <c r="F170" i="4" s="1"/>
  <c r="G170" i="4" s="1"/>
  <c r="H170" i="4" s="1"/>
  <c r="N170" i="4" s="1"/>
  <c r="O170" i="4" s="1"/>
  <c r="R169" i="4"/>
  <c r="R169" i="3"/>
  <c r="P169" i="3"/>
  <c r="E170" i="3" s="1"/>
  <c r="F170" i="3" s="1"/>
  <c r="G170" i="3" s="1"/>
  <c r="H170" i="3" s="1"/>
  <c r="N170" i="3" s="1"/>
  <c r="O170" i="3" s="1"/>
  <c r="P169" i="2"/>
  <c r="E170" i="2" s="1"/>
  <c r="F170" i="2" s="1"/>
  <c r="G170" i="2" s="1"/>
  <c r="H170" i="2" s="1"/>
  <c r="N170" i="2" s="1"/>
  <c r="O170" i="2" s="1"/>
  <c r="R169" i="2"/>
  <c r="R170" i="6" l="1"/>
  <c r="P170" i="6"/>
  <c r="E171" i="6" s="1"/>
  <c r="F171" i="6" s="1"/>
  <c r="G171" i="6" s="1"/>
  <c r="H171" i="6" s="1"/>
  <c r="N171" i="6" s="1"/>
  <c r="O171" i="6" s="1"/>
  <c r="P170" i="5"/>
  <c r="E171" i="5" s="1"/>
  <c r="F171" i="5" s="1"/>
  <c r="G171" i="5" s="1"/>
  <c r="H171" i="5" s="1"/>
  <c r="N171" i="5" s="1"/>
  <c r="O171" i="5" s="1"/>
  <c r="R170" i="5"/>
  <c r="P170" i="4"/>
  <c r="E171" i="4" s="1"/>
  <c r="F171" i="4" s="1"/>
  <c r="G171" i="4" s="1"/>
  <c r="H171" i="4" s="1"/>
  <c r="N171" i="4" s="1"/>
  <c r="O171" i="4" s="1"/>
  <c r="R170" i="4"/>
  <c r="R170" i="3"/>
  <c r="P170" i="3"/>
  <c r="E171" i="3" s="1"/>
  <c r="F171" i="3" s="1"/>
  <c r="G171" i="3" s="1"/>
  <c r="H171" i="3" s="1"/>
  <c r="N171" i="3" s="1"/>
  <c r="O171" i="3" s="1"/>
  <c r="P170" i="2"/>
  <c r="E171" i="2" s="1"/>
  <c r="F171" i="2" s="1"/>
  <c r="G171" i="2" s="1"/>
  <c r="H171" i="2" s="1"/>
  <c r="N171" i="2" s="1"/>
  <c r="O171" i="2" s="1"/>
  <c r="R170" i="2"/>
  <c r="R171" i="6" l="1"/>
  <c r="P171" i="6"/>
  <c r="E172" i="6" s="1"/>
  <c r="F172" i="6" s="1"/>
  <c r="G172" i="6" s="1"/>
  <c r="H172" i="6" s="1"/>
  <c r="N172" i="6" s="1"/>
  <c r="O172" i="6" s="1"/>
  <c r="P171" i="5"/>
  <c r="E172" i="5" s="1"/>
  <c r="F172" i="5" s="1"/>
  <c r="G172" i="5" s="1"/>
  <c r="H172" i="5" s="1"/>
  <c r="N172" i="5" s="1"/>
  <c r="O172" i="5" s="1"/>
  <c r="R171" i="5"/>
  <c r="P171" i="4"/>
  <c r="E172" i="4" s="1"/>
  <c r="F172" i="4" s="1"/>
  <c r="G172" i="4" s="1"/>
  <c r="H172" i="4" s="1"/>
  <c r="N172" i="4" s="1"/>
  <c r="O172" i="4" s="1"/>
  <c r="R171" i="4"/>
  <c r="R171" i="3"/>
  <c r="P171" i="3"/>
  <c r="E172" i="3" s="1"/>
  <c r="F172" i="3" s="1"/>
  <c r="G172" i="3" s="1"/>
  <c r="H172" i="3" s="1"/>
  <c r="N172" i="3" s="1"/>
  <c r="O172" i="3" s="1"/>
  <c r="P171" i="2"/>
  <c r="E172" i="2" s="1"/>
  <c r="F172" i="2" s="1"/>
  <c r="G172" i="2" s="1"/>
  <c r="H172" i="2" s="1"/>
  <c r="N172" i="2" s="1"/>
  <c r="O172" i="2" s="1"/>
  <c r="R171" i="2"/>
  <c r="R172" i="6" l="1"/>
  <c r="P172" i="6"/>
  <c r="E173" i="6" s="1"/>
  <c r="F173" i="6" s="1"/>
  <c r="G173" i="6" s="1"/>
  <c r="H173" i="6" s="1"/>
  <c r="N173" i="6" s="1"/>
  <c r="O173" i="6" s="1"/>
  <c r="P172" i="5"/>
  <c r="E173" i="5" s="1"/>
  <c r="F173" i="5" s="1"/>
  <c r="G173" i="5" s="1"/>
  <c r="H173" i="5" s="1"/>
  <c r="N173" i="5" s="1"/>
  <c r="O173" i="5" s="1"/>
  <c r="R172" i="5"/>
  <c r="P172" i="4"/>
  <c r="E173" i="4" s="1"/>
  <c r="F173" i="4" s="1"/>
  <c r="G173" i="4" s="1"/>
  <c r="H173" i="4" s="1"/>
  <c r="N173" i="4" s="1"/>
  <c r="O173" i="4" s="1"/>
  <c r="R172" i="4"/>
  <c r="R172" i="3"/>
  <c r="P172" i="3"/>
  <c r="E173" i="3" s="1"/>
  <c r="F173" i="3" s="1"/>
  <c r="G173" i="3" s="1"/>
  <c r="H173" i="3" s="1"/>
  <c r="N173" i="3" s="1"/>
  <c r="O173" i="3" s="1"/>
  <c r="P172" i="2"/>
  <c r="E173" i="2" s="1"/>
  <c r="F173" i="2" s="1"/>
  <c r="G173" i="2" s="1"/>
  <c r="H173" i="2" s="1"/>
  <c r="N173" i="2" s="1"/>
  <c r="O173" i="2" s="1"/>
  <c r="R172" i="2"/>
  <c r="R173" i="6" l="1"/>
  <c r="P173" i="6"/>
  <c r="E174" i="6" s="1"/>
  <c r="F174" i="6" s="1"/>
  <c r="G174" i="6" s="1"/>
  <c r="H174" i="6" s="1"/>
  <c r="N174" i="6" s="1"/>
  <c r="O174" i="6" s="1"/>
  <c r="P173" i="5"/>
  <c r="E174" i="5" s="1"/>
  <c r="F174" i="5" s="1"/>
  <c r="G174" i="5" s="1"/>
  <c r="H174" i="5" s="1"/>
  <c r="N174" i="5" s="1"/>
  <c r="O174" i="5" s="1"/>
  <c r="R173" i="5"/>
  <c r="P173" i="4"/>
  <c r="E174" i="4" s="1"/>
  <c r="F174" i="4" s="1"/>
  <c r="G174" i="4" s="1"/>
  <c r="H174" i="4" s="1"/>
  <c r="N174" i="4" s="1"/>
  <c r="O174" i="4" s="1"/>
  <c r="R173" i="4"/>
  <c r="R173" i="3"/>
  <c r="P173" i="3"/>
  <c r="E174" i="3" s="1"/>
  <c r="F174" i="3" s="1"/>
  <c r="G174" i="3" s="1"/>
  <c r="H174" i="3" s="1"/>
  <c r="N174" i="3" s="1"/>
  <c r="O174" i="3" s="1"/>
  <c r="P173" i="2"/>
  <c r="E174" i="2" s="1"/>
  <c r="F174" i="2" s="1"/>
  <c r="G174" i="2" s="1"/>
  <c r="H174" i="2" s="1"/>
  <c r="N174" i="2" s="1"/>
  <c r="O174" i="2" s="1"/>
  <c r="R173" i="2"/>
  <c r="R174" i="6" l="1"/>
  <c r="P174" i="6"/>
  <c r="E175" i="6" s="1"/>
  <c r="F175" i="6" s="1"/>
  <c r="G175" i="6" s="1"/>
  <c r="H175" i="6" s="1"/>
  <c r="N175" i="6" s="1"/>
  <c r="O175" i="6" s="1"/>
  <c r="P174" i="5"/>
  <c r="E175" i="5" s="1"/>
  <c r="F175" i="5" s="1"/>
  <c r="G175" i="5" s="1"/>
  <c r="H175" i="5" s="1"/>
  <c r="N175" i="5" s="1"/>
  <c r="O175" i="5" s="1"/>
  <c r="R174" i="5"/>
  <c r="R174" i="4"/>
  <c r="P174" i="4"/>
  <c r="E175" i="4" s="1"/>
  <c r="F175" i="4" s="1"/>
  <c r="G175" i="4" s="1"/>
  <c r="H175" i="4" s="1"/>
  <c r="N175" i="4" s="1"/>
  <c r="O175" i="4" s="1"/>
  <c r="R174" i="3"/>
  <c r="P174" i="3"/>
  <c r="E175" i="3" s="1"/>
  <c r="F175" i="3" s="1"/>
  <c r="G175" i="3" s="1"/>
  <c r="H175" i="3" s="1"/>
  <c r="N175" i="3" s="1"/>
  <c r="O175" i="3" s="1"/>
  <c r="P174" i="2"/>
  <c r="E175" i="2" s="1"/>
  <c r="F175" i="2" s="1"/>
  <c r="G175" i="2" s="1"/>
  <c r="H175" i="2" s="1"/>
  <c r="N175" i="2" s="1"/>
  <c r="O175" i="2" s="1"/>
  <c r="R174" i="2"/>
  <c r="R175" i="6" l="1"/>
  <c r="P175" i="6"/>
  <c r="E176" i="6" s="1"/>
  <c r="F176" i="6" s="1"/>
  <c r="G176" i="6" s="1"/>
  <c r="H176" i="6" s="1"/>
  <c r="N176" i="6" s="1"/>
  <c r="O176" i="6" s="1"/>
  <c r="P175" i="5"/>
  <c r="E176" i="5" s="1"/>
  <c r="F176" i="5" s="1"/>
  <c r="G176" i="5" s="1"/>
  <c r="H176" i="5" s="1"/>
  <c r="N176" i="5" s="1"/>
  <c r="O176" i="5" s="1"/>
  <c r="R175" i="5"/>
  <c r="R175" i="4"/>
  <c r="P175" i="4"/>
  <c r="E176" i="4" s="1"/>
  <c r="F176" i="4" s="1"/>
  <c r="G176" i="4" s="1"/>
  <c r="H176" i="4" s="1"/>
  <c r="N176" i="4" s="1"/>
  <c r="O176" i="4" s="1"/>
  <c r="R175" i="3"/>
  <c r="P175" i="3"/>
  <c r="E176" i="3" s="1"/>
  <c r="F176" i="3" s="1"/>
  <c r="G176" i="3" s="1"/>
  <c r="H176" i="3" s="1"/>
  <c r="N176" i="3" s="1"/>
  <c r="O176" i="3" s="1"/>
  <c r="P175" i="2"/>
  <c r="E176" i="2" s="1"/>
  <c r="F176" i="2" s="1"/>
  <c r="G176" i="2" s="1"/>
  <c r="H176" i="2" s="1"/>
  <c r="N176" i="2" s="1"/>
  <c r="O176" i="2" s="1"/>
  <c r="R175" i="2"/>
  <c r="R176" i="6" l="1"/>
  <c r="P176" i="6"/>
  <c r="E177" i="6" s="1"/>
  <c r="F177" i="6" s="1"/>
  <c r="G177" i="6" s="1"/>
  <c r="H177" i="6" s="1"/>
  <c r="N177" i="6" s="1"/>
  <c r="O177" i="6" s="1"/>
  <c r="P176" i="5"/>
  <c r="E177" i="5" s="1"/>
  <c r="F177" i="5" s="1"/>
  <c r="G177" i="5" s="1"/>
  <c r="H177" i="5" s="1"/>
  <c r="N177" i="5" s="1"/>
  <c r="O177" i="5" s="1"/>
  <c r="R176" i="5"/>
  <c r="R176" i="4"/>
  <c r="P176" i="4"/>
  <c r="E177" i="4" s="1"/>
  <c r="F177" i="4" s="1"/>
  <c r="G177" i="4" s="1"/>
  <c r="H177" i="4" s="1"/>
  <c r="N177" i="4" s="1"/>
  <c r="O177" i="4" s="1"/>
  <c r="R176" i="3"/>
  <c r="P176" i="3"/>
  <c r="E177" i="3" s="1"/>
  <c r="F177" i="3" s="1"/>
  <c r="G177" i="3" s="1"/>
  <c r="H177" i="3" s="1"/>
  <c r="N177" i="3" s="1"/>
  <c r="O177" i="3" s="1"/>
  <c r="P176" i="2"/>
  <c r="E177" i="2" s="1"/>
  <c r="F177" i="2" s="1"/>
  <c r="G177" i="2" s="1"/>
  <c r="H177" i="2" s="1"/>
  <c r="N177" i="2" s="1"/>
  <c r="O177" i="2" s="1"/>
  <c r="R176" i="2"/>
  <c r="R177" i="6" l="1"/>
  <c r="P177" i="6"/>
  <c r="E178" i="6" s="1"/>
  <c r="F178" i="6" s="1"/>
  <c r="G178" i="6" s="1"/>
  <c r="H178" i="6" s="1"/>
  <c r="N178" i="6" s="1"/>
  <c r="O178" i="6" s="1"/>
  <c r="P177" i="5"/>
  <c r="E178" i="5" s="1"/>
  <c r="F178" i="5" s="1"/>
  <c r="G178" i="5" s="1"/>
  <c r="H178" i="5" s="1"/>
  <c r="N178" i="5" s="1"/>
  <c r="O178" i="5" s="1"/>
  <c r="R177" i="5"/>
  <c r="R177" i="4"/>
  <c r="P177" i="4"/>
  <c r="E178" i="4" s="1"/>
  <c r="F178" i="4" s="1"/>
  <c r="G178" i="4" s="1"/>
  <c r="H178" i="4" s="1"/>
  <c r="N178" i="4" s="1"/>
  <c r="O178" i="4" s="1"/>
  <c r="R177" i="3"/>
  <c r="P177" i="3"/>
  <c r="E178" i="3" s="1"/>
  <c r="F178" i="3" s="1"/>
  <c r="G178" i="3" s="1"/>
  <c r="H178" i="3" s="1"/>
  <c r="N178" i="3" s="1"/>
  <c r="O178" i="3" s="1"/>
  <c r="P177" i="2"/>
  <c r="E178" i="2" s="1"/>
  <c r="F178" i="2" s="1"/>
  <c r="G178" i="2" s="1"/>
  <c r="H178" i="2" s="1"/>
  <c r="N178" i="2" s="1"/>
  <c r="O178" i="2" s="1"/>
  <c r="R177" i="2"/>
  <c r="R178" i="6" l="1"/>
  <c r="P178" i="6"/>
  <c r="E179" i="6" s="1"/>
  <c r="F179" i="6" s="1"/>
  <c r="G179" i="6" s="1"/>
  <c r="H179" i="6" s="1"/>
  <c r="N179" i="6" s="1"/>
  <c r="O179" i="6" s="1"/>
  <c r="P178" i="5"/>
  <c r="E179" i="5" s="1"/>
  <c r="F179" i="5" s="1"/>
  <c r="G179" i="5" s="1"/>
  <c r="H179" i="5" s="1"/>
  <c r="N179" i="5" s="1"/>
  <c r="O179" i="5" s="1"/>
  <c r="R178" i="5"/>
  <c r="R178" i="4"/>
  <c r="P178" i="4"/>
  <c r="E179" i="4" s="1"/>
  <c r="F179" i="4" s="1"/>
  <c r="G179" i="4" s="1"/>
  <c r="H179" i="4" s="1"/>
  <c r="N179" i="4" s="1"/>
  <c r="O179" i="4" s="1"/>
  <c r="R178" i="3"/>
  <c r="P178" i="3"/>
  <c r="E179" i="3" s="1"/>
  <c r="F179" i="3" s="1"/>
  <c r="G179" i="3" s="1"/>
  <c r="H179" i="3" s="1"/>
  <c r="N179" i="3" s="1"/>
  <c r="O179" i="3" s="1"/>
  <c r="P178" i="2"/>
  <c r="E179" i="2" s="1"/>
  <c r="F179" i="2" s="1"/>
  <c r="G179" i="2" s="1"/>
  <c r="H179" i="2" s="1"/>
  <c r="N179" i="2" s="1"/>
  <c r="O179" i="2" s="1"/>
  <c r="R178" i="2"/>
  <c r="R179" i="6" l="1"/>
  <c r="P179" i="6"/>
  <c r="E180" i="6" s="1"/>
  <c r="F180" i="6" s="1"/>
  <c r="G180" i="6" s="1"/>
  <c r="H180" i="6" s="1"/>
  <c r="N180" i="6" s="1"/>
  <c r="O180" i="6" s="1"/>
  <c r="P179" i="5"/>
  <c r="E180" i="5" s="1"/>
  <c r="F180" i="5" s="1"/>
  <c r="G180" i="5" s="1"/>
  <c r="H180" i="5" s="1"/>
  <c r="N180" i="5" s="1"/>
  <c r="O180" i="5" s="1"/>
  <c r="R179" i="5"/>
  <c r="R179" i="4"/>
  <c r="P179" i="4"/>
  <c r="E180" i="4" s="1"/>
  <c r="F180" i="4" s="1"/>
  <c r="G180" i="4" s="1"/>
  <c r="H180" i="4" s="1"/>
  <c r="N180" i="4" s="1"/>
  <c r="O180" i="4" s="1"/>
  <c r="R179" i="3"/>
  <c r="P179" i="3"/>
  <c r="E180" i="3" s="1"/>
  <c r="F180" i="3" s="1"/>
  <c r="G180" i="3" s="1"/>
  <c r="H180" i="3" s="1"/>
  <c r="N180" i="3" s="1"/>
  <c r="O180" i="3" s="1"/>
  <c r="P179" i="2"/>
  <c r="E180" i="2" s="1"/>
  <c r="F180" i="2" s="1"/>
  <c r="G180" i="2" s="1"/>
  <c r="H180" i="2" s="1"/>
  <c r="N180" i="2" s="1"/>
  <c r="O180" i="2" s="1"/>
  <c r="R179" i="2"/>
  <c r="R180" i="6" l="1"/>
  <c r="P180" i="6"/>
  <c r="E181" i="6" s="1"/>
  <c r="F181" i="6" s="1"/>
  <c r="G181" i="6" s="1"/>
  <c r="H181" i="6" s="1"/>
  <c r="N181" i="6" s="1"/>
  <c r="O181" i="6" s="1"/>
  <c r="R180" i="5"/>
  <c r="P180" i="5"/>
  <c r="E181" i="5" s="1"/>
  <c r="F181" i="5" s="1"/>
  <c r="G181" i="5" s="1"/>
  <c r="H181" i="5" s="1"/>
  <c r="N181" i="5" s="1"/>
  <c r="O181" i="5" s="1"/>
  <c r="R180" i="4"/>
  <c r="P180" i="4"/>
  <c r="E181" i="4" s="1"/>
  <c r="F181" i="4" s="1"/>
  <c r="G181" i="4" s="1"/>
  <c r="H181" i="4" s="1"/>
  <c r="N181" i="4" s="1"/>
  <c r="O181" i="4" s="1"/>
  <c r="R180" i="3"/>
  <c r="P180" i="3"/>
  <c r="E181" i="3" s="1"/>
  <c r="F181" i="3" s="1"/>
  <c r="G181" i="3" s="1"/>
  <c r="H181" i="3" s="1"/>
  <c r="N181" i="3" s="1"/>
  <c r="O181" i="3" s="1"/>
  <c r="P180" i="2"/>
  <c r="E181" i="2" s="1"/>
  <c r="F181" i="2" s="1"/>
  <c r="G181" i="2" s="1"/>
  <c r="H181" i="2" s="1"/>
  <c r="N181" i="2" s="1"/>
  <c r="O181" i="2" s="1"/>
  <c r="R180" i="2"/>
  <c r="R181" i="6" l="1"/>
  <c r="P181" i="6"/>
  <c r="E182" i="6" s="1"/>
  <c r="F182" i="6" s="1"/>
  <c r="G182" i="6" s="1"/>
  <c r="H182" i="6" s="1"/>
  <c r="N182" i="6" s="1"/>
  <c r="O182" i="6" s="1"/>
  <c r="R181" i="5"/>
  <c r="P181" i="5"/>
  <c r="E182" i="5" s="1"/>
  <c r="F182" i="5" s="1"/>
  <c r="G182" i="5" s="1"/>
  <c r="H182" i="5" s="1"/>
  <c r="N182" i="5" s="1"/>
  <c r="O182" i="5" s="1"/>
  <c r="R181" i="4"/>
  <c r="P181" i="4"/>
  <c r="E182" i="4" s="1"/>
  <c r="F182" i="4" s="1"/>
  <c r="G182" i="4" s="1"/>
  <c r="H182" i="4" s="1"/>
  <c r="N182" i="4" s="1"/>
  <c r="O182" i="4" s="1"/>
  <c r="R181" i="3"/>
  <c r="P181" i="3"/>
  <c r="E182" i="3" s="1"/>
  <c r="F182" i="3" s="1"/>
  <c r="G182" i="3" s="1"/>
  <c r="H182" i="3" s="1"/>
  <c r="N182" i="3" s="1"/>
  <c r="O182" i="3" s="1"/>
  <c r="P181" i="2"/>
  <c r="E182" i="2" s="1"/>
  <c r="F182" i="2" s="1"/>
  <c r="G182" i="2" s="1"/>
  <c r="H182" i="2" s="1"/>
  <c r="N182" i="2" s="1"/>
  <c r="O182" i="2" s="1"/>
  <c r="R181" i="2"/>
  <c r="R182" i="6" l="1"/>
  <c r="P182" i="6"/>
  <c r="E183" i="6" s="1"/>
  <c r="F183" i="6" s="1"/>
  <c r="G183" i="6" s="1"/>
  <c r="H183" i="6" s="1"/>
  <c r="N183" i="6" s="1"/>
  <c r="O183" i="6" s="1"/>
  <c r="R182" i="5"/>
  <c r="P182" i="5"/>
  <c r="E183" i="5" s="1"/>
  <c r="F183" i="5" s="1"/>
  <c r="G183" i="5" s="1"/>
  <c r="H183" i="5" s="1"/>
  <c r="N183" i="5" s="1"/>
  <c r="O183" i="5" s="1"/>
  <c r="R182" i="4"/>
  <c r="P182" i="4"/>
  <c r="E183" i="4" s="1"/>
  <c r="F183" i="4" s="1"/>
  <c r="G183" i="4" s="1"/>
  <c r="H183" i="4" s="1"/>
  <c r="N183" i="4" s="1"/>
  <c r="O183" i="4" s="1"/>
  <c r="R182" i="3"/>
  <c r="P182" i="3"/>
  <c r="E183" i="3" s="1"/>
  <c r="F183" i="3" s="1"/>
  <c r="G183" i="3" s="1"/>
  <c r="H183" i="3" s="1"/>
  <c r="N183" i="3" s="1"/>
  <c r="O183" i="3" s="1"/>
  <c r="P182" i="2"/>
  <c r="E183" i="2" s="1"/>
  <c r="F183" i="2" s="1"/>
  <c r="G183" i="2" s="1"/>
  <c r="H183" i="2" s="1"/>
  <c r="N183" i="2" s="1"/>
  <c r="O183" i="2" s="1"/>
  <c r="R182" i="2"/>
  <c r="R183" i="6" l="1"/>
  <c r="P183" i="6"/>
  <c r="E184" i="6" s="1"/>
  <c r="F184" i="6" s="1"/>
  <c r="G184" i="6" s="1"/>
  <c r="H184" i="6" s="1"/>
  <c r="N184" i="6" s="1"/>
  <c r="O184" i="6" s="1"/>
  <c r="R183" i="5"/>
  <c r="P183" i="5"/>
  <c r="E184" i="5" s="1"/>
  <c r="F184" i="5" s="1"/>
  <c r="G184" i="5" s="1"/>
  <c r="H184" i="5" s="1"/>
  <c r="N184" i="5" s="1"/>
  <c r="O184" i="5" s="1"/>
  <c r="R183" i="4"/>
  <c r="P183" i="4"/>
  <c r="E184" i="4" s="1"/>
  <c r="F184" i="4" s="1"/>
  <c r="G184" i="4" s="1"/>
  <c r="H184" i="4" s="1"/>
  <c r="N184" i="4" s="1"/>
  <c r="O184" i="4" s="1"/>
  <c r="R183" i="3"/>
  <c r="P183" i="3"/>
  <c r="E184" i="3" s="1"/>
  <c r="F184" i="3" s="1"/>
  <c r="G184" i="3" s="1"/>
  <c r="H184" i="3" s="1"/>
  <c r="N184" i="3" s="1"/>
  <c r="O184" i="3" s="1"/>
  <c r="P183" i="2"/>
  <c r="E184" i="2" s="1"/>
  <c r="F184" i="2" s="1"/>
  <c r="G184" i="2" s="1"/>
  <c r="H184" i="2" s="1"/>
  <c r="N184" i="2" s="1"/>
  <c r="O184" i="2" s="1"/>
  <c r="R183" i="2"/>
  <c r="R184" i="6" l="1"/>
  <c r="P184" i="6"/>
  <c r="E185" i="6" s="1"/>
  <c r="F185" i="6" s="1"/>
  <c r="G185" i="6" s="1"/>
  <c r="H185" i="6" s="1"/>
  <c r="N185" i="6" s="1"/>
  <c r="O185" i="6" s="1"/>
  <c r="R184" i="5"/>
  <c r="P184" i="5"/>
  <c r="E185" i="5" s="1"/>
  <c r="F185" i="5" s="1"/>
  <c r="G185" i="5" s="1"/>
  <c r="H185" i="5" s="1"/>
  <c r="N185" i="5" s="1"/>
  <c r="O185" i="5" s="1"/>
  <c r="R184" i="4"/>
  <c r="P184" i="4"/>
  <c r="E185" i="4" s="1"/>
  <c r="F185" i="4" s="1"/>
  <c r="G185" i="4" s="1"/>
  <c r="H185" i="4" s="1"/>
  <c r="N185" i="4" s="1"/>
  <c r="O185" i="4" s="1"/>
  <c r="R184" i="3"/>
  <c r="P184" i="3"/>
  <c r="E185" i="3" s="1"/>
  <c r="F185" i="3" s="1"/>
  <c r="G185" i="3" s="1"/>
  <c r="H185" i="3" s="1"/>
  <c r="N185" i="3" s="1"/>
  <c r="O185" i="3" s="1"/>
  <c r="P184" i="2"/>
  <c r="E185" i="2" s="1"/>
  <c r="F185" i="2" s="1"/>
  <c r="G185" i="2" s="1"/>
  <c r="H185" i="2" s="1"/>
  <c r="N185" i="2" s="1"/>
  <c r="O185" i="2" s="1"/>
  <c r="R184" i="2"/>
  <c r="R185" i="6" l="1"/>
  <c r="P185" i="6"/>
  <c r="E186" i="6" s="1"/>
  <c r="F186" i="6" s="1"/>
  <c r="G186" i="6" s="1"/>
  <c r="H186" i="6" s="1"/>
  <c r="N186" i="6" s="1"/>
  <c r="O186" i="6" s="1"/>
  <c r="R185" i="5"/>
  <c r="P185" i="5"/>
  <c r="E186" i="5" s="1"/>
  <c r="F186" i="5" s="1"/>
  <c r="G186" i="5" s="1"/>
  <c r="H186" i="5" s="1"/>
  <c r="N186" i="5" s="1"/>
  <c r="O186" i="5" s="1"/>
  <c r="R185" i="4"/>
  <c r="P185" i="4"/>
  <c r="E186" i="4" s="1"/>
  <c r="F186" i="4" s="1"/>
  <c r="G186" i="4" s="1"/>
  <c r="H186" i="4" s="1"/>
  <c r="N186" i="4" s="1"/>
  <c r="O186" i="4" s="1"/>
  <c r="R185" i="3"/>
  <c r="P185" i="3"/>
  <c r="E186" i="3" s="1"/>
  <c r="F186" i="3" s="1"/>
  <c r="G186" i="3" s="1"/>
  <c r="H186" i="3" s="1"/>
  <c r="N186" i="3" s="1"/>
  <c r="O186" i="3" s="1"/>
  <c r="P185" i="2"/>
  <c r="E186" i="2" s="1"/>
  <c r="F186" i="2" s="1"/>
  <c r="G186" i="2" s="1"/>
  <c r="H186" i="2" s="1"/>
  <c r="N186" i="2" s="1"/>
  <c r="O186" i="2" s="1"/>
  <c r="R185" i="2"/>
  <c r="R186" i="6" l="1"/>
  <c r="P186" i="6"/>
  <c r="E187" i="6" s="1"/>
  <c r="F187" i="6" s="1"/>
  <c r="G187" i="6" s="1"/>
  <c r="H187" i="6" s="1"/>
  <c r="N187" i="6" s="1"/>
  <c r="O187" i="6" s="1"/>
  <c r="R186" i="5"/>
  <c r="P186" i="5"/>
  <c r="E187" i="5" s="1"/>
  <c r="F187" i="5" s="1"/>
  <c r="G187" i="5" s="1"/>
  <c r="H187" i="5" s="1"/>
  <c r="N187" i="5" s="1"/>
  <c r="O187" i="5" s="1"/>
  <c r="R186" i="4"/>
  <c r="P186" i="4"/>
  <c r="E187" i="4" s="1"/>
  <c r="F187" i="4" s="1"/>
  <c r="G187" i="4" s="1"/>
  <c r="H187" i="4" s="1"/>
  <c r="N187" i="4" s="1"/>
  <c r="O187" i="4" s="1"/>
  <c r="R186" i="3"/>
  <c r="P186" i="3"/>
  <c r="E187" i="3" s="1"/>
  <c r="F187" i="3" s="1"/>
  <c r="G187" i="3" s="1"/>
  <c r="H187" i="3" s="1"/>
  <c r="N187" i="3" s="1"/>
  <c r="O187" i="3" s="1"/>
  <c r="P186" i="2"/>
  <c r="E187" i="2" s="1"/>
  <c r="F187" i="2" s="1"/>
  <c r="G187" i="2" s="1"/>
  <c r="H187" i="2" s="1"/>
  <c r="N187" i="2" s="1"/>
  <c r="O187" i="2" s="1"/>
  <c r="R186" i="2"/>
  <c r="R187" i="6" l="1"/>
  <c r="P187" i="6"/>
  <c r="E188" i="6" s="1"/>
  <c r="F188" i="6" s="1"/>
  <c r="G188" i="6" s="1"/>
  <c r="H188" i="6" s="1"/>
  <c r="N188" i="6" s="1"/>
  <c r="O188" i="6" s="1"/>
  <c r="R187" i="5"/>
  <c r="P187" i="5"/>
  <c r="E188" i="5" s="1"/>
  <c r="F188" i="5" s="1"/>
  <c r="G188" i="5" s="1"/>
  <c r="H188" i="5" s="1"/>
  <c r="N188" i="5" s="1"/>
  <c r="O188" i="5" s="1"/>
  <c r="R187" i="4"/>
  <c r="P187" i="4"/>
  <c r="E188" i="4" s="1"/>
  <c r="F188" i="4" s="1"/>
  <c r="G188" i="4" s="1"/>
  <c r="H188" i="4" s="1"/>
  <c r="N188" i="4" s="1"/>
  <c r="O188" i="4" s="1"/>
  <c r="R187" i="3"/>
  <c r="P187" i="3"/>
  <c r="E188" i="3" s="1"/>
  <c r="F188" i="3" s="1"/>
  <c r="G188" i="3" s="1"/>
  <c r="H188" i="3" s="1"/>
  <c r="N188" i="3" s="1"/>
  <c r="O188" i="3" s="1"/>
  <c r="P187" i="2"/>
  <c r="E188" i="2" s="1"/>
  <c r="F188" i="2" s="1"/>
  <c r="G188" i="2" s="1"/>
  <c r="H188" i="2" s="1"/>
  <c r="N188" i="2" s="1"/>
  <c r="O188" i="2" s="1"/>
  <c r="R187" i="2"/>
  <c r="R188" i="6" l="1"/>
  <c r="P188" i="6"/>
  <c r="E189" i="6" s="1"/>
  <c r="F189" i="6" s="1"/>
  <c r="G189" i="6" s="1"/>
  <c r="H189" i="6" s="1"/>
  <c r="N189" i="6" s="1"/>
  <c r="O189" i="6" s="1"/>
  <c r="R188" i="5"/>
  <c r="P188" i="5"/>
  <c r="E189" i="5" s="1"/>
  <c r="F189" i="5" s="1"/>
  <c r="G189" i="5" s="1"/>
  <c r="H189" i="5" s="1"/>
  <c r="N189" i="5" s="1"/>
  <c r="O189" i="5" s="1"/>
  <c r="R188" i="4"/>
  <c r="P188" i="4"/>
  <c r="E189" i="4" s="1"/>
  <c r="F189" i="4" s="1"/>
  <c r="G189" i="4" s="1"/>
  <c r="H189" i="4" s="1"/>
  <c r="N189" i="4" s="1"/>
  <c r="O189" i="4" s="1"/>
  <c r="R188" i="3"/>
  <c r="P188" i="3"/>
  <c r="E189" i="3" s="1"/>
  <c r="F189" i="3" s="1"/>
  <c r="G189" i="3" s="1"/>
  <c r="H189" i="3" s="1"/>
  <c r="N189" i="3" s="1"/>
  <c r="O189" i="3" s="1"/>
  <c r="R188" i="2"/>
  <c r="P188" i="2"/>
  <c r="E189" i="2" s="1"/>
  <c r="F189" i="2" s="1"/>
  <c r="G189" i="2" s="1"/>
  <c r="H189" i="2" s="1"/>
  <c r="N189" i="2" s="1"/>
  <c r="O189" i="2" s="1"/>
  <c r="R189" i="6" l="1"/>
  <c r="P189" i="6"/>
  <c r="E190" i="6" s="1"/>
  <c r="F190" i="6" s="1"/>
  <c r="G190" i="6" s="1"/>
  <c r="H190" i="6" s="1"/>
  <c r="N190" i="6" s="1"/>
  <c r="O190" i="6" s="1"/>
  <c r="R189" i="5"/>
  <c r="P189" i="5"/>
  <c r="E190" i="5" s="1"/>
  <c r="F190" i="5" s="1"/>
  <c r="G190" i="5" s="1"/>
  <c r="H190" i="5" s="1"/>
  <c r="N190" i="5" s="1"/>
  <c r="O190" i="5" s="1"/>
  <c r="R189" i="4"/>
  <c r="P189" i="4"/>
  <c r="E190" i="4" s="1"/>
  <c r="F190" i="4" s="1"/>
  <c r="G190" i="4" s="1"/>
  <c r="H190" i="4" s="1"/>
  <c r="N190" i="4" s="1"/>
  <c r="O190" i="4" s="1"/>
  <c r="R189" i="3"/>
  <c r="P189" i="3"/>
  <c r="E190" i="3" s="1"/>
  <c r="F190" i="3" s="1"/>
  <c r="G190" i="3" s="1"/>
  <c r="H190" i="3" s="1"/>
  <c r="N190" i="3" s="1"/>
  <c r="O190" i="3" s="1"/>
  <c r="R189" i="2"/>
  <c r="P189" i="2"/>
  <c r="E190" i="2" s="1"/>
  <c r="F190" i="2" s="1"/>
  <c r="G190" i="2" s="1"/>
  <c r="H190" i="2" s="1"/>
  <c r="N190" i="2" s="1"/>
  <c r="O190" i="2" s="1"/>
  <c r="R190" i="6" l="1"/>
  <c r="P190" i="6"/>
  <c r="E191" i="6" s="1"/>
  <c r="F191" i="6" s="1"/>
  <c r="G191" i="6" s="1"/>
  <c r="H191" i="6" s="1"/>
  <c r="N191" i="6" s="1"/>
  <c r="O191" i="6" s="1"/>
  <c r="R190" i="5"/>
  <c r="P190" i="5"/>
  <c r="E191" i="5" s="1"/>
  <c r="F191" i="5" s="1"/>
  <c r="G191" i="5" s="1"/>
  <c r="H191" i="5" s="1"/>
  <c r="N191" i="5" s="1"/>
  <c r="O191" i="5" s="1"/>
  <c r="R190" i="4"/>
  <c r="P190" i="4"/>
  <c r="E191" i="4" s="1"/>
  <c r="F191" i="4" s="1"/>
  <c r="G191" i="4" s="1"/>
  <c r="H191" i="4" s="1"/>
  <c r="N191" i="4" s="1"/>
  <c r="O191" i="4" s="1"/>
  <c r="R190" i="3"/>
  <c r="P190" i="3"/>
  <c r="E191" i="3" s="1"/>
  <c r="F191" i="3" s="1"/>
  <c r="G191" i="3" s="1"/>
  <c r="H191" i="3" s="1"/>
  <c r="N191" i="3" s="1"/>
  <c r="O191" i="3" s="1"/>
  <c r="R190" i="2"/>
  <c r="P190" i="2"/>
  <c r="E191" i="2" s="1"/>
  <c r="F191" i="2" s="1"/>
  <c r="G191" i="2" s="1"/>
  <c r="H191" i="2" s="1"/>
  <c r="N191" i="2" s="1"/>
  <c r="O191" i="2" s="1"/>
  <c r="R191" i="6" l="1"/>
  <c r="P191" i="6"/>
  <c r="E192" i="6" s="1"/>
  <c r="F192" i="6" s="1"/>
  <c r="G192" i="6" s="1"/>
  <c r="H192" i="6" s="1"/>
  <c r="N192" i="6" s="1"/>
  <c r="O192" i="6" s="1"/>
  <c r="R191" i="5"/>
  <c r="P191" i="5"/>
  <c r="E192" i="5" s="1"/>
  <c r="F192" i="5" s="1"/>
  <c r="G192" i="5" s="1"/>
  <c r="H192" i="5" s="1"/>
  <c r="N192" i="5" s="1"/>
  <c r="O192" i="5" s="1"/>
  <c r="R191" i="4"/>
  <c r="P191" i="4"/>
  <c r="E192" i="4" s="1"/>
  <c r="F192" i="4" s="1"/>
  <c r="G192" i="4" s="1"/>
  <c r="H192" i="4" s="1"/>
  <c r="N192" i="4" s="1"/>
  <c r="O192" i="4" s="1"/>
  <c r="R191" i="3"/>
  <c r="P191" i="3"/>
  <c r="E192" i="3" s="1"/>
  <c r="F192" i="3" s="1"/>
  <c r="G192" i="3" s="1"/>
  <c r="H192" i="3" s="1"/>
  <c r="N192" i="3" s="1"/>
  <c r="O192" i="3" s="1"/>
  <c r="R191" i="2"/>
  <c r="P191" i="2"/>
  <c r="E192" i="2" s="1"/>
  <c r="F192" i="2" s="1"/>
  <c r="G192" i="2" s="1"/>
  <c r="H192" i="2" s="1"/>
  <c r="N192" i="2" s="1"/>
  <c r="O192" i="2" s="1"/>
  <c r="P192" i="6" l="1"/>
  <c r="E193" i="6" s="1"/>
  <c r="F193" i="6" s="1"/>
  <c r="G193" i="6" s="1"/>
  <c r="H193" i="6" s="1"/>
  <c r="N193" i="6" s="1"/>
  <c r="O193" i="6" s="1"/>
  <c r="R192" i="6"/>
  <c r="R192" i="5"/>
  <c r="P192" i="5"/>
  <c r="E193" i="5" s="1"/>
  <c r="F193" i="5" s="1"/>
  <c r="G193" i="5" s="1"/>
  <c r="H193" i="5" s="1"/>
  <c r="N193" i="5" s="1"/>
  <c r="O193" i="5" s="1"/>
  <c r="R192" i="4"/>
  <c r="P192" i="4"/>
  <c r="E193" i="4" s="1"/>
  <c r="F193" i="4" s="1"/>
  <c r="G193" i="4" s="1"/>
  <c r="H193" i="4" s="1"/>
  <c r="N193" i="4" s="1"/>
  <c r="O193" i="4" s="1"/>
  <c r="R192" i="3"/>
  <c r="P192" i="3"/>
  <c r="E193" i="3" s="1"/>
  <c r="F193" i="3" s="1"/>
  <c r="G193" i="3" s="1"/>
  <c r="H193" i="3" s="1"/>
  <c r="N193" i="3" s="1"/>
  <c r="O193" i="3" s="1"/>
  <c r="R192" i="2"/>
  <c r="P192" i="2"/>
  <c r="E193" i="2" s="1"/>
  <c r="F193" i="2" s="1"/>
  <c r="G193" i="2" s="1"/>
  <c r="H193" i="2" s="1"/>
  <c r="N193" i="2" s="1"/>
  <c r="O193" i="2" s="1"/>
  <c r="R193" i="6" l="1"/>
  <c r="P193" i="6"/>
  <c r="E194" i="6" s="1"/>
  <c r="F194" i="6" s="1"/>
  <c r="G194" i="6" s="1"/>
  <c r="H194" i="6" s="1"/>
  <c r="N194" i="6" s="1"/>
  <c r="O194" i="6" s="1"/>
  <c r="R193" i="5"/>
  <c r="P193" i="5"/>
  <c r="E194" i="5" s="1"/>
  <c r="F194" i="5" s="1"/>
  <c r="G194" i="5" s="1"/>
  <c r="H194" i="5" s="1"/>
  <c r="N194" i="5" s="1"/>
  <c r="O194" i="5" s="1"/>
  <c r="R193" i="4"/>
  <c r="P193" i="4"/>
  <c r="E194" i="4" s="1"/>
  <c r="F194" i="4" s="1"/>
  <c r="G194" i="4" s="1"/>
  <c r="H194" i="4" s="1"/>
  <c r="N194" i="4" s="1"/>
  <c r="O194" i="4" s="1"/>
  <c r="R193" i="3"/>
  <c r="P193" i="3"/>
  <c r="E194" i="3" s="1"/>
  <c r="F194" i="3" s="1"/>
  <c r="G194" i="3" s="1"/>
  <c r="H194" i="3" s="1"/>
  <c r="N194" i="3" s="1"/>
  <c r="O194" i="3" s="1"/>
  <c r="P193" i="2"/>
  <c r="E194" i="2" s="1"/>
  <c r="F194" i="2" s="1"/>
  <c r="G194" i="2" s="1"/>
  <c r="H194" i="2" s="1"/>
  <c r="N194" i="2" s="1"/>
  <c r="O194" i="2" s="1"/>
  <c r="R193" i="2"/>
  <c r="R194" i="6" l="1"/>
  <c r="P194" i="6"/>
  <c r="E195" i="6" s="1"/>
  <c r="F195" i="6" s="1"/>
  <c r="G195" i="6" s="1"/>
  <c r="H195" i="6" s="1"/>
  <c r="N195" i="6" s="1"/>
  <c r="O195" i="6" s="1"/>
  <c r="R194" i="5"/>
  <c r="P194" i="5"/>
  <c r="E195" i="5" s="1"/>
  <c r="F195" i="5" s="1"/>
  <c r="G195" i="5" s="1"/>
  <c r="H195" i="5" s="1"/>
  <c r="N195" i="5" s="1"/>
  <c r="O195" i="5" s="1"/>
  <c r="R194" i="4"/>
  <c r="P194" i="4"/>
  <c r="E195" i="4" s="1"/>
  <c r="F195" i="4" s="1"/>
  <c r="G195" i="4" s="1"/>
  <c r="H195" i="4" s="1"/>
  <c r="N195" i="4" s="1"/>
  <c r="O195" i="4" s="1"/>
  <c r="R194" i="3"/>
  <c r="P194" i="3"/>
  <c r="E195" i="3" s="1"/>
  <c r="F195" i="3" s="1"/>
  <c r="G195" i="3" s="1"/>
  <c r="H195" i="3" s="1"/>
  <c r="N195" i="3" s="1"/>
  <c r="O195" i="3" s="1"/>
  <c r="P194" i="2"/>
  <c r="E195" i="2" s="1"/>
  <c r="F195" i="2" s="1"/>
  <c r="G195" i="2" s="1"/>
  <c r="H195" i="2" s="1"/>
  <c r="N195" i="2" s="1"/>
  <c r="O195" i="2" s="1"/>
  <c r="R194" i="2"/>
  <c r="R195" i="6" l="1"/>
  <c r="P195" i="6"/>
  <c r="E196" i="6" s="1"/>
  <c r="F196" i="6" s="1"/>
  <c r="G196" i="6" s="1"/>
  <c r="H196" i="6" s="1"/>
  <c r="N196" i="6" s="1"/>
  <c r="O196" i="6" s="1"/>
  <c r="R195" i="5"/>
  <c r="P195" i="5"/>
  <c r="E196" i="5" s="1"/>
  <c r="F196" i="5" s="1"/>
  <c r="G196" i="5" s="1"/>
  <c r="H196" i="5" s="1"/>
  <c r="N196" i="5" s="1"/>
  <c r="O196" i="5" s="1"/>
  <c r="R195" i="4"/>
  <c r="P195" i="4"/>
  <c r="E196" i="4" s="1"/>
  <c r="F196" i="4" s="1"/>
  <c r="G196" i="4" s="1"/>
  <c r="H196" i="4" s="1"/>
  <c r="N196" i="4" s="1"/>
  <c r="O196" i="4" s="1"/>
  <c r="R195" i="3"/>
  <c r="P195" i="3"/>
  <c r="E196" i="3" s="1"/>
  <c r="F196" i="3" s="1"/>
  <c r="G196" i="3" s="1"/>
  <c r="H196" i="3" s="1"/>
  <c r="N196" i="3" s="1"/>
  <c r="O196" i="3" s="1"/>
  <c r="P195" i="2"/>
  <c r="E196" i="2" s="1"/>
  <c r="F196" i="2" s="1"/>
  <c r="G196" i="2" s="1"/>
  <c r="H196" i="2" s="1"/>
  <c r="N196" i="2" s="1"/>
  <c r="O196" i="2" s="1"/>
  <c r="R195" i="2"/>
  <c r="R196" i="6" l="1"/>
  <c r="P196" i="6"/>
  <c r="E197" i="6" s="1"/>
  <c r="F197" i="6" s="1"/>
  <c r="G197" i="6" s="1"/>
  <c r="H197" i="6" s="1"/>
  <c r="N197" i="6" s="1"/>
  <c r="O197" i="6" s="1"/>
  <c r="R196" i="5"/>
  <c r="P196" i="5"/>
  <c r="E197" i="5" s="1"/>
  <c r="F197" i="5" s="1"/>
  <c r="G197" i="5" s="1"/>
  <c r="H197" i="5" s="1"/>
  <c r="N197" i="5" s="1"/>
  <c r="O197" i="5" s="1"/>
  <c r="R196" i="4"/>
  <c r="P196" i="4"/>
  <c r="E197" i="4" s="1"/>
  <c r="F197" i="4" s="1"/>
  <c r="G197" i="4" s="1"/>
  <c r="H197" i="4" s="1"/>
  <c r="N197" i="4" s="1"/>
  <c r="O197" i="4" s="1"/>
  <c r="R196" i="3"/>
  <c r="P196" i="3"/>
  <c r="E197" i="3" s="1"/>
  <c r="F197" i="3" s="1"/>
  <c r="G197" i="3" s="1"/>
  <c r="H197" i="3" s="1"/>
  <c r="N197" i="3" s="1"/>
  <c r="O197" i="3" s="1"/>
  <c r="P196" i="2"/>
  <c r="E197" i="2" s="1"/>
  <c r="F197" i="2" s="1"/>
  <c r="G197" i="2" s="1"/>
  <c r="H197" i="2" s="1"/>
  <c r="N197" i="2" s="1"/>
  <c r="O197" i="2" s="1"/>
  <c r="R196" i="2"/>
  <c r="R197" i="6" l="1"/>
  <c r="P197" i="6"/>
  <c r="E198" i="6" s="1"/>
  <c r="F198" i="6" s="1"/>
  <c r="G198" i="6" s="1"/>
  <c r="H198" i="6" s="1"/>
  <c r="N198" i="6" s="1"/>
  <c r="O198" i="6" s="1"/>
  <c r="R197" i="5"/>
  <c r="P197" i="5"/>
  <c r="E198" i="5" s="1"/>
  <c r="F198" i="5" s="1"/>
  <c r="G198" i="5" s="1"/>
  <c r="H198" i="5" s="1"/>
  <c r="N198" i="5" s="1"/>
  <c r="O198" i="5" s="1"/>
  <c r="R197" i="4"/>
  <c r="P197" i="4"/>
  <c r="E198" i="4" s="1"/>
  <c r="F198" i="4" s="1"/>
  <c r="G198" i="4" s="1"/>
  <c r="H198" i="4" s="1"/>
  <c r="N198" i="4" s="1"/>
  <c r="O198" i="4" s="1"/>
  <c r="R197" i="3"/>
  <c r="P197" i="3"/>
  <c r="E198" i="3" s="1"/>
  <c r="F198" i="3" s="1"/>
  <c r="G198" i="3" s="1"/>
  <c r="H198" i="3" s="1"/>
  <c r="N198" i="3" s="1"/>
  <c r="O198" i="3" s="1"/>
  <c r="P197" i="2"/>
  <c r="E198" i="2" s="1"/>
  <c r="F198" i="2" s="1"/>
  <c r="G198" i="2" s="1"/>
  <c r="H198" i="2" s="1"/>
  <c r="N198" i="2" s="1"/>
  <c r="O198" i="2" s="1"/>
  <c r="R197" i="2"/>
  <c r="R198" i="6" l="1"/>
  <c r="P198" i="6"/>
  <c r="E199" i="6" s="1"/>
  <c r="F199" i="6" s="1"/>
  <c r="G199" i="6" s="1"/>
  <c r="H199" i="6" s="1"/>
  <c r="N199" i="6" s="1"/>
  <c r="O199" i="6" s="1"/>
  <c r="R198" i="5"/>
  <c r="P198" i="5"/>
  <c r="E199" i="5" s="1"/>
  <c r="F199" i="5" s="1"/>
  <c r="G199" i="5" s="1"/>
  <c r="H199" i="5" s="1"/>
  <c r="N199" i="5" s="1"/>
  <c r="O199" i="5" s="1"/>
  <c r="R198" i="4"/>
  <c r="P198" i="4"/>
  <c r="E199" i="4" s="1"/>
  <c r="F199" i="4" s="1"/>
  <c r="G199" i="4" s="1"/>
  <c r="H199" i="4" s="1"/>
  <c r="N199" i="4" s="1"/>
  <c r="O199" i="4" s="1"/>
  <c r="R198" i="3"/>
  <c r="P198" i="3"/>
  <c r="E199" i="3" s="1"/>
  <c r="F199" i="3" s="1"/>
  <c r="G199" i="3" s="1"/>
  <c r="H199" i="3" s="1"/>
  <c r="N199" i="3" s="1"/>
  <c r="O199" i="3" s="1"/>
  <c r="P198" i="2"/>
  <c r="E199" i="2" s="1"/>
  <c r="F199" i="2" s="1"/>
  <c r="G199" i="2" s="1"/>
  <c r="H199" i="2" s="1"/>
  <c r="N199" i="2" s="1"/>
  <c r="O199" i="2" s="1"/>
  <c r="R198" i="2"/>
  <c r="R199" i="6" l="1"/>
  <c r="P199" i="6"/>
  <c r="E200" i="6" s="1"/>
  <c r="F200" i="6" s="1"/>
  <c r="G200" i="6" s="1"/>
  <c r="H200" i="6" s="1"/>
  <c r="N200" i="6" s="1"/>
  <c r="O200" i="6" s="1"/>
  <c r="R199" i="5"/>
  <c r="P199" i="5"/>
  <c r="E200" i="5" s="1"/>
  <c r="F200" i="5" s="1"/>
  <c r="G200" i="5" s="1"/>
  <c r="H200" i="5" s="1"/>
  <c r="N200" i="5" s="1"/>
  <c r="O200" i="5" s="1"/>
  <c r="R199" i="4"/>
  <c r="P199" i="4"/>
  <c r="E200" i="4" s="1"/>
  <c r="F200" i="4" s="1"/>
  <c r="G200" i="4" s="1"/>
  <c r="H200" i="4" s="1"/>
  <c r="N200" i="4" s="1"/>
  <c r="O200" i="4" s="1"/>
  <c r="R199" i="3"/>
  <c r="P199" i="3"/>
  <c r="E200" i="3" s="1"/>
  <c r="F200" i="3" s="1"/>
  <c r="G200" i="3" s="1"/>
  <c r="H200" i="3" s="1"/>
  <c r="N200" i="3" s="1"/>
  <c r="O200" i="3" s="1"/>
  <c r="P199" i="2"/>
  <c r="E200" i="2" s="1"/>
  <c r="F200" i="2" s="1"/>
  <c r="G200" i="2" s="1"/>
  <c r="H200" i="2" s="1"/>
  <c r="N200" i="2" s="1"/>
  <c r="O200" i="2" s="1"/>
  <c r="R199" i="2"/>
  <c r="R200" i="6" l="1"/>
  <c r="P200" i="6"/>
  <c r="E201" i="6" s="1"/>
  <c r="F201" i="6" s="1"/>
  <c r="G201" i="6" s="1"/>
  <c r="H201" i="6" s="1"/>
  <c r="N201" i="6" s="1"/>
  <c r="O201" i="6" s="1"/>
  <c r="R200" i="5"/>
  <c r="P200" i="5"/>
  <c r="E201" i="5" s="1"/>
  <c r="F201" i="5" s="1"/>
  <c r="G201" i="5" s="1"/>
  <c r="H201" i="5" s="1"/>
  <c r="N201" i="5" s="1"/>
  <c r="O201" i="5" s="1"/>
  <c r="R200" i="4"/>
  <c r="P200" i="4"/>
  <c r="E201" i="4" s="1"/>
  <c r="F201" i="4" s="1"/>
  <c r="G201" i="4" s="1"/>
  <c r="H201" i="4" s="1"/>
  <c r="N201" i="4" s="1"/>
  <c r="O201" i="4" s="1"/>
  <c r="R200" i="3"/>
  <c r="P200" i="3"/>
  <c r="E201" i="3" s="1"/>
  <c r="F201" i="3" s="1"/>
  <c r="G201" i="3" s="1"/>
  <c r="H201" i="3" s="1"/>
  <c r="N201" i="3" s="1"/>
  <c r="O201" i="3" s="1"/>
  <c r="P200" i="2"/>
  <c r="E201" i="2" s="1"/>
  <c r="F201" i="2" s="1"/>
  <c r="G201" i="2" s="1"/>
  <c r="H201" i="2" s="1"/>
  <c r="N201" i="2" s="1"/>
  <c r="O201" i="2" s="1"/>
  <c r="R200" i="2"/>
  <c r="R201" i="6" l="1"/>
  <c r="P201" i="6"/>
  <c r="E202" i="6" s="1"/>
  <c r="F202" i="6" s="1"/>
  <c r="G202" i="6" s="1"/>
  <c r="H202" i="6" s="1"/>
  <c r="N202" i="6" s="1"/>
  <c r="O202" i="6" s="1"/>
  <c r="R201" i="5"/>
  <c r="P201" i="5"/>
  <c r="E202" i="5" s="1"/>
  <c r="F202" i="5" s="1"/>
  <c r="G202" i="5" s="1"/>
  <c r="H202" i="5" s="1"/>
  <c r="N202" i="5" s="1"/>
  <c r="O202" i="5" s="1"/>
  <c r="R201" i="4"/>
  <c r="P201" i="4"/>
  <c r="E202" i="4" s="1"/>
  <c r="F202" i="4" s="1"/>
  <c r="G202" i="4" s="1"/>
  <c r="H202" i="4" s="1"/>
  <c r="N202" i="4" s="1"/>
  <c r="O202" i="4" s="1"/>
  <c r="R201" i="3"/>
  <c r="P201" i="3"/>
  <c r="E202" i="3" s="1"/>
  <c r="F202" i="3" s="1"/>
  <c r="G202" i="3" s="1"/>
  <c r="H202" i="3" s="1"/>
  <c r="N202" i="3" s="1"/>
  <c r="O202" i="3" s="1"/>
  <c r="P201" i="2"/>
  <c r="E202" i="2" s="1"/>
  <c r="F202" i="2" s="1"/>
  <c r="G202" i="2" s="1"/>
  <c r="H202" i="2" s="1"/>
  <c r="N202" i="2" s="1"/>
  <c r="O202" i="2" s="1"/>
  <c r="R201" i="2"/>
  <c r="R202" i="6" l="1"/>
  <c r="P202" i="6"/>
  <c r="E203" i="6" s="1"/>
  <c r="F203" i="6" s="1"/>
  <c r="G203" i="6" s="1"/>
  <c r="H203" i="6" s="1"/>
  <c r="N203" i="6" s="1"/>
  <c r="O203" i="6" s="1"/>
  <c r="R202" i="5"/>
  <c r="P202" i="5"/>
  <c r="E203" i="5" s="1"/>
  <c r="F203" i="5" s="1"/>
  <c r="G203" i="5" s="1"/>
  <c r="H203" i="5" s="1"/>
  <c r="N203" i="5" s="1"/>
  <c r="O203" i="5" s="1"/>
  <c r="R202" i="4"/>
  <c r="P202" i="4"/>
  <c r="E203" i="4" s="1"/>
  <c r="F203" i="4" s="1"/>
  <c r="G203" i="4" s="1"/>
  <c r="H203" i="4" s="1"/>
  <c r="N203" i="4" s="1"/>
  <c r="O203" i="4" s="1"/>
  <c r="R202" i="3"/>
  <c r="P202" i="3"/>
  <c r="E203" i="3" s="1"/>
  <c r="F203" i="3" s="1"/>
  <c r="G203" i="3" s="1"/>
  <c r="H203" i="3" s="1"/>
  <c r="N203" i="3" s="1"/>
  <c r="O203" i="3" s="1"/>
  <c r="P202" i="2"/>
  <c r="E203" i="2" s="1"/>
  <c r="F203" i="2" s="1"/>
  <c r="G203" i="2" s="1"/>
  <c r="H203" i="2" s="1"/>
  <c r="N203" i="2" s="1"/>
  <c r="O203" i="2" s="1"/>
  <c r="R202" i="2"/>
  <c r="R203" i="6" l="1"/>
  <c r="P203" i="6"/>
  <c r="E204" i="6" s="1"/>
  <c r="F204" i="6" s="1"/>
  <c r="G204" i="6" s="1"/>
  <c r="H204" i="6" s="1"/>
  <c r="N204" i="6" s="1"/>
  <c r="O204" i="6" s="1"/>
  <c r="R203" i="5"/>
  <c r="P203" i="5"/>
  <c r="E204" i="5" s="1"/>
  <c r="F204" i="5" s="1"/>
  <c r="G204" i="5" s="1"/>
  <c r="H204" i="5" s="1"/>
  <c r="N204" i="5" s="1"/>
  <c r="O204" i="5" s="1"/>
  <c r="R203" i="4"/>
  <c r="P203" i="4"/>
  <c r="E204" i="4" s="1"/>
  <c r="F204" i="4" s="1"/>
  <c r="G204" i="4" s="1"/>
  <c r="H204" i="4" s="1"/>
  <c r="N204" i="4" s="1"/>
  <c r="O204" i="4" s="1"/>
  <c r="R203" i="3"/>
  <c r="P203" i="3"/>
  <c r="E204" i="3" s="1"/>
  <c r="F204" i="3" s="1"/>
  <c r="G204" i="3" s="1"/>
  <c r="H204" i="3" s="1"/>
  <c r="N204" i="3" s="1"/>
  <c r="O204" i="3" s="1"/>
  <c r="P203" i="2"/>
  <c r="E204" i="2" s="1"/>
  <c r="F204" i="2" s="1"/>
  <c r="G204" i="2" s="1"/>
  <c r="H204" i="2" s="1"/>
  <c r="N204" i="2" s="1"/>
  <c r="O204" i="2" s="1"/>
  <c r="R203" i="2"/>
  <c r="R204" i="6" l="1"/>
  <c r="P204" i="6"/>
  <c r="E205" i="6" s="1"/>
  <c r="F205" i="6" s="1"/>
  <c r="G205" i="6" s="1"/>
  <c r="H205" i="6" s="1"/>
  <c r="N205" i="6" s="1"/>
  <c r="O205" i="6" s="1"/>
  <c r="R204" i="5"/>
  <c r="P204" i="5"/>
  <c r="E205" i="5" s="1"/>
  <c r="F205" i="5" s="1"/>
  <c r="G205" i="5" s="1"/>
  <c r="H205" i="5" s="1"/>
  <c r="N205" i="5" s="1"/>
  <c r="O205" i="5" s="1"/>
  <c r="R204" i="4"/>
  <c r="P204" i="4"/>
  <c r="E205" i="4" s="1"/>
  <c r="F205" i="4" s="1"/>
  <c r="G205" i="4" s="1"/>
  <c r="H205" i="4" s="1"/>
  <c r="N205" i="4" s="1"/>
  <c r="O205" i="4" s="1"/>
  <c r="R204" i="3"/>
  <c r="P204" i="3"/>
  <c r="E205" i="3" s="1"/>
  <c r="F205" i="3" s="1"/>
  <c r="G205" i="3" s="1"/>
  <c r="H205" i="3" s="1"/>
  <c r="N205" i="3" s="1"/>
  <c r="O205" i="3" s="1"/>
  <c r="P204" i="2"/>
  <c r="E205" i="2" s="1"/>
  <c r="F205" i="2" s="1"/>
  <c r="G205" i="2" s="1"/>
  <c r="H205" i="2" s="1"/>
  <c r="N205" i="2" s="1"/>
  <c r="O205" i="2" s="1"/>
  <c r="R204" i="2"/>
  <c r="R205" i="6" l="1"/>
  <c r="P205" i="6"/>
  <c r="E206" i="6" s="1"/>
  <c r="F206" i="6" s="1"/>
  <c r="G206" i="6" s="1"/>
  <c r="H206" i="6" s="1"/>
  <c r="N206" i="6" s="1"/>
  <c r="O206" i="6" s="1"/>
  <c r="R205" i="5"/>
  <c r="P205" i="5"/>
  <c r="E206" i="5" s="1"/>
  <c r="F206" i="5" s="1"/>
  <c r="G206" i="5" s="1"/>
  <c r="H206" i="5" s="1"/>
  <c r="N206" i="5" s="1"/>
  <c r="O206" i="5" s="1"/>
  <c r="R205" i="4"/>
  <c r="P205" i="4"/>
  <c r="E206" i="4" s="1"/>
  <c r="F206" i="4" s="1"/>
  <c r="G206" i="4" s="1"/>
  <c r="H206" i="4" s="1"/>
  <c r="N206" i="4" s="1"/>
  <c r="O206" i="4" s="1"/>
  <c r="R205" i="3"/>
  <c r="P205" i="3"/>
  <c r="E206" i="3" s="1"/>
  <c r="F206" i="3" s="1"/>
  <c r="G206" i="3" s="1"/>
  <c r="H206" i="3" s="1"/>
  <c r="N206" i="3" s="1"/>
  <c r="O206" i="3" s="1"/>
  <c r="P205" i="2"/>
  <c r="E206" i="2" s="1"/>
  <c r="F206" i="2" s="1"/>
  <c r="G206" i="2" s="1"/>
  <c r="H206" i="2" s="1"/>
  <c r="N206" i="2" s="1"/>
  <c r="O206" i="2" s="1"/>
  <c r="R205" i="2"/>
  <c r="R206" i="6" l="1"/>
  <c r="P206" i="6"/>
  <c r="E207" i="6" s="1"/>
  <c r="F207" i="6" s="1"/>
  <c r="G207" i="6" s="1"/>
  <c r="H207" i="6" s="1"/>
  <c r="N207" i="6" s="1"/>
  <c r="O207" i="6" s="1"/>
  <c r="R206" i="5"/>
  <c r="P206" i="5"/>
  <c r="E207" i="5" s="1"/>
  <c r="F207" i="5" s="1"/>
  <c r="G207" i="5" s="1"/>
  <c r="H207" i="5" s="1"/>
  <c r="N207" i="5" s="1"/>
  <c r="O207" i="5" s="1"/>
  <c r="R206" i="4"/>
  <c r="P206" i="4"/>
  <c r="E207" i="4" s="1"/>
  <c r="F207" i="4" s="1"/>
  <c r="G207" i="4" s="1"/>
  <c r="H207" i="4" s="1"/>
  <c r="N207" i="4" s="1"/>
  <c r="O207" i="4" s="1"/>
  <c r="R206" i="3"/>
  <c r="P206" i="3"/>
  <c r="E207" i="3" s="1"/>
  <c r="F207" i="3" s="1"/>
  <c r="G207" i="3" s="1"/>
  <c r="H207" i="3" s="1"/>
  <c r="N207" i="3" s="1"/>
  <c r="O207" i="3" s="1"/>
  <c r="P206" i="2"/>
  <c r="E207" i="2" s="1"/>
  <c r="F207" i="2" s="1"/>
  <c r="G207" i="2" s="1"/>
  <c r="H207" i="2" s="1"/>
  <c r="N207" i="2" s="1"/>
  <c r="O207" i="2" s="1"/>
  <c r="R206" i="2"/>
  <c r="R207" i="6" l="1"/>
  <c r="P207" i="6"/>
  <c r="E208" i="6" s="1"/>
  <c r="F208" i="6" s="1"/>
  <c r="G208" i="6" s="1"/>
  <c r="H208" i="6" s="1"/>
  <c r="N208" i="6" s="1"/>
  <c r="O208" i="6" s="1"/>
  <c r="R207" i="5"/>
  <c r="P207" i="5"/>
  <c r="E208" i="5" s="1"/>
  <c r="F208" i="5" s="1"/>
  <c r="G208" i="5" s="1"/>
  <c r="H208" i="5" s="1"/>
  <c r="N208" i="5" s="1"/>
  <c r="O208" i="5" s="1"/>
  <c r="R207" i="4"/>
  <c r="P207" i="4"/>
  <c r="E208" i="4" s="1"/>
  <c r="F208" i="4" s="1"/>
  <c r="G208" i="4" s="1"/>
  <c r="H208" i="4" s="1"/>
  <c r="N208" i="4" s="1"/>
  <c r="O208" i="4" s="1"/>
  <c r="R207" i="3"/>
  <c r="P207" i="3"/>
  <c r="E208" i="3" s="1"/>
  <c r="F208" i="3" s="1"/>
  <c r="G208" i="3" s="1"/>
  <c r="H208" i="3" s="1"/>
  <c r="N208" i="3" s="1"/>
  <c r="O208" i="3" s="1"/>
  <c r="P207" i="2"/>
  <c r="E208" i="2" s="1"/>
  <c r="F208" i="2" s="1"/>
  <c r="G208" i="2" s="1"/>
  <c r="H208" i="2" s="1"/>
  <c r="N208" i="2" s="1"/>
  <c r="O208" i="2" s="1"/>
  <c r="R207" i="2"/>
  <c r="R208" i="6" l="1"/>
  <c r="P208" i="6"/>
  <c r="E209" i="6" s="1"/>
  <c r="F209" i="6" s="1"/>
  <c r="G209" i="6" s="1"/>
  <c r="H209" i="6" s="1"/>
  <c r="N209" i="6" s="1"/>
  <c r="O209" i="6" s="1"/>
  <c r="P208" i="5"/>
  <c r="E209" i="5" s="1"/>
  <c r="F209" i="5" s="1"/>
  <c r="G209" i="5" s="1"/>
  <c r="H209" i="5" s="1"/>
  <c r="N209" i="5" s="1"/>
  <c r="O209" i="5" s="1"/>
  <c r="R208" i="5"/>
  <c r="R208" i="4"/>
  <c r="P208" i="4"/>
  <c r="E209" i="4" s="1"/>
  <c r="F209" i="4" s="1"/>
  <c r="G209" i="4" s="1"/>
  <c r="H209" i="4" s="1"/>
  <c r="N209" i="4" s="1"/>
  <c r="O209" i="4" s="1"/>
  <c r="R208" i="3"/>
  <c r="P208" i="3"/>
  <c r="E209" i="3" s="1"/>
  <c r="F209" i="3" s="1"/>
  <c r="G209" i="3" s="1"/>
  <c r="H209" i="3" s="1"/>
  <c r="N209" i="3" s="1"/>
  <c r="O209" i="3" s="1"/>
  <c r="P208" i="2"/>
  <c r="E209" i="2" s="1"/>
  <c r="F209" i="2" s="1"/>
  <c r="G209" i="2" s="1"/>
  <c r="H209" i="2" s="1"/>
  <c r="N209" i="2" s="1"/>
  <c r="O209" i="2" s="1"/>
  <c r="R208" i="2"/>
  <c r="R209" i="6" l="1"/>
  <c r="P209" i="6"/>
  <c r="E210" i="6" s="1"/>
  <c r="F210" i="6" s="1"/>
  <c r="G210" i="6" s="1"/>
  <c r="H210" i="6" s="1"/>
  <c r="N210" i="6" s="1"/>
  <c r="O210" i="6" s="1"/>
  <c r="P209" i="5"/>
  <c r="E210" i="5" s="1"/>
  <c r="F210" i="5" s="1"/>
  <c r="G210" i="5" s="1"/>
  <c r="H210" i="5" s="1"/>
  <c r="N210" i="5" s="1"/>
  <c r="O210" i="5" s="1"/>
  <c r="R209" i="5"/>
  <c r="P209" i="4"/>
  <c r="E210" i="4" s="1"/>
  <c r="F210" i="4" s="1"/>
  <c r="G210" i="4" s="1"/>
  <c r="H210" i="4" s="1"/>
  <c r="N210" i="4" s="1"/>
  <c r="O210" i="4" s="1"/>
  <c r="R209" i="4"/>
  <c r="R209" i="3"/>
  <c r="P209" i="3"/>
  <c r="E210" i="3" s="1"/>
  <c r="F210" i="3" s="1"/>
  <c r="G210" i="3" s="1"/>
  <c r="H210" i="3" s="1"/>
  <c r="N210" i="3" s="1"/>
  <c r="O210" i="3" s="1"/>
  <c r="P209" i="2"/>
  <c r="E210" i="2" s="1"/>
  <c r="F210" i="2" s="1"/>
  <c r="G210" i="2" s="1"/>
  <c r="H210" i="2" s="1"/>
  <c r="N210" i="2" s="1"/>
  <c r="O210" i="2" s="1"/>
  <c r="R209" i="2"/>
  <c r="R210" i="6" l="1"/>
  <c r="P210" i="6"/>
  <c r="E211" i="6" s="1"/>
  <c r="F211" i="6" s="1"/>
  <c r="G211" i="6" s="1"/>
  <c r="H211" i="6" s="1"/>
  <c r="N211" i="6" s="1"/>
  <c r="O211" i="6" s="1"/>
  <c r="P210" i="5"/>
  <c r="E211" i="5" s="1"/>
  <c r="F211" i="5" s="1"/>
  <c r="G211" i="5" s="1"/>
  <c r="H211" i="5" s="1"/>
  <c r="N211" i="5" s="1"/>
  <c r="O211" i="5" s="1"/>
  <c r="R210" i="5"/>
  <c r="P210" i="4"/>
  <c r="E211" i="4" s="1"/>
  <c r="F211" i="4" s="1"/>
  <c r="G211" i="4" s="1"/>
  <c r="H211" i="4" s="1"/>
  <c r="N211" i="4" s="1"/>
  <c r="O211" i="4" s="1"/>
  <c r="R210" i="4"/>
  <c r="R210" i="3"/>
  <c r="P210" i="3"/>
  <c r="E211" i="3" s="1"/>
  <c r="F211" i="3" s="1"/>
  <c r="G211" i="3" s="1"/>
  <c r="H211" i="3" s="1"/>
  <c r="N211" i="3" s="1"/>
  <c r="O211" i="3" s="1"/>
  <c r="P210" i="2"/>
  <c r="E211" i="2" s="1"/>
  <c r="F211" i="2" s="1"/>
  <c r="G211" i="2" s="1"/>
  <c r="H211" i="2" s="1"/>
  <c r="N211" i="2" s="1"/>
  <c r="O211" i="2" s="1"/>
  <c r="R210" i="2"/>
  <c r="R211" i="6" l="1"/>
  <c r="P211" i="6"/>
  <c r="E212" i="6" s="1"/>
  <c r="F212" i="6" s="1"/>
  <c r="G212" i="6" s="1"/>
  <c r="H212" i="6" s="1"/>
  <c r="N212" i="6" s="1"/>
  <c r="O212" i="6" s="1"/>
  <c r="P211" i="5"/>
  <c r="E212" i="5" s="1"/>
  <c r="F212" i="5" s="1"/>
  <c r="G212" i="5" s="1"/>
  <c r="H212" i="5" s="1"/>
  <c r="N212" i="5" s="1"/>
  <c r="O212" i="5" s="1"/>
  <c r="R211" i="5"/>
  <c r="P211" i="4"/>
  <c r="E212" i="4" s="1"/>
  <c r="F212" i="4" s="1"/>
  <c r="G212" i="4" s="1"/>
  <c r="H212" i="4" s="1"/>
  <c r="N212" i="4" s="1"/>
  <c r="O212" i="4" s="1"/>
  <c r="R211" i="4"/>
  <c r="R211" i="3"/>
  <c r="P211" i="3"/>
  <c r="E212" i="3" s="1"/>
  <c r="F212" i="3" s="1"/>
  <c r="G212" i="3" s="1"/>
  <c r="H212" i="3" s="1"/>
  <c r="N212" i="3" s="1"/>
  <c r="O212" i="3" s="1"/>
  <c r="P211" i="2"/>
  <c r="E212" i="2" s="1"/>
  <c r="F212" i="2" s="1"/>
  <c r="G212" i="2" s="1"/>
  <c r="H212" i="2" s="1"/>
  <c r="N212" i="2" s="1"/>
  <c r="O212" i="2" s="1"/>
  <c r="R211" i="2"/>
  <c r="R212" i="6" l="1"/>
  <c r="P212" i="6"/>
  <c r="E213" i="6" s="1"/>
  <c r="F213" i="6" s="1"/>
  <c r="G213" i="6" s="1"/>
  <c r="H213" i="6" s="1"/>
  <c r="N213" i="6" s="1"/>
  <c r="O213" i="6" s="1"/>
  <c r="P212" i="5"/>
  <c r="E213" i="5" s="1"/>
  <c r="F213" i="5" s="1"/>
  <c r="G213" i="5" s="1"/>
  <c r="H213" i="5" s="1"/>
  <c r="N213" i="5" s="1"/>
  <c r="O213" i="5" s="1"/>
  <c r="R212" i="5"/>
  <c r="P212" i="4"/>
  <c r="E213" i="4" s="1"/>
  <c r="F213" i="4" s="1"/>
  <c r="G213" i="4" s="1"/>
  <c r="H213" i="4" s="1"/>
  <c r="N213" i="4" s="1"/>
  <c r="O213" i="4" s="1"/>
  <c r="R212" i="4"/>
  <c r="R212" i="3"/>
  <c r="P212" i="3"/>
  <c r="E213" i="3" s="1"/>
  <c r="F213" i="3" s="1"/>
  <c r="G213" i="3" s="1"/>
  <c r="H213" i="3" s="1"/>
  <c r="N213" i="3" s="1"/>
  <c r="O213" i="3" s="1"/>
  <c r="P212" i="2"/>
  <c r="E213" i="2" s="1"/>
  <c r="F213" i="2" s="1"/>
  <c r="G213" i="2" s="1"/>
  <c r="H213" i="2" s="1"/>
  <c r="N213" i="2" s="1"/>
  <c r="O213" i="2" s="1"/>
  <c r="R212" i="2"/>
  <c r="R213" i="6" l="1"/>
  <c r="P213" i="6"/>
  <c r="E214" i="6" s="1"/>
  <c r="F214" i="6" s="1"/>
  <c r="G214" i="6" s="1"/>
  <c r="H214" i="6" s="1"/>
  <c r="N214" i="6" s="1"/>
  <c r="O214" i="6" s="1"/>
  <c r="P213" i="5"/>
  <c r="E214" i="5" s="1"/>
  <c r="F214" i="5" s="1"/>
  <c r="G214" i="5" s="1"/>
  <c r="H214" i="5" s="1"/>
  <c r="N214" i="5" s="1"/>
  <c r="O214" i="5" s="1"/>
  <c r="R213" i="5"/>
  <c r="P213" i="4"/>
  <c r="E214" i="4" s="1"/>
  <c r="F214" i="4" s="1"/>
  <c r="G214" i="4" s="1"/>
  <c r="H214" i="4" s="1"/>
  <c r="N214" i="4" s="1"/>
  <c r="O214" i="4" s="1"/>
  <c r="R213" i="4"/>
  <c r="R213" i="3"/>
  <c r="P213" i="3"/>
  <c r="E214" i="3" s="1"/>
  <c r="F214" i="3" s="1"/>
  <c r="G214" i="3" s="1"/>
  <c r="H214" i="3" s="1"/>
  <c r="N214" i="3" s="1"/>
  <c r="O214" i="3" s="1"/>
  <c r="P213" i="2"/>
  <c r="E214" i="2" s="1"/>
  <c r="F214" i="2" s="1"/>
  <c r="G214" i="2" s="1"/>
  <c r="H214" i="2" s="1"/>
  <c r="N214" i="2" s="1"/>
  <c r="O214" i="2" s="1"/>
  <c r="R213" i="2"/>
  <c r="R214" i="6" l="1"/>
  <c r="P214" i="6"/>
  <c r="E215" i="6" s="1"/>
  <c r="F215" i="6" s="1"/>
  <c r="G215" i="6" s="1"/>
  <c r="H215" i="6" s="1"/>
  <c r="N215" i="6" s="1"/>
  <c r="O215" i="6" s="1"/>
  <c r="P214" i="5"/>
  <c r="E215" i="5" s="1"/>
  <c r="F215" i="5" s="1"/>
  <c r="G215" i="5" s="1"/>
  <c r="H215" i="5" s="1"/>
  <c r="N215" i="5" s="1"/>
  <c r="O215" i="5" s="1"/>
  <c r="R214" i="5"/>
  <c r="P214" i="4"/>
  <c r="E215" i="4" s="1"/>
  <c r="F215" i="4" s="1"/>
  <c r="G215" i="4" s="1"/>
  <c r="H215" i="4" s="1"/>
  <c r="N215" i="4" s="1"/>
  <c r="O215" i="4" s="1"/>
  <c r="R214" i="4"/>
  <c r="R214" i="3"/>
  <c r="P214" i="3"/>
  <c r="E215" i="3" s="1"/>
  <c r="F215" i="3" s="1"/>
  <c r="G215" i="3" s="1"/>
  <c r="H215" i="3" s="1"/>
  <c r="N215" i="3" s="1"/>
  <c r="O215" i="3" s="1"/>
  <c r="P214" i="2"/>
  <c r="E215" i="2" s="1"/>
  <c r="F215" i="2" s="1"/>
  <c r="G215" i="2" s="1"/>
  <c r="H215" i="2" s="1"/>
  <c r="N215" i="2" s="1"/>
  <c r="O215" i="2" s="1"/>
  <c r="R214" i="2"/>
  <c r="R215" i="6" l="1"/>
  <c r="P215" i="6"/>
  <c r="E216" i="6" s="1"/>
  <c r="F216" i="6" s="1"/>
  <c r="G216" i="6" s="1"/>
  <c r="H216" i="6" s="1"/>
  <c r="N216" i="6" s="1"/>
  <c r="O216" i="6" s="1"/>
  <c r="P215" i="5"/>
  <c r="E216" i="5" s="1"/>
  <c r="F216" i="5" s="1"/>
  <c r="G216" i="5" s="1"/>
  <c r="H216" i="5" s="1"/>
  <c r="N216" i="5" s="1"/>
  <c r="O216" i="5" s="1"/>
  <c r="R215" i="5"/>
  <c r="P215" i="4"/>
  <c r="E216" i="4" s="1"/>
  <c r="F216" i="4" s="1"/>
  <c r="G216" i="4" s="1"/>
  <c r="H216" i="4" s="1"/>
  <c r="N216" i="4" s="1"/>
  <c r="O216" i="4" s="1"/>
  <c r="R215" i="4"/>
  <c r="R215" i="3"/>
  <c r="P215" i="3"/>
  <c r="E216" i="3" s="1"/>
  <c r="F216" i="3" s="1"/>
  <c r="G216" i="3" s="1"/>
  <c r="H216" i="3" s="1"/>
  <c r="N216" i="3" s="1"/>
  <c r="O216" i="3" s="1"/>
  <c r="P215" i="2"/>
  <c r="E216" i="2" s="1"/>
  <c r="F216" i="2" s="1"/>
  <c r="G216" i="2" s="1"/>
  <c r="H216" i="2" s="1"/>
  <c r="N216" i="2" s="1"/>
  <c r="O216" i="2" s="1"/>
  <c r="R215" i="2"/>
  <c r="R216" i="6" l="1"/>
  <c r="P216" i="6"/>
  <c r="E217" i="6" s="1"/>
  <c r="F217" i="6" s="1"/>
  <c r="G217" i="6" s="1"/>
  <c r="H217" i="6" s="1"/>
  <c r="N217" i="6" s="1"/>
  <c r="O217" i="6" s="1"/>
  <c r="P216" i="5"/>
  <c r="E217" i="5" s="1"/>
  <c r="F217" i="5" s="1"/>
  <c r="G217" i="5" s="1"/>
  <c r="H217" i="5" s="1"/>
  <c r="N217" i="5" s="1"/>
  <c r="O217" i="5" s="1"/>
  <c r="R216" i="5"/>
  <c r="P216" i="4"/>
  <c r="E217" i="4" s="1"/>
  <c r="F217" i="4" s="1"/>
  <c r="G217" i="4" s="1"/>
  <c r="H217" i="4" s="1"/>
  <c r="N217" i="4" s="1"/>
  <c r="O217" i="4" s="1"/>
  <c r="R216" i="4"/>
  <c r="R216" i="3"/>
  <c r="P216" i="3"/>
  <c r="E217" i="3" s="1"/>
  <c r="F217" i="3" s="1"/>
  <c r="G217" i="3" s="1"/>
  <c r="H217" i="3" s="1"/>
  <c r="N217" i="3" s="1"/>
  <c r="O217" i="3" s="1"/>
  <c r="P216" i="2"/>
  <c r="E217" i="2" s="1"/>
  <c r="F217" i="2" s="1"/>
  <c r="G217" i="2" s="1"/>
  <c r="H217" i="2" s="1"/>
  <c r="N217" i="2" s="1"/>
  <c r="O217" i="2" s="1"/>
  <c r="R216" i="2"/>
  <c r="R217" i="6" l="1"/>
  <c r="P217" i="6"/>
  <c r="E218" i="6" s="1"/>
  <c r="F218" i="6" s="1"/>
  <c r="G218" i="6" s="1"/>
  <c r="H218" i="6" s="1"/>
  <c r="N218" i="6" s="1"/>
  <c r="O218" i="6" s="1"/>
  <c r="P217" i="5"/>
  <c r="E218" i="5" s="1"/>
  <c r="F218" i="5" s="1"/>
  <c r="G218" i="5" s="1"/>
  <c r="H218" i="5" s="1"/>
  <c r="N218" i="5" s="1"/>
  <c r="O218" i="5" s="1"/>
  <c r="R217" i="5"/>
  <c r="P217" i="4"/>
  <c r="E218" i="4" s="1"/>
  <c r="F218" i="4" s="1"/>
  <c r="G218" i="4" s="1"/>
  <c r="H218" i="4" s="1"/>
  <c r="N218" i="4" s="1"/>
  <c r="O218" i="4" s="1"/>
  <c r="R217" i="4"/>
  <c r="R217" i="3"/>
  <c r="P217" i="3"/>
  <c r="E218" i="3" s="1"/>
  <c r="F218" i="3" s="1"/>
  <c r="G218" i="3" s="1"/>
  <c r="H218" i="3" s="1"/>
  <c r="N218" i="3" s="1"/>
  <c r="O218" i="3" s="1"/>
  <c r="P217" i="2"/>
  <c r="E218" i="2" s="1"/>
  <c r="F218" i="2" s="1"/>
  <c r="G218" i="2" s="1"/>
  <c r="H218" i="2" s="1"/>
  <c r="N218" i="2" s="1"/>
  <c r="O218" i="2" s="1"/>
  <c r="R217" i="2"/>
  <c r="R218" i="6" l="1"/>
  <c r="P218" i="6"/>
  <c r="E219" i="6" s="1"/>
  <c r="F219" i="6" s="1"/>
  <c r="G219" i="6" s="1"/>
  <c r="H219" i="6" s="1"/>
  <c r="N219" i="6" s="1"/>
  <c r="O219" i="6" s="1"/>
  <c r="P218" i="5"/>
  <c r="E219" i="5" s="1"/>
  <c r="F219" i="5" s="1"/>
  <c r="G219" i="5" s="1"/>
  <c r="H219" i="5" s="1"/>
  <c r="N219" i="5" s="1"/>
  <c r="O219" i="5" s="1"/>
  <c r="R218" i="5"/>
  <c r="P218" i="4"/>
  <c r="E219" i="4" s="1"/>
  <c r="F219" i="4" s="1"/>
  <c r="G219" i="4" s="1"/>
  <c r="H219" i="4" s="1"/>
  <c r="N219" i="4" s="1"/>
  <c r="O219" i="4" s="1"/>
  <c r="R218" i="4"/>
  <c r="R218" i="3"/>
  <c r="P218" i="3"/>
  <c r="E219" i="3" s="1"/>
  <c r="F219" i="3" s="1"/>
  <c r="G219" i="3" s="1"/>
  <c r="H219" i="3" s="1"/>
  <c r="N219" i="3" s="1"/>
  <c r="O219" i="3" s="1"/>
  <c r="P218" i="2"/>
  <c r="E219" i="2" s="1"/>
  <c r="F219" i="2" s="1"/>
  <c r="G219" i="2" s="1"/>
  <c r="H219" i="2" s="1"/>
  <c r="N219" i="2" s="1"/>
  <c r="O219" i="2" s="1"/>
  <c r="R218" i="2"/>
  <c r="R219" i="6" l="1"/>
  <c r="P219" i="6"/>
  <c r="E220" i="6" s="1"/>
  <c r="F220" i="6" s="1"/>
  <c r="G220" i="6" s="1"/>
  <c r="H220" i="6" s="1"/>
  <c r="N220" i="6" s="1"/>
  <c r="O220" i="6" s="1"/>
  <c r="P219" i="5"/>
  <c r="E220" i="5" s="1"/>
  <c r="F220" i="5" s="1"/>
  <c r="G220" i="5" s="1"/>
  <c r="H220" i="5" s="1"/>
  <c r="N220" i="5" s="1"/>
  <c r="O220" i="5" s="1"/>
  <c r="R219" i="5"/>
  <c r="P219" i="4"/>
  <c r="E220" i="4" s="1"/>
  <c r="F220" i="4" s="1"/>
  <c r="G220" i="4" s="1"/>
  <c r="H220" i="4" s="1"/>
  <c r="N220" i="4" s="1"/>
  <c r="O220" i="4" s="1"/>
  <c r="R219" i="4"/>
  <c r="R219" i="3"/>
  <c r="P219" i="3"/>
  <c r="E220" i="3" s="1"/>
  <c r="F220" i="3" s="1"/>
  <c r="G220" i="3" s="1"/>
  <c r="H220" i="3" s="1"/>
  <c r="N220" i="3" s="1"/>
  <c r="O220" i="3" s="1"/>
  <c r="P219" i="2"/>
  <c r="E220" i="2" s="1"/>
  <c r="F220" i="2" s="1"/>
  <c r="G220" i="2" s="1"/>
  <c r="H220" i="2" s="1"/>
  <c r="N220" i="2" s="1"/>
  <c r="O220" i="2" s="1"/>
  <c r="R219" i="2"/>
  <c r="R220" i="6" l="1"/>
  <c r="P220" i="6"/>
  <c r="E221" i="6" s="1"/>
  <c r="F221" i="6" s="1"/>
  <c r="G221" i="6" s="1"/>
  <c r="H221" i="6" s="1"/>
  <c r="N221" i="6" s="1"/>
  <c r="O221" i="6" s="1"/>
  <c r="P220" i="5"/>
  <c r="E221" i="5" s="1"/>
  <c r="F221" i="5" s="1"/>
  <c r="G221" i="5" s="1"/>
  <c r="H221" i="5" s="1"/>
  <c r="N221" i="5" s="1"/>
  <c r="O221" i="5" s="1"/>
  <c r="R220" i="5"/>
  <c r="P220" i="4"/>
  <c r="E221" i="4" s="1"/>
  <c r="F221" i="4" s="1"/>
  <c r="G221" i="4" s="1"/>
  <c r="H221" i="4" s="1"/>
  <c r="N221" i="4" s="1"/>
  <c r="O221" i="4" s="1"/>
  <c r="R220" i="4"/>
  <c r="R220" i="3"/>
  <c r="P220" i="3"/>
  <c r="E221" i="3" s="1"/>
  <c r="F221" i="3" s="1"/>
  <c r="G221" i="3" s="1"/>
  <c r="H221" i="3" s="1"/>
  <c r="N221" i="3" s="1"/>
  <c r="O221" i="3" s="1"/>
  <c r="P220" i="2"/>
  <c r="E221" i="2" s="1"/>
  <c r="F221" i="2" s="1"/>
  <c r="G221" i="2" s="1"/>
  <c r="H221" i="2" s="1"/>
  <c r="N221" i="2" s="1"/>
  <c r="O221" i="2" s="1"/>
  <c r="R220" i="2"/>
  <c r="R221" i="6" l="1"/>
  <c r="P221" i="6"/>
  <c r="E222" i="6" s="1"/>
  <c r="F222" i="6" s="1"/>
  <c r="G222" i="6" s="1"/>
  <c r="H222" i="6" s="1"/>
  <c r="N222" i="6" s="1"/>
  <c r="O222" i="6" s="1"/>
  <c r="R221" i="5"/>
  <c r="P221" i="5"/>
  <c r="E222" i="5" s="1"/>
  <c r="F222" i="5" s="1"/>
  <c r="G222" i="5" s="1"/>
  <c r="H222" i="5" s="1"/>
  <c r="N222" i="5" s="1"/>
  <c r="O222" i="5" s="1"/>
  <c r="P221" i="4"/>
  <c r="E222" i="4" s="1"/>
  <c r="F222" i="4" s="1"/>
  <c r="G222" i="4" s="1"/>
  <c r="H222" i="4" s="1"/>
  <c r="N222" i="4" s="1"/>
  <c r="O222" i="4" s="1"/>
  <c r="R221" i="4"/>
  <c r="R221" i="3"/>
  <c r="P221" i="3"/>
  <c r="E222" i="3" s="1"/>
  <c r="F222" i="3" s="1"/>
  <c r="G222" i="3" s="1"/>
  <c r="H222" i="3" s="1"/>
  <c r="N222" i="3" s="1"/>
  <c r="O222" i="3" s="1"/>
  <c r="P221" i="2"/>
  <c r="E222" i="2" s="1"/>
  <c r="F222" i="2" s="1"/>
  <c r="G222" i="2" s="1"/>
  <c r="H222" i="2" s="1"/>
  <c r="N222" i="2" s="1"/>
  <c r="O222" i="2" s="1"/>
  <c r="R221" i="2"/>
  <c r="R222" i="6" l="1"/>
  <c r="P222" i="6"/>
  <c r="E223" i="6" s="1"/>
  <c r="F223" i="6" s="1"/>
  <c r="G223" i="6" s="1"/>
  <c r="H223" i="6" s="1"/>
  <c r="N223" i="6" s="1"/>
  <c r="O223" i="6" s="1"/>
  <c r="R222" i="5"/>
  <c r="P222" i="5"/>
  <c r="E223" i="5" s="1"/>
  <c r="F223" i="5" s="1"/>
  <c r="G223" i="5" s="1"/>
  <c r="H223" i="5" s="1"/>
  <c r="N223" i="5" s="1"/>
  <c r="O223" i="5" s="1"/>
  <c r="P222" i="4"/>
  <c r="E223" i="4" s="1"/>
  <c r="F223" i="4" s="1"/>
  <c r="G223" i="4" s="1"/>
  <c r="H223" i="4" s="1"/>
  <c r="N223" i="4" s="1"/>
  <c r="O223" i="4" s="1"/>
  <c r="R222" i="4"/>
  <c r="R222" i="3"/>
  <c r="P222" i="3"/>
  <c r="E223" i="3" s="1"/>
  <c r="F223" i="3" s="1"/>
  <c r="G223" i="3" s="1"/>
  <c r="H223" i="3" s="1"/>
  <c r="N223" i="3" s="1"/>
  <c r="O223" i="3" s="1"/>
  <c r="P222" i="2"/>
  <c r="E223" i="2" s="1"/>
  <c r="F223" i="2" s="1"/>
  <c r="G223" i="2" s="1"/>
  <c r="H223" i="2" s="1"/>
  <c r="N223" i="2" s="1"/>
  <c r="O223" i="2" s="1"/>
  <c r="R222" i="2"/>
  <c r="R223" i="6" l="1"/>
  <c r="P223" i="6"/>
  <c r="E224" i="6" s="1"/>
  <c r="F224" i="6" s="1"/>
  <c r="G224" i="6" s="1"/>
  <c r="H224" i="6" s="1"/>
  <c r="N224" i="6" s="1"/>
  <c r="O224" i="6" s="1"/>
  <c r="R223" i="5"/>
  <c r="P223" i="5"/>
  <c r="E224" i="5" s="1"/>
  <c r="F224" i="5" s="1"/>
  <c r="G224" i="5" s="1"/>
  <c r="H224" i="5" s="1"/>
  <c r="N224" i="5" s="1"/>
  <c r="O224" i="5" s="1"/>
  <c r="P223" i="4"/>
  <c r="E224" i="4" s="1"/>
  <c r="F224" i="4" s="1"/>
  <c r="G224" i="4" s="1"/>
  <c r="H224" i="4" s="1"/>
  <c r="N224" i="4" s="1"/>
  <c r="O224" i="4" s="1"/>
  <c r="R223" i="4"/>
  <c r="R223" i="3"/>
  <c r="P223" i="3"/>
  <c r="E224" i="3" s="1"/>
  <c r="F224" i="3" s="1"/>
  <c r="G224" i="3" s="1"/>
  <c r="H224" i="3" s="1"/>
  <c r="N224" i="3" s="1"/>
  <c r="O224" i="3" s="1"/>
  <c r="P223" i="2"/>
  <c r="E224" i="2" s="1"/>
  <c r="F224" i="2" s="1"/>
  <c r="G224" i="2" s="1"/>
  <c r="H224" i="2" s="1"/>
  <c r="N224" i="2" s="1"/>
  <c r="O224" i="2" s="1"/>
  <c r="R223" i="2"/>
  <c r="R224" i="6" l="1"/>
  <c r="P224" i="6"/>
  <c r="E225" i="6" s="1"/>
  <c r="F225" i="6" s="1"/>
  <c r="G225" i="6" s="1"/>
  <c r="H225" i="6" s="1"/>
  <c r="N225" i="6" s="1"/>
  <c r="O225" i="6" s="1"/>
  <c r="R224" i="5"/>
  <c r="P224" i="5"/>
  <c r="E225" i="5" s="1"/>
  <c r="F225" i="5" s="1"/>
  <c r="G225" i="5" s="1"/>
  <c r="H225" i="5" s="1"/>
  <c r="N225" i="5" s="1"/>
  <c r="O225" i="5" s="1"/>
  <c r="R224" i="4"/>
  <c r="P224" i="4"/>
  <c r="E225" i="4" s="1"/>
  <c r="F225" i="4" s="1"/>
  <c r="G225" i="4" s="1"/>
  <c r="H225" i="4" s="1"/>
  <c r="N225" i="4" s="1"/>
  <c r="O225" i="4" s="1"/>
  <c r="R224" i="3"/>
  <c r="P224" i="3"/>
  <c r="E225" i="3" s="1"/>
  <c r="F225" i="3" s="1"/>
  <c r="G225" i="3" s="1"/>
  <c r="H225" i="3" s="1"/>
  <c r="N225" i="3" s="1"/>
  <c r="O225" i="3" s="1"/>
  <c r="P224" i="2"/>
  <c r="E225" i="2" s="1"/>
  <c r="F225" i="2" s="1"/>
  <c r="G225" i="2" s="1"/>
  <c r="H225" i="2" s="1"/>
  <c r="N225" i="2" s="1"/>
  <c r="O225" i="2" s="1"/>
  <c r="R224" i="2"/>
  <c r="R225" i="6" l="1"/>
  <c r="P225" i="6"/>
  <c r="E226" i="6" s="1"/>
  <c r="F226" i="6" s="1"/>
  <c r="G226" i="6" s="1"/>
  <c r="H226" i="6" s="1"/>
  <c r="N226" i="6" s="1"/>
  <c r="O226" i="6" s="1"/>
  <c r="R225" i="5"/>
  <c r="P225" i="5"/>
  <c r="E226" i="5" s="1"/>
  <c r="F226" i="5" s="1"/>
  <c r="G226" i="5" s="1"/>
  <c r="H226" i="5" s="1"/>
  <c r="N226" i="5" s="1"/>
  <c r="O226" i="5" s="1"/>
  <c r="R225" i="4"/>
  <c r="P225" i="4"/>
  <c r="E226" i="4" s="1"/>
  <c r="F226" i="4" s="1"/>
  <c r="G226" i="4" s="1"/>
  <c r="H226" i="4" s="1"/>
  <c r="N226" i="4" s="1"/>
  <c r="O226" i="4" s="1"/>
  <c r="R225" i="3"/>
  <c r="P225" i="3"/>
  <c r="E226" i="3" s="1"/>
  <c r="F226" i="3" s="1"/>
  <c r="G226" i="3" s="1"/>
  <c r="H226" i="3" s="1"/>
  <c r="N226" i="3" s="1"/>
  <c r="O226" i="3" s="1"/>
  <c r="P225" i="2"/>
  <c r="E226" i="2" s="1"/>
  <c r="F226" i="2" s="1"/>
  <c r="G226" i="2" s="1"/>
  <c r="H226" i="2" s="1"/>
  <c r="N226" i="2" s="1"/>
  <c r="O226" i="2" s="1"/>
  <c r="R225" i="2"/>
  <c r="R226" i="6" l="1"/>
  <c r="P226" i="6"/>
  <c r="E227" i="6" s="1"/>
  <c r="F227" i="6" s="1"/>
  <c r="G227" i="6" s="1"/>
  <c r="H227" i="6" s="1"/>
  <c r="N227" i="6" s="1"/>
  <c r="O227" i="6" s="1"/>
  <c r="R226" i="5"/>
  <c r="P226" i="5"/>
  <c r="E227" i="5" s="1"/>
  <c r="F227" i="5" s="1"/>
  <c r="G227" i="5" s="1"/>
  <c r="H227" i="5" s="1"/>
  <c r="N227" i="5" s="1"/>
  <c r="O227" i="5" s="1"/>
  <c r="R226" i="4"/>
  <c r="P226" i="4"/>
  <c r="E227" i="4" s="1"/>
  <c r="F227" i="4" s="1"/>
  <c r="G227" i="4" s="1"/>
  <c r="H227" i="4" s="1"/>
  <c r="N227" i="4" s="1"/>
  <c r="O227" i="4" s="1"/>
  <c r="R226" i="3"/>
  <c r="P226" i="3"/>
  <c r="E227" i="3" s="1"/>
  <c r="F227" i="3" s="1"/>
  <c r="G227" i="3" s="1"/>
  <c r="H227" i="3" s="1"/>
  <c r="N227" i="3" s="1"/>
  <c r="O227" i="3" s="1"/>
  <c r="P226" i="2"/>
  <c r="E227" i="2" s="1"/>
  <c r="F227" i="2" s="1"/>
  <c r="G227" i="2" s="1"/>
  <c r="H227" i="2" s="1"/>
  <c r="N227" i="2" s="1"/>
  <c r="O227" i="2" s="1"/>
  <c r="R226" i="2"/>
  <c r="R227" i="6" l="1"/>
  <c r="P227" i="6"/>
  <c r="E228" i="6" s="1"/>
  <c r="F228" i="6" s="1"/>
  <c r="G228" i="6" s="1"/>
  <c r="H228" i="6" s="1"/>
  <c r="N228" i="6" s="1"/>
  <c r="O228" i="6" s="1"/>
  <c r="R227" i="5"/>
  <c r="P227" i="5"/>
  <c r="E228" i="5" s="1"/>
  <c r="F228" i="5" s="1"/>
  <c r="G228" i="5" s="1"/>
  <c r="H228" i="5" s="1"/>
  <c r="N228" i="5" s="1"/>
  <c r="O228" i="5" s="1"/>
  <c r="R227" i="4"/>
  <c r="P227" i="4"/>
  <c r="E228" i="4" s="1"/>
  <c r="F228" i="4" s="1"/>
  <c r="G228" i="4" s="1"/>
  <c r="H228" i="4" s="1"/>
  <c r="N228" i="4" s="1"/>
  <c r="O228" i="4" s="1"/>
  <c r="R227" i="3"/>
  <c r="P227" i="3"/>
  <c r="E228" i="3" s="1"/>
  <c r="F228" i="3" s="1"/>
  <c r="G228" i="3" s="1"/>
  <c r="H228" i="3" s="1"/>
  <c r="N228" i="3" s="1"/>
  <c r="O228" i="3" s="1"/>
  <c r="P227" i="2"/>
  <c r="E228" i="2" s="1"/>
  <c r="F228" i="2" s="1"/>
  <c r="G228" i="2" s="1"/>
  <c r="H228" i="2" s="1"/>
  <c r="N228" i="2" s="1"/>
  <c r="O228" i="2" s="1"/>
  <c r="R227" i="2"/>
  <c r="R228" i="6" l="1"/>
  <c r="P228" i="6"/>
  <c r="E229" i="6" s="1"/>
  <c r="F229" i="6" s="1"/>
  <c r="G229" i="6" s="1"/>
  <c r="H229" i="6" s="1"/>
  <c r="N229" i="6" s="1"/>
  <c r="O229" i="6" s="1"/>
  <c r="R228" i="5"/>
  <c r="P228" i="5"/>
  <c r="E229" i="5" s="1"/>
  <c r="F229" i="5" s="1"/>
  <c r="G229" i="5" s="1"/>
  <c r="H229" i="5" s="1"/>
  <c r="N229" i="5" s="1"/>
  <c r="O229" i="5" s="1"/>
  <c r="R228" i="4"/>
  <c r="P228" i="4"/>
  <c r="E229" i="4" s="1"/>
  <c r="F229" i="4" s="1"/>
  <c r="G229" i="4" s="1"/>
  <c r="H229" i="4" s="1"/>
  <c r="N229" i="4" s="1"/>
  <c r="O229" i="4" s="1"/>
  <c r="P228" i="3"/>
  <c r="E229" i="3" s="1"/>
  <c r="F229" i="3" s="1"/>
  <c r="G229" i="3" s="1"/>
  <c r="H229" i="3" s="1"/>
  <c r="N229" i="3" s="1"/>
  <c r="O229" i="3" s="1"/>
  <c r="R228" i="3"/>
  <c r="P228" i="2"/>
  <c r="E229" i="2" s="1"/>
  <c r="F229" i="2" s="1"/>
  <c r="G229" i="2" s="1"/>
  <c r="H229" i="2" s="1"/>
  <c r="N229" i="2" s="1"/>
  <c r="O229" i="2" s="1"/>
  <c r="R228" i="2"/>
  <c r="R229" i="6" l="1"/>
  <c r="P229" i="6"/>
  <c r="E230" i="6" s="1"/>
  <c r="F230" i="6" s="1"/>
  <c r="G230" i="6" s="1"/>
  <c r="H230" i="6" s="1"/>
  <c r="N230" i="6" s="1"/>
  <c r="O230" i="6" s="1"/>
  <c r="R229" i="5"/>
  <c r="P229" i="5"/>
  <c r="E230" i="5" s="1"/>
  <c r="F230" i="5" s="1"/>
  <c r="G230" i="5" s="1"/>
  <c r="H230" i="5" s="1"/>
  <c r="N230" i="5" s="1"/>
  <c r="O230" i="5" s="1"/>
  <c r="R229" i="4"/>
  <c r="P229" i="4"/>
  <c r="E230" i="4" s="1"/>
  <c r="F230" i="4" s="1"/>
  <c r="G230" i="4" s="1"/>
  <c r="H230" i="4" s="1"/>
  <c r="N230" i="4" s="1"/>
  <c r="O230" i="4" s="1"/>
  <c r="P229" i="3"/>
  <c r="E230" i="3" s="1"/>
  <c r="F230" i="3" s="1"/>
  <c r="G230" i="3" s="1"/>
  <c r="H230" i="3" s="1"/>
  <c r="N230" i="3" s="1"/>
  <c r="O230" i="3" s="1"/>
  <c r="R229" i="3"/>
  <c r="P229" i="2"/>
  <c r="E230" i="2" s="1"/>
  <c r="F230" i="2" s="1"/>
  <c r="G230" i="2" s="1"/>
  <c r="H230" i="2" s="1"/>
  <c r="N230" i="2" s="1"/>
  <c r="O230" i="2" s="1"/>
  <c r="R229" i="2"/>
  <c r="R230" i="6" l="1"/>
  <c r="P230" i="6"/>
  <c r="E231" i="6" s="1"/>
  <c r="F231" i="6" s="1"/>
  <c r="G231" i="6" s="1"/>
  <c r="H231" i="6" s="1"/>
  <c r="N231" i="6" s="1"/>
  <c r="O231" i="6" s="1"/>
  <c r="R230" i="5"/>
  <c r="P230" i="5"/>
  <c r="E231" i="5" s="1"/>
  <c r="F231" i="5" s="1"/>
  <c r="G231" i="5" s="1"/>
  <c r="H231" i="5" s="1"/>
  <c r="N231" i="5" s="1"/>
  <c r="O231" i="5" s="1"/>
  <c r="R230" i="4"/>
  <c r="P230" i="4"/>
  <c r="E231" i="4" s="1"/>
  <c r="F231" i="4" s="1"/>
  <c r="G231" i="4" s="1"/>
  <c r="H231" i="4" s="1"/>
  <c r="N231" i="4" s="1"/>
  <c r="O231" i="4" s="1"/>
  <c r="R230" i="3"/>
  <c r="P230" i="3"/>
  <c r="E231" i="3" s="1"/>
  <c r="F231" i="3" s="1"/>
  <c r="G231" i="3" s="1"/>
  <c r="H231" i="3" s="1"/>
  <c r="N231" i="3" s="1"/>
  <c r="O231" i="3" s="1"/>
  <c r="P230" i="2"/>
  <c r="E231" i="2" s="1"/>
  <c r="F231" i="2" s="1"/>
  <c r="G231" i="2" s="1"/>
  <c r="H231" i="2" s="1"/>
  <c r="N231" i="2" s="1"/>
  <c r="O231" i="2" s="1"/>
  <c r="R230" i="2"/>
  <c r="R231" i="6" l="1"/>
  <c r="P231" i="6"/>
  <c r="E232" i="6" s="1"/>
  <c r="F232" i="6" s="1"/>
  <c r="G232" i="6" s="1"/>
  <c r="H232" i="6" s="1"/>
  <c r="N232" i="6" s="1"/>
  <c r="O232" i="6" s="1"/>
  <c r="R231" i="5"/>
  <c r="P231" i="5"/>
  <c r="E232" i="5" s="1"/>
  <c r="F232" i="5" s="1"/>
  <c r="G232" i="5" s="1"/>
  <c r="H232" i="5" s="1"/>
  <c r="N232" i="5" s="1"/>
  <c r="O232" i="5" s="1"/>
  <c r="R231" i="4"/>
  <c r="P231" i="4"/>
  <c r="E232" i="4" s="1"/>
  <c r="F232" i="4" s="1"/>
  <c r="G232" i="4" s="1"/>
  <c r="H232" i="4" s="1"/>
  <c r="N232" i="4" s="1"/>
  <c r="O232" i="4" s="1"/>
  <c r="R231" i="3"/>
  <c r="P231" i="3"/>
  <c r="E232" i="3" s="1"/>
  <c r="F232" i="3" s="1"/>
  <c r="G232" i="3" s="1"/>
  <c r="H232" i="3" s="1"/>
  <c r="N232" i="3" s="1"/>
  <c r="O232" i="3" s="1"/>
  <c r="P231" i="2"/>
  <c r="E232" i="2" s="1"/>
  <c r="F232" i="2" s="1"/>
  <c r="G232" i="2" s="1"/>
  <c r="H232" i="2" s="1"/>
  <c r="N232" i="2" s="1"/>
  <c r="O232" i="2" s="1"/>
  <c r="R231" i="2"/>
  <c r="R232" i="6" l="1"/>
  <c r="P232" i="6"/>
  <c r="E233" i="6" s="1"/>
  <c r="F233" i="6" s="1"/>
  <c r="G233" i="6" s="1"/>
  <c r="H233" i="6" s="1"/>
  <c r="N233" i="6" s="1"/>
  <c r="O233" i="6" s="1"/>
  <c r="R232" i="5"/>
  <c r="P232" i="5"/>
  <c r="E233" i="5" s="1"/>
  <c r="F233" i="5" s="1"/>
  <c r="G233" i="5" s="1"/>
  <c r="H233" i="5" s="1"/>
  <c r="N233" i="5" s="1"/>
  <c r="O233" i="5" s="1"/>
  <c r="R232" i="4"/>
  <c r="P232" i="4"/>
  <c r="E233" i="4" s="1"/>
  <c r="F233" i="4" s="1"/>
  <c r="G233" i="4" s="1"/>
  <c r="H233" i="4" s="1"/>
  <c r="N233" i="4" s="1"/>
  <c r="O233" i="4" s="1"/>
  <c r="R232" i="3"/>
  <c r="P232" i="3"/>
  <c r="E233" i="3" s="1"/>
  <c r="F233" i="3" s="1"/>
  <c r="G233" i="3" s="1"/>
  <c r="H233" i="3" s="1"/>
  <c r="N233" i="3" s="1"/>
  <c r="O233" i="3" s="1"/>
  <c r="P232" i="2"/>
  <c r="E233" i="2" s="1"/>
  <c r="F233" i="2" s="1"/>
  <c r="G233" i="2" s="1"/>
  <c r="H233" i="2" s="1"/>
  <c r="N233" i="2" s="1"/>
  <c r="O233" i="2" s="1"/>
  <c r="R232" i="2"/>
  <c r="R233" i="6" l="1"/>
  <c r="P233" i="6"/>
  <c r="E234" i="6" s="1"/>
  <c r="F234" i="6" s="1"/>
  <c r="G234" i="6" s="1"/>
  <c r="H234" i="6" s="1"/>
  <c r="N234" i="6" s="1"/>
  <c r="O234" i="6" s="1"/>
  <c r="R233" i="5"/>
  <c r="P233" i="5"/>
  <c r="E234" i="5" s="1"/>
  <c r="F234" i="5" s="1"/>
  <c r="G234" i="5" s="1"/>
  <c r="H234" i="5" s="1"/>
  <c r="N234" i="5" s="1"/>
  <c r="O234" i="5" s="1"/>
  <c r="R233" i="4"/>
  <c r="P233" i="4"/>
  <c r="E234" i="4" s="1"/>
  <c r="F234" i="4" s="1"/>
  <c r="G234" i="4" s="1"/>
  <c r="H234" i="4" s="1"/>
  <c r="N234" i="4" s="1"/>
  <c r="O234" i="4" s="1"/>
  <c r="R233" i="3"/>
  <c r="P233" i="3"/>
  <c r="E234" i="3" s="1"/>
  <c r="F234" i="3" s="1"/>
  <c r="G234" i="3" s="1"/>
  <c r="H234" i="3" s="1"/>
  <c r="N234" i="3" s="1"/>
  <c r="O234" i="3" s="1"/>
  <c r="R233" i="2"/>
  <c r="P233" i="2"/>
  <c r="E234" i="2" s="1"/>
  <c r="F234" i="2" s="1"/>
  <c r="G234" i="2" s="1"/>
  <c r="H234" i="2" s="1"/>
  <c r="N234" i="2" s="1"/>
  <c r="O234" i="2" s="1"/>
  <c r="R234" i="6" l="1"/>
  <c r="P234" i="6"/>
  <c r="E235" i="6" s="1"/>
  <c r="F235" i="6" s="1"/>
  <c r="G235" i="6" s="1"/>
  <c r="H235" i="6" s="1"/>
  <c r="N235" i="6" s="1"/>
  <c r="O235" i="6" s="1"/>
  <c r="R234" i="5"/>
  <c r="P234" i="5"/>
  <c r="E235" i="5" s="1"/>
  <c r="F235" i="5" s="1"/>
  <c r="G235" i="5" s="1"/>
  <c r="H235" i="5" s="1"/>
  <c r="N235" i="5" s="1"/>
  <c r="O235" i="5" s="1"/>
  <c r="R234" i="4"/>
  <c r="P234" i="4"/>
  <c r="E235" i="4" s="1"/>
  <c r="F235" i="4" s="1"/>
  <c r="G235" i="4" s="1"/>
  <c r="H235" i="4" s="1"/>
  <c r="N235" i="4" s="1"/>
  <c r="O235" i="4" s="1"/>
  <c r="R234" i="3"/>
  <c r="P234" i="3"/>
  <c r="E235" i="3" s="1"/>
  <c r="F235" i="3" s="1"/>
  <c r="G235" i="3" s="1"/>
  <c r="H235" i="3" s="1"/>
  <c r="N235" i="3" s="1"/>
  <c r="O235" i="3" s="1"/>
  <c r="P234" i="2"/>
  <c r="E235" i="2" s="1"/>
  <c r="F235" i="2" s="1"/>
  <c r="G235" i="2" s="1"/>
  <c r="H235" i="2" s="1"/>
  <c r="N235" i="2" s="1"/>
  <c r="O235" i="2" s="1"/>
  <c r="R234" i="2"/>
  <c r="R235" i="6" l="1"/>
  <c r="P235" i="6"/>
  <c r="E236" i="6" s="1"/>
  <c r="F236" i="6" s="1"/>
  <c r="G236" i="6" s="1"/>
  <c r="H236" i="6" s="1"/>
  <c r="N236" i="6" s="1"/>
  <c r="O236" i="6" s="1"/>
  <c r="R235" i="5"/>
  <c r="P235" i="5"/>
  <c r="E236" i="5" s="1"/>
  <c r="F236" i="5" s="1"/>
  <c r="G236" i="5" s="1"/>
  <c r="H236" i="5" s="1"/>
  <c r="N236" i="5" s="1"/>
  <c r="O236" i="5" s="1"/>
  <c r="R235" i="4"/>
  <c r="P235" i="4"/>
  <c r="E236" i="4" s="1"/>
  <c r="F236" i="4" s="1"/>
  <c r="G236" i="4" s="1"/>
  <c r="H236" i="4" s="1"/>
  <c r="N236" i="4" s="1"/>
  <c r="O236" i="4" s="1"/>
  <c r="R235" i="3"/>
  <c r="P235" i="3"/>
  <c r="E236" i="3" s="1"/>
  <c r="F236" i="3" s="1"/>
  <c r="G236" i="3" s="1"/>
  <c r="H236" i="3" s="1"/>
  <c r="N236" i="3" s="1"/>
  <c r="O236" i="3" s="1"/>
  <c r="P235" i="2"/>
  <c r="E236" i="2" s="1"/>
  <c r="F236" i="2" s="1"/>
  <c r="G236" i="2" s="1"/>
  <c r="H236" i="2" s="1"/>
  <c r="N236" i="2" s="1"/>
  <c r="O236" i="2" s="1"/>
  <c r="R235" i="2"/>
  <c r="R236" i="6" l="1"/>
  <c r="P236" i="6"/>
  <c r="E237" i="6" s="1"/>
  <c r="F237" i="6" s="1"/>
  <c r="G237" i="6" s="1"/>
  <c r="H237" i="6" s="1"/>
  <c r="N237" i="6" s="1"/>
  <c r="O237" i="6" s="1"/>
  <c r="R236" i="5"/>
  <c r="P236" i="5"/>
  <c r="E237" i="5" s="1"/>
  <c r="F237" i="5" s="1"/>
  <c r="G237" i="5" s="1"/>
  <c r="H237" i="5" s="1"/>
  <c r="N237" i="5" s="1"/>
  <c r="O237" i="5" s="1"/>
  <c r="R236" i="4"/>
  <c r="P236" i="4"/>
  <c r="E237" i="4" s="1"/>
  <c r="F237" i="4" s="1"/>
  <c r="G237" i="4" s="1"/>
  <c r="H237" i="4" s="1"/>
  <c r="N237" i="4" s="1"/>
  <c r="O237" i="4" s="1"/>
  <c r="R236" i="3"/>
  <c r="P236" i="3"/>
  <c r="E237" i="3" s="1"/>
  <c r="F237" i="3" s="1"/>
  <c r="G237" i="3" s="1"/>
  <c r="H237" i="3" s="1"/>
  <c r="N237" i="3" s="1"/>
  <c r="O237" i="3" s="1"/>
  <c r="P236" i="2"/>
  <c r="E237" i="2" s="1"/>
  <c r="F237" i="2" s="1"/>
  <c r="G237" i="2" s="1"/>
  <c r="H237" i="2" s="1"/>
  <c r="N237" i="2" s="1"/>
  <c r="O237" i="2" s="1"/>
  <c r="R236" i="2"/>
  <c r="R237" i="6" l="1"/>
  <c r="P237" i="6"/>
  <c r="E238" i="6" s="1"/>
  <c r="F238" i="6" s="1"/>
  <c r="G238" i="6" s="1"/>
  <c r="H238" i="6" s="1"/>
  <c r="N238" i="6" s="1"/>
  <c r="O238" i="6" s="1"/>
  <c r="R237" i="5"/>
  <c r="P237" i="5"/>
  <c r="E238" i="5" s="1"/>
  <c r="F238" i="5" s="1"/>
  <c r="G238" i="5" s="1"/>
  <c r="H238" i="5" s="1"/>
  <c r="N238" i="5" s="1"/>
  <c r="O238" i="5" s="1"/>
  <c r="R237" i="4"/>
  <c r="P237" i="4"/>
  <c r="E238" i="4" s="1"/>
  <c r="F238" i="4" s="1"/>
  <c r="G238" i="4" s="1"/>
  <c r="H238" i="4" s="1"/>
  <c r="N238" i="4" s="1"/>
  <c r="O238" i="4" s="1"/>
  <c r="R237" i="3"/>
  <c r="P237" i="3"/>
  <c r="E238" i="3" s="1"/>
  <c r="F238" i="3" s="1"/>
  <c r="G238" i="3" s="1"/>
  <c r="H238" i="3" s="1"/>
  <c r="N238" i="3" s="1"/>
  <c r="O238" i="3" s="1"/>
  <c r="P237" i="2"/>
  <c r="E238" i="2" s="1"/>
  <c r="F238" i="2" s="1"/>
  <c r="G238" i="2" s="1"/>
  <c r="H238" i="2" s="1"/>
  <c r="N238" i="2" s="1"/>
  <c r="O238" i="2" s="1"/>
  <c r="R237" i="2"/>
  <c r="R238" i="6" l="1"/>
  <c r="P238" i="6"/>
  <c r="E239" i="6" s="1"/>
  <c r="F239" i="6" s="1"/>
  <c r="G239" i="6" s="1"/>
  <c r="H239" i="6" s="1"/>
  <c r="N239" i="6" s="1"/>
  <c r="O239" i="6" s="1"/>
  <c r="R238" i="5"/>
  <c r="P238" i="5"/>
  <c r="E239" i="5" s="1"/>
  <c r="F239" i="5" s="1"/>
  <c r="G239" i="5" s="1"/>
  <c r="H239" i="5" s="1"/>
  <c r="N239" i="5" s="1"/>
  <c r="O239" i="5" s="1"/>
  <c r="R238" i="4"/>
  <c r="P238" i="4"/>
  <c r="E239" i="4" s="1"/>
  <c r="F239" i="4" s="1"/>
  <c r="G239" i="4" s="1"/>
  <c r="H239" i="4" s="1"/>
  <c r="N239" i="4" s="1"/>
  <c r="O239" i="4" s="1"/>
  <c r="R238" i="3"/>
  <c r="P238" i="3"/>
  <c r="E239" i="3" s="1"/>
  <c r="F239" i="3" s="1"/>
  <c r="G239" i="3" s="1"/>
  <c r="H239" i="3" s="1"/>
  <c r="N239" i="3" s="1"/>
  <c r="O239" i="3" s="1"/>
  <c r="P238" i="2"/>
  <c r="E239" i="2" s="1"/>
  <c r="F239" i="2" s="1"/>
  <c r="G239" i="2" s="1"/>
  <c r="H239" i="2" s="1"/>
  <c r="N239" i="2" s="1"/>
  <c r="O239" i="2" s="1"/>
  <c r="R238" i="2"/>
  <c r="R239" i="6" l="1"/>
  <c r="P239" i="6"/>
  <c r="E240" i="6" s="1"/>
  <c r="F240" i="6" s="1"/>
  <c r="G240" i="6" s="1"/>
  <c r="H240" i="6" s="1"/>
  <c r="N240" i="6" s="1"/>
  <c r="O240" i="6" s="1"/>
  <c r="R239" i="5"/>
  <c r="P239" i="5"/>
  <c r="E240" i="5" s="1"/>
  <c r="F240" i="5" s="1"/>
  <c r="G240" i="5" s="1"/>
  <c r="H240" i="5" s="1"/>
  <c r="N240" i="5" s="1"/>
  <c r="O240" i="5" s="1"/>
  <c r="R239" i="4"/>
  <c r="P239" i="4"/>
  <c r="E240" i="4" s="1"/>
  <c r="F240" i="4" s="1"/>
  <c r="G240" i="4" s="1"/>
  <c r="H240" i="4" s="1"/>
  <c r="N240" i="4" s="1"/>
  <c r="O240" i="4" s="1"/>
  <c r="R239" i="3"/>
  <c r="P239" i="3"/>
  <c r="E240" i="3" s="1"/>
  <c r="F240" i="3" s="1"/>
  <c r="G240" i="3" s="1"/>
  <c r="H240" i="3" s="1"/>
  <c r="N240" i="3" s="1"/>
  <c r="O240" i="3" s="1"/>
  <c r="P239" i="2"/>
  <c r="E240" i="2" s="1"/>
  <c r="F240" i="2" s="1"/>
  <c r="G240" i="2" s="1"/>
  <c r="H240" i="2" s="1"/>
  <c r="N240" i="2" s="1"/>
  <c r="O240" i="2" s="1"/>
  <c r="R239" i="2"/>
  <c r="R240" i="6" l="1"/>
  <c r="P240" i="6"/>
  <c r="E241" i="6" s="1"/>
  <c r="F241" i="6" s="1"/>
  <c r="G241" i="6" s="1"/>
  <c r="H241" i="6" s="1"/>
  <c r="N241" i="6" s="1"/>
  <c r="O241" i="6" s="1"/>
  <c r="R240" i="5"/>
  <c r="P240" i="5"/>
  <c r="E241" i="5" s="1"/>
  <c r="F241" i="5" s="1"/>
  <c r="G241" i="5" s="1"/>
  <c r="H241" i="5" s="1"/>
  <c r="N241" i="5" s="1"/>
  <c r="O241" i="5" s="1"/>
  <c r="R240" i="4"/>
  <c r="P240" i="4"/>
  <c r="E241" i="4" s="1"/>
  <c r="F241" i="4" s="1"/>
  <c r="G241" i="4" s="1"/>
  <c r="H241" i="4" s="1"/>
  <c r="N241" i="4" s="1"/>
  <c r="O241" i="4" s="1"/>
  <c r="R240" i="3"/>
  <c r="P240" i="3"/>
  <c r="E241" i="3" s="1"/>
  <c r="F241" i="3" s="1"/>
  <c r="G241" i="3" s="1"/>
  <c r="H241" i="3" s="1"/>
  <c r="N241" i="3" s="1"/>
  <c r="O241" i="3" s="1"/>
  <c r="P240" i="2"/>
  <c r="E241" i="2" s="1"/>
  <c r="F241" i="2" s="1"/>
  <c r="G241" i="2" s="1"/>
  <c r="H241" i="2" s="1"/>
  <c r="N241" i="2" s="1"/>
  <c r="O241" i="2" s="1"/>
  <c r="R240" i="2"/>
  <c r="R241" i="6" l="1"/>
  <c r="P241" i="6"/>
  <c r="E242" i="6" s="1"/>
  <c r="F242" i="6" s="1"/>
  <c r="G242" i="6" s="1"/>
  <c r="H242" i="6" s="1"/>
  <c r="N242" i="6" s="1"/>
  <c r="O242" i="6" s="1"/>
  <c r="R241" i="5"/>
  <c r="P241" i="5"/>
  <c r="E242" i="5" s="1"/>
  <c r="F242" i="5" s="1"/>
  <c r="G242" i="5" s="1"/>
  <c r="H242" i="5" s="1"/>
  <c r="N242" i="5" s="1"/>
  <c r="O242" i="5" s="1"/>
  <c r="R241" i="4"/>
  <c r="P241" i="4"/>
  <c r="E242" i="4" s="1"/>
  <c r="F242" i="4" s="1"/>
  <c r="G242" i="4" s="1"/>
  <c r="H242" i="4" s="1"/>
  <c r="N242" i="4" s="1"/>
  <c r="O242" i="4" s="1"/>
  <c r="R241" i="3"/>
  <c r="P241" i="3"/>
  <c r="E242" i="3" s="1"/>
  <c r="F242" i="3" s="1"/>
  <c r="G242" i="3" s="1"/>
  <c r="H242" i="3" s="1"/>
  <c r="N242" i="3" s="1"/>
  <c r="O242" i="3" s="1"/>
  <c r="P241" i="2"/>
  <c r="E242" i="2" s="1"/>
  <c r="F242" i="2" s="1"/>
  <c r="G242" i="2" s="1"/>
  <c r="H242" i="2" s="1"/>
  <c r="N242" i="2" s="1"/>
  <c r="O242" i="2" s="1"/>
  <c r="R241" i="2"/>
  <c r="R242" i="6" l="1"/>
  <c r="P242" i="6"/>
  <c r="E243" i="6" s="1"/>
  <c r="F243" i="6" s="1"/>
  <c r="G243" i="6" s="1"/>
  <c r="H243" i="6" s="1"/>
  <c r="N243" i="6" s="1"/>
  <c r="O243" i="6" s="1"/>
  <c r="R242" i="5"/>
  <c r="P242" i="5"/>
  <c r="E243" i="5" s="1"/>
  <c r="F243" i="5" s="1"/>
  <c r="G243" i="5" s="1"/>
  <c r="H243" i="5" s="1"/>
  <c r="N243" i="5" s="1"/>
  <c r="O243" i="5" s="1"/>
  <c r="R242" i="4"/>
  <c r="P242" i="4"/>
  <c r="E243" i="4" s="1"/>
  <c r="F243" i="4" s="1"/>
  <c r="G243" i="4" s="1"/>
  <c r="H243" i="4" s="1"/>
  <c r="N243" i="4" s="1"/>
  <c r="O243" i="4" s="1"/>
  <c r="R242" i="3"/>
  <c r="P242" i="3"/>
  <c r="E243" i="3" s="1"/>
  <c r="F243" i="3" s="1"/>
  <c r="G243" i="3" s="1"/>
  <c r="H243" i="3" s="1"/>
  <c r="N243" i="3" s="1"/>
  <c r="O243" i="3" s="1"/>
  <c r="P242" i="2"/>
  <c r="E243" i="2" s="1"/>
  <c r="F243" i="2" s="1"/>
  <c r="G243" i="2" s="1"/>
  <c r="H243" i="2" s="1"/>
  <c r="N243" i="2" s="1"/>
  <c r="O243" i="2" s="1"/>
  <c r="R242" i="2"/>
  <c r="R243" i="6" l="1"/>
  <c r="P243" i="6"/>
  <c r="E244" i="6" s="1"/>
  <c r="F244" i="6" s="1"/>
  <c r="G244" i="6" s="1"/>
  <c r="H244" i="6" s="1"/>
  <c r="N244" i="6" s="1"/>
  <c r="O244" i="6" s="1"/>
  <c r="R243" i="5"/>
  <c r="P243" i="5"/>
  <c r="E244" i="5" s="1"/>
  <c r="F244" i="5" s="1"/>
  <c r="G244" i="5" s="1"/>
  <c r="H244" i="5" s="1"/>
  <c r="N244" i="5" s="1"/>
  <c r="O244" i="5" s="1"/>
  <c r="R243" i="4"/>
  <c r="P243" i="4"/>
  <c r="E244" i="4" s="1"/>
  <c r="F244" i="4" s="1"/>
  <c r="G244" i="4" s="1"/>
  <c r="H244" i="4" s="1"/>
  <c r="N244" i="4" s="1"/>
  <c r="O244" i="4" s="1"/>
  <c r="R243" i="3"/>
  <c r="P243" i="3"/>
  <c r="E244" i="3" s="1"/>
  <c r="F244" i="3" s="1"/>
  <c r="G244" i="3" s="1"/>
  <c r="H244" i="3" s="1"/>
  <c r="N244" i="3" s="1"/>
  <c r="O244" i="3" s="1"/>
  <c r="P243" i="2"/>
  <c r="E244" i="2" s="1"/>
  <c r="F244" i="2" s="1"/>
  <c r="G244" i="2" s="1"/>
  <c r="H244" i="2" s="1"/>
  <c r="N244" i="2" s="1"/>
  <c r="O244" i="2" s="1"/>
  <c r="R243" i="2"/>
  <c r="R244" i="6" l="1"/>
  <c r="P244" i="6"/>
  <c r="E245" i="6" s="1"/>
  <c r="F245" i="6" s="1"/>
  <c r="G245" i="6" s="1"/>
  <c r="H245" i="6" s="1"/>
  <c r="N245" i="6" s="1"/>
  <c r="O245" i="6" s="1"/>
  <c r="R244" i="5"/>
  <c r="P244" i="5"/>
  <c r="E245" i="5" s="1"/>
  <c r="F245" i="5" s="1"/>
  <c r="G245" i="5" s="1"/>
  <c r="H245" i="5" s="1"/>
  <c r="N245" i="5" s="1"/>
  <c r="O245" i="5" s="1"/>
  <c r="R244" i="4"/>
  <c r="P244" i="4"/>
  <c r="E245" i="4" s="1"/>
  <c r="F245" i="4" s="1"/>
  <c r="G245" i="4" s="1"/>
  <c r="H245" i="4" s="1"/>
  <c r="N245" i="4" s="1"/>
  <c r="O245" i="4" s="1"/>
  <c r="R244" i="3"/>
  <c r="P244" i="3"/>
  <c r="E245" i="3" s="1"/>
  <c r="F245" i="3" s="1"/>
  <c r="G245" i="3" s="1"/>
  <c r="H245" i="3" s="1"/>
  <c r="N245" i="3" s="1"/>
  <c r="O245" i="3" s="1"/>
  <c r="P244" i="2"/>
  <c r="E245" i="2" s="1"/>
  <c r="F245" i="2" s="1"/>
  <c r="G245" i="2" s="1"/>
  <c r="H245" i="2" s="1"/>
  <c r="N245" i="2" s="1"/>
  <c r="O245" i="2" s="1"/>
  <c r="R244" i="2"/>
  <c r="R245" i="6" l="1"/>
  <c r="P245" i="6"/>
  <c r="E246" i="6" s="1"/>
  <c r="F246" i="6" s="1"/>
  <c r="G246" i="6" s="1"/>
  <c r="H246" i="6" s="1"/>
  <c r="N246" i="6" s="1"/>
  <c r="O246" i="6" s="1"/>
  <c r="R245" i="5"/>
  <c r="P245" i="5"/>
  <c r="E246" i="5" s="1"/>
  <c r="F246" i="5" s="1"/>
  <c r="G246" i="5" s="1"/>
  <c r="H246" i="5" s="1"/>
  <c r="N246" i="5" s="1"/>
  <c r="O246" i="5" s="1"/>
  <c r="R245" i="4"/>
  <c r="P245" i="4"/>
  <c r="E246" i="4" s="1"/>
  <c r="F246" i="4" s="1"/>
  <c r="G246" i="4" s="1"/>
  <c r="H246" i="4" s="1"/>
  <c r="N246" i="4" s="1"/>
  <c r="O246" i="4" s="1"/>
  <c r="R245" i="3"/>
  <c r="P245" i="3"/>
  <c r="E246" i="3" s="1"/>
  <c r="F246" i="3" s="1"/>
  <c r="G246" i="3" s="1"/>
  <c r="H246" i="3" s="1"/>
  <c r="N246" i="3" s="1"/>
  <c r="O246" i="3" s="1"/>
  <c r="P245" i="2"/>
  <c r="E246" i="2" s="1"/>
  <c r="F246" i="2" s="1"/>
  <c r="G246" i="2" s="1"/>
  <c r="H246" i="2" s="1"/>
  <c r="N246" i="2" s="1"/>
  <c r="O246" i="2" s="1"/>
  <c r="R245" i="2"/>
  <c r="R246" i="6" l="1"/>
  <c r="P246" i="6"/>
  <c r="E247" i="6" s="1"/>
  <c r="F247" i="6" s="1"/>
  <c r="G247" i="6" s="1"/>
  <c r="H247" i="6" s="1"/>
  <c r="N247" i="6" s="1"/>
  <c r="O247" i="6" s="1"/>
  <c r="R246" i="5"/>
  <c r="P246" i="5"/>
  <c r="E247" i="5" s="1"/>
  <c r="F247" i="5" s="1"/>
  <c r="G247" i="5" s="1"/>
  <c r="H247" i="5" s="1"/>
  <c r="N247" i="5" s="1"/>
  <c r="O247" i="5" s="1"/>
  <c r="R246" i="4"/>
  <c r="P246" i="4"/>
  <c r="E247" i="4" s="1"/>
  <c r="F247" i="4" s="1"/>
  <c r="G247" i="4" s="1"/>
  <c r="H247" i="4" s="1"/>
  <c r="N247" i="4" s="1"/>
  <c r="O247" i="4" s="1"/>
  <c r="R246" i="3"/>
  <c r="P246" i="3"/>
  <c r="E247" i="3" s="1"/>
  <c r="F247" i="3" s="1"/>
  <c r="G247" i="3" s="1"/>
  <c r="H247" i="3" s="1"/>
  <c r="N247" i="3" s="1"/>
  <c r="O247" i="3" s="1"/>
  <c r="P246" i="2"/>
  <c r="E247" i="2" s="1"/>
  <c r="F247" i="2" s="1"/>
  <c r="G247" i="2" s="1"/>
  <c r="H247" i="2" s="1"/>
  <c r="N247" i="2" s="1"/>
  <c r="O247" i="2" s="1"/>
  <c r="R246" i="2"/>
  <c r="R247" i="6" l="1"/>
  <c r="P247" i="6"/>
  <c r="E248" i="6" s="1"/>
  <c r="F248" i="6" s="1"/>
  <c r="G248" i="6" s="1"/>
  <c r="H248" i="6" s="1"/>
  <c r="N248" i="6" s="1"/>
  <c r="O248" i="6" s="1"/>
  <c r="R247" i="5"/>
  <c r="P247" i="5"/>
  <c r="E248" i="5" s="1"/>
  <c r="F248" i="5" s="1"/>
  <c r="G248" i="5" s="1"/>
  <c r="H248" i="5" s="1"/>
  <c r="N248" i="5" s="1"/>
  <c r="O248" i="5" s="1"/>
  <c r="R247" i="4"/>
  <c r="P247" i="4"/>
  <c r="E248" i="4" s="1"/>
  <c r="F248" i="4" s="1"/>
  <c r="G248" i="4" s="1"/>
  <c r="H248" i="4" s="1"/>
  <c r="N248" i="4" s="1"/>
  <c r="O248" i="4" s="1"/>
  <c r="R247" i="3"/>
  <c r="P247" i="3"/>
  <c r="E248" i="3" s="1"/>
  <c r="F248" i="3" s="1"/>
  <c r="G248" i="3" s="1"/>
  <c r="H248" i="3" s="1"/>
  <c r="N248" i="3" s="1"/>
  <c r="O248" i="3" s="1"/>
  <c r="P247" i="2"/>
  <c r="E248" i="2" s="1"/>
  <c r="F248" i="2" s="1"/>
  <c r="G248" i="2" s="1"/>
  <c r="H248" i="2" s="1"/>
  <c r="N248" i="2" s="1"/>
  <c r="O248" i="2" s="1"/>
  <c r="R247" i="2"/>
  <c r="R248" i="6" l="1"/>
  <c r="P248" i="6"/>
  <c r="E249" i="6" s="1"/>
  <c r="F249" i="6" s="1"/>
  <c r="G249" i="6" s="1"/>
  <c r="H249" i="6" s="1"/>
  <c r="N249" i="6" s="1"/>
  <c r="O249" i="6" s="1"/>
  <c r="R248" i="5"/>
  <c r="P248" i="5"/>
  <c r="E249" i="5" s="1"/>
  <c r="F249" i="5" s="1"/>
  <c r="G249" i="5" s="1"/>
  <c r="H249" i="5" s="1"/>
  <c r="N249" i="5" s="1"/>
  <c r="O249" i="5" s="1"/>
  <c r="R248" i="4"/>
  <c r="P248" i="4"/>
  <c r="E249" i="4" s="1"/>
  <c r="F249" i="4" s="1"/>
  <c r="G249" i="4" s="1"/>
  <c r="H249" i="4" s="1"/>
  <c r="N249" i="4" s="1"/>
  <c r="O249" i="4" s="1"/>
  <c r="R248" i="3"/>
  <c r="P248" i="3"/>
  <c r="E249" i="3" s="1"/>
  <c r="F249" i="3" s="1"/>
  <c r="G249" i="3" s="1"/>
  <c r="H249" i="3" s="1"/>
  <c r="N249" i="3" s="1"/>
  <c r="O249" i="3" s="1"/>
  <c r="P248" i="2"/>
  <c r="E249" i="2" s="1"/>
  <c r="F249" i="2" s="1"/>
  <c r="G249" i="2" s="1"/>
  <c r="H249" i="2" s="1"/>
  <c r="N249" i="2" s="1"/>
  <c r="O249" i="2" s="1"/>
  <c r="R248" i="2"/>
  <c r="R249" i="6" l="1"/>
  <c r="P249" i="6"/>
  <c r="E250" i="6" s="1"/>
  <c r="F250" i="6" s="1"/>
  <c r="G250" i="6" s="1"/>
  <c r="H250" i="6" s="1"/>
  <c r="N250" i="6" s="1"/>
  <c r="O250" i="6" s="1"/>
  <c r="R249" i="5"/>
  <c r="P249" i="5"/>
  <c r="E250" i="5" s="1"/>
  <c r="F250" i="5" s="1"/>
  <c r="G250" i="5" s="1"/>
  <c r="H250" i="5" s="1"/>
  <c r="N250" i="5" s="1"/>
  <c r="O250" i="5" s="1"/>
  <c r="R249" i="4"/>
  <c r="P249" i="4"/>
  <c r="E250" i="4" s="1"/>
  <c r="F250" i="4" s="1"/>
  <c r="G250" i="4" s="1"/>
  <c r="H250" i="4" s="1"/>
  <c r="N250" i="4" s="1"/>
  <c r="O250" i="4" s="1"/>
  <c r="R249" i="3"/>
  <c r="P249" i="3"/>
  <c r="E250" i="3" s="1"/>
  <c r="F250" i="3" s="1"/>
  <c r="G250" i="3" s="1"/>
  <c r="H250" i="3" s="1"/>
  <c r="N250" i="3" s="1"/>
  <c r="O250" i="3" s="1"/>
  <c r="P249" i="2"/>
  <c r="E250" i="2" s="1"/>
  <c r="F250" i="2" s="1"/>
  <c r="G250" i="2" s="1"/>
  <c r="H250" i="2" s="1"/>
  <c r="N250" i="2" s="1"/>
  <c r="O250" i="2" s="1"/>
  <c r="R249" i="2"/>
  <c r="R250" i="6" l="1"/>
  <c r="P250" i="6"/>
  <c r="E251" i="6" s="1"/>
  <c r="F251" i="6" s="1"/>
  <c r="G251" i="6" s="1"/>
  <c r="H251" i="6" s="1"/>
  <c r="N251" i="6" s="1"/>
  <c r="O251" i="6" s="1"/>
  <c r="R250" i="5"/>
  <c r="P250" i="5"/>
  <c r="E251" i="5" s="1"/>
  <c r="F251" i="5" s="1"/>
  <c r="G251" i="5" s="1"/>
  <c r="H251" i="5" s="1"/>
  <c r="N251" i="5" s="1"/>
  <c r="O251" i="5" s="1"/>
  <c r="R250" i="4"/>
  <c r="P250" i="4"/>
  <c r="E251" i="4" s="1"/>
  <c r="F251" i="4" s="1"/>
  <c r="G251" i="4" s="1"/>
  <c r="H251" i="4" s="1"/>
  <c r="N251" i="4" s="1"/>
  <c r="O251" i="4" s="1"/>
  <c r="R250" i="3"/>
  <c r="P250" i="3"/>
  <c r="E251" i="3" s="1"/>
  <c r="F251" i="3" s="1"/>
  <c r="G251" i="3" s="1"/>
  <c r="H251" i="3" s="1"/>
  <c r="N251" i="3" s="1"/>
  <c r="O251" i="3" s="1"/>
  <c r="P250" i="2"/>
  <c r="E251" i="2" s="1"/>
  <c r="F251" i="2" s="1"/>
  <c r="G251" i="2" s="1"/>
  <c r="H251" i="2" s="1"/>
  <c r="N251" i="2" s="1"/>
  <c r="O251" i="2" s="1"/>
  <c r="R250" i="2"/>
  <c r="R251" i="6" l="1"/>
  <c r="P251" i="6"/>
  <c r="E252" i="6" s="1"/>
  <c r="F252" i="6" s="1"/>
  <c r="G252" i="6" s="1"/>
  <c r="H252" i="6" s="1"/>
  <c r="N252" i="6" s="1"/>
  <c r="O252" i="6" s="1"/>
  <c r="R251" i="5"/>
  <c r="P251" i="5"/>
  <c r="E252" i="5" s="1"/>
  <c r="F252" i="5" s="1"/>
  <c r="G252" i="5" s="1"/>
  <c r="H252" i="5" s="1"/>
  <c r="N252" i="5" s="1"/>
  <c r="O252" i="5" s="1"/>
  <c r="R251" i="4"/>
  <c r="P251" i="4"/>
  <c r="E252" i="4" s="1"/>
  <c r="F252" i="4" s="1"/>
  <c r="G252" i="4" s="1"/>
  <c r="H252" i="4" s="1"/>
  <c r="N252" i="4" s="1"/>
  <c r="O252" i="4" s="1"/>
  <c r="R251" i="3"/>
  <c r="P251" i="3"/>
  <c r="E252" i="3" s="1"/>
  <c r="F252" i="3" s="1"/>
  <c r="G252" i="3" s="1"/>
  <c r="H252" i="3" s="1"/>
  <c r="N252" i="3" s="1"/>
  <c r="O252" i="3" s="1"/>
  <c r="P251" i="2"/>
  <c r="E252" i="2" s="1"/>
  <c r="F252" i="2" s="1"/>
  <c r="G252" i="2" s="1"/>
  <c r="H252" i="2" s="1"/>
  <c r="N252" i="2" s="1"/>
  <c r="O252" i="2" s="1"/>
  <c r="R251" i="2"/>
  <c r="R252" i="6" l="1"/>
  <c r="P252" i="6"/>
  <c r="E253" i="6" s="1"/>
  <c r="F253" i="6" s="1"/>
  <c r="G253" i="6" s="1"/>
  <c r="H253" i="6" s="1"/>
  <c r="N253" i="6" s="1"/>
  <c r="O253" i="6" s="1"/>
  <c r="P252" i="5"/>
  <c r="E253" i="5" s="1"/>
  <c r="F253" i="5" s="1"/>
  <c r="G253" i="5" s="1"/>
  <c r="H253" i="5" s="1"/>
  <c r="N253" i="5" s="1"/>
  <c r="O253" i="5" s="1"/>
  <c r="R252" i="5"/>
  <c r="P252" i="4"/>
  <c r="E253" i="4" s="1"/>
  <c r="F253" i="4" s="1"/>
  <c r="G253" i="4" s="1"/>
  <c r="H253" i="4" s="1"/>
  <c r="N253" i="4" s="1"/>
  <c r="O253" i="4" s="1"/>
  <c r="R252" i="4"/>
  <c r="R252" i="3"/>
  <c r="P252" i="3"/>
  <c r="E253" i="3" s="1"/>
  <c r="F253" i="3" s="1"/>
  <c r="G253" i="3" s="1"/>
  <c r="H253" i="3" s="1"/>
  <c r="N253" i="3" s="1"/>
  <c r="O253" i="3" s="1"/>
  <c r="R252" i="2"/>
  <c r="P252" i="2"/>
  <c r="E253" i="2" s="1"/>
  <c r="F253" i="2" s="1"/>
  <c r="G253" i="2" s="1"/>
  <c r="H253" i="2" s="1"/>
  <c r="N253" i="2" s="1"/>
  <c r="O253" i="2" s="1"/>
  <c r="R253" i="6" l="1"/>
  <c r="P253" i="6"/>
  <c r="E254" i="6" s="1"/>
  <c r="F254" i="6" s="1"/>
  <c r="G254" i="6" s="1"/>
  <c r="H254" i="6" s="1"/>
  <c r="N254" i="6" s="1"/>
  <c r="O254" i="6" s="1"/>
  <c r="R253" i="5"/>
  <c r="P253" i="5"/>
  <c r="E254" i="5" s="1"/>
  <c r="F254" i="5" s="1"/>
  <c r="G254" i="5" s="1"/>
  <c r="H254" i="5" s="1"/>
  <c r="N254" i="5" s="1"/>
  <c r="O254" i="5" s="1"/>
  <c r="R253" i="4"/>
  <c r="P253" i="4"/>
  <c r="E254" i="4" s="1"/>
  <c r="F254" i="4" s="1"/>
  <c r="G254" i="4" s="1"/>
  <c r="H254" i="4" s="1"/>
  <c r="N254" i="4" s="1"/>
  <c r="O254" i="4" s="1"/>
  <c r="R253" i="3"/>
  <c r="P253" i="3"/>
  <c r="E254" i="3" s="1"/>
  <c r="F254" i="3" s="1"/>
  <c r="G254" i="3" s="1"/>
  <c r="H254" i="3" s="1"/>
  <c r="N254" i="3" s="1"/>
  <c r="O254" i="3" s="1"/>
  <c r="R253" i="2"/>
  <c r="P253" i="2"/>
  <c r="E254" i="2" s="1"/>
  <c r="F254" i="2" s="1"/>
  <c r="G254" i="2" s="1"/>
  <c r="H254" i="2" s="1"/>
  <c r="N254" i="2" s="1"/>
  <c r="O254" i="2" s="1"/>
  <c r="R254" i="6" l="1"/>
  <c r="P254" i="6"/>
  <c r="E255" i="6" s="1"/>
  <c r="F255" i="6" s="1"/>
  <c r="G255" i="6" s="1"/>
  <c r="H255" i="6" s="1"/>
  <c r="N255" i="6" s="1"/>
  <c r="O255" i="6" s="1"/>
  <c r="P254" i="5"/>
  <c r="E255" i="5" s="1"/>
  <c r="F255" i="5" s="1"/>
  <c r="G255" i="5" s="1"/>
  <c r="H255" i="5" s="1"/>
  <c r="N255" i="5" s="1"/>
  <c r="O255" i="5" s="1"/>
  <c r="R254" i="5"/>
  <c r="P254" i="4"/>
  <c r="E255" i="4" s="1"/>
  <c r="F255" i="4" s="1"/>
  <c r="G255" i="4" s="1"/>
  <c r="H255" i="4" s="1"/>
  <c r="N255" i="4" s="1"/>
  <c r="O255" i="4" s="1"/>
  <c r="R254" i="4"/>
  <c r="R254" i="3"/>
  <c r="P254" i="3"/>
  <c r="E255" i="3" s="1"/>
  <c r="F255" i="3" s="1"/>
  <c r="G255" i="3" s="1"/>
  <c r="H255" i="3" s="1"/>
  <c r="N255" i="3" s="1"/>
  <c r="O255" i="3" s="1"/>
  <c r="R254" i="2"/>
  <c r="P254" i="2"/>
  <c r="E255" i="2" s="1"/>
  <c r="F255" i="2" s="1"/>
  <c r="G255" i="2" s="1"/>
  <c r="H255" i="2" s="1"/>
  <c r="N255" i="2" s="1"/>
  <c r="O255" i="2" s="1"/>
  <c r="R255" i="6" l="1"/>
  <c r="P255" i="6"/>
  <c r="E256" i="6" s="1"/>
  <c r="F256" i="6" s="1"/>
  <c r="G256" i="6" s="1"/>
  <c r="H256" i="6" s="1"/>
  <c r="N256" i="6" s="1"/>
  <c r="O256" i="6" s="1"/>
  <c r="R255" i="5"/>
  <c r="P255" i="5"/>
  <c r="E256" i="5" s="1"/>
  <c r="F256" i="5" s="1"/>
  <c r="G256" i="5" s="1"/>
  <c r="H256" i="5" s="1"/>
  <c r="N256" i="5" s="1"/>
  <c r="O256" i="5" s="1"/>
  <c r="R255" i="4"/>
  <c r="P255" i="4"/>
  <c r="E256" i="4" s="1"/>
  <c r="F256" i="4" s="1"/>
  <c r="G256" i="4" s="1"/>
  <c r="H256" i="4" s="1"/>
  <c r="N256" i="4" s="1"/>
  <c r="O256" i="4" s="1"/>
  <c r="R255" i="3"/>
  <c r="P255" i="3"/>
  <c r="E256" i="3" s="1"/>
  <c r="F256" i="3" s="1"/>
  <c r="G256" i="3" s="1"/>
  <c r="H256" i="3" s="1"/>
  <c r="N256" i="3" s="1"/>
  <c r="O256" i="3" s="1"/>
  <c r="R255" i="2"/>
  <c r="P255" i="2"/>
  <c r="E256" i="2" s="1"/>
  <c r="F256" i="2" s="1"/>
  <c r="G256" i="2" s="1"/>
  <c r="H256" i="2" s="1"/>
  <c r="N256" i="2" s="1"/>
  <c r="O256" i="2" s="1"/>
  <c r="R256" i="6" l="1"/>
  <c r="P256" i="6"/>
  <c r="E257" i="6" s="1"/>
  <c r="F257" i="6" s="1"/>
  <c r="G257" i="6" s="1"/>
  <c r="H257" i="6" s="1"/>
  <c r="N257" i="6" s="1"/>
  <c r="O257" i="6" s="1"/>
  <c r="R256" i="5"/>
  <c r="P256" i="5"/>
  <c r="E257" i="5" s="1"/>
  <c r="F257" i="5" s="1"/>
  <c r="G257" i="5" s="1"/>
  <c r="H257" i="5" s="1"/>
  <c r="N257" i="5" s="1"/>
  <c r="O257" i="5" s="1"/>
  <c r="P256" i="4"/>
  <c r="E257" i="4" s="1"/>
  <c r="F257" i="4" s="1"/>
  <c r="G257" i="4" s="1"/>
  <c r="H257" i="4" s="1"/>
  <c r="N257" i="4" s="1"/>
  <c r="O257" i="4" s="1"/>
  <c r="R256" i="4"/>
  <c r="R256" i="3"/>
  <c r="P256" i="3"/>
  <c r="E257" i="3" s="1"/>
  <c r="F257" i="3" s="1"/>
  <c r="G257" i="3" s="1"/>
  <c r="H257" i="3" s="1"/>
  <c r="N257" i="3" s="1"/>
  <c r="O257" i="3" s="1"/>
  <c r="R256" i="2"/>
  <c r="P256" i="2"/>
  <c r="E257" i="2" s="1"/>
  <c r="F257" i="2" s="1"/>
  <c r="G257" i="2" s="1"/>
  <c r="H257" i="2" s="1"/>
  <c r="N257" i="2" s="1"/>
  <c r="O257" i="2" s="1"/>
  <c r="R257" i="6" l="1"/>
  <c r="P257" i="6"/>
  <c r="E258" i="6" s="1"/>
  <c r="F258" i="6" s="1"/>
  <c r="G258" i="6" s="1"/>
  <c r="H258" i="6" s="1"/>
  <c r="N258" i="6" s="1"/>
  <c r="O258" i="6" s="1"/>
  <c r="R257" i="5"/>
  <c r="P257" i="5"/>
  <c r="E258" i="5" s="1"/>
  <c r="F258" i="5" s="1"/>
  <c r="G258" i="5" s="1"/>
  <c r="H258" i="5" s="1"/>
  <c r="N258" i="5" s="1"/>
  <c r="O258" i="5" s="1"/>
  <c r="R257" i="4"/>
  <c r="P257" i="4"/>
  <c r="E258" i="4" s="1"/>
  <c r="F258" i="4" s="1"/>
  <c r="G258" i="4" s="1"/>
  <c r="H258" i="4" s="1"/>
  <c r="N258" i="4" s="1"/>
  <c r="O258" i="4" s="1"/>
  <c r="R257" i="3"/>
  <c r="P257" i="3"/>
  <c r="E258" i="3" s="1"/>
  <c r="F258" i="3" s="1"/>
  <c r="G258" i="3" s="1"/>
  <c r="H258" i="3" s="1"/>
  <c r="N258" i="3" s="1"/>
  <c r="O258" i="3" s="1"/>
  <c r="R257" i="2"/>
  <c r="P257" i="2"/>
  <c r="E258" i="2" s="1"/>
  <c r="F258" i="2" s="1"/>
  <c r="G258" i="2" s="1"/>
  <c r="H258" i="2" s="1"/>
  <c r="N258" i="2" s="1"/>
  <c r="O258" i="2" s="1"/>
  <c r="R258" i="6" l="1"/>
  <c r="P258" i="6"/>
  <c r="E259" i="6" s="1"/>
  <c r="F259" i="6" s="1"/>
  <c r="G259" i="6" s="1"/>
  <c r="H259" i="6" s="1"/>
  <c r="N259" i="6" s="1"/>
  <c r="O259" i="6" s="1"/>
  <c r="R258" i="5"/>
  <c r="P258" i="5"/>
  <c r="E259" i="5" s="1"/>
  <c r="F259" i="5" s="1"/>
  <c r="G259" i="5" s="1"/>
  <c r="H259" i="5" s="1"/>
  <c r="N259" i="5" s="1"/>
  <c r="O259" i="5" s="1"/>
  <c r="R258" i="4"/>
  <c r="P258" i="4"/>
  <c r="E259" i="4" s="1"/>
  <c r="F259" i="4" s="1"/>
  <c r="G259" i="4" s="1"/>
  <c r="H259" i="4" s="1"/>
  <c r="N259" i="4" s="1"/>
  <c r="O259" i="4" s="1"/>
  <c r="R258" i="3"/>
  <c r="P258" i="3"/>
  <c r="E259" i="3" s="1"/>
  <c r="F259" i="3" s="1"/>
  <c r="G259" i="3" s="1"/>
  <c r="H259" i="3" s="1"/>
  <c r="N259" i="3" s="1"/>
  <c r="O259" i="3" s="1"/>
  <c r="R258" i="2"/>
  <c r="P258" i="2"/>
  <c r="E259" i="2" s="1"/>
  <c r="F259" i="2" s="1"/>
  <c r="G259" i="2" s="1"/>
  <c r="H259" i="2" s="1"/>
  <c r="N259" i="2" s="1"/>
  <c r="O259" i="2" s="1"/>
  <c r="R259" i="6" l="1"/>
  <c r="P259" i="6"/>
  <c r="E260" i="6" s="1"/>
  <c r="F260" i="6" s="1"/>
  <c r="G260" i="6" s="1"/>
  <c r="H260" i="6" s="1"/>
  <c r="N260" i="6" s="1"/>
  <c r="O260" i="6" s="1"/>
  <c r="R259" i="5"/>
  <c r="P259" i="5"/>
  <c r="E260" i="5" s="1"/>
  <c r="F260" i="5" s="1"/>
  <c r="G260" i="5" s="1"/>
  <c r="H260" i="5" s="1"/>
  <c r="N260" i="5" s="1"/>
  <c r="O260" i="5" s="1"/>
  <c r="R259" i="4"/>
  <c r="P259" i="4"/>
  <c r="E260" i="4" s="1"/>
  <c r="F260" i="4" s="1"/>
  <c r="G260" i="4" s="1"/>
  <c r="H260" i="4" s="1"/>
  <c r="N260" i="4" s="1"/>
  <c r="O260" i="4" s="1"/>
  <c r="R259" i="3"/>
  <c r="P259" i="3"/>
  <c r="E260" i="3" s="1"/>
  <c r="F260" i="3" s="1"/>
  <c r="G260" i="3" s="1"/>
  <c r="H260" i="3" s="1"/>
  <c r="N260" i="3" s="1"/>
  <c r="O260" i="3" s="1"/>
  <c r="R259" i="2"/>
  <c r="P259" i="2"/>
  <c r="E260" i="2" s="1"/>
  <c r="F260" i="2" s="1"/>
  <c r="G260" i="2" s="1"/>
  <c r="H260" i="2" s="1"/>
  <c r="N260" i="2" s="1"/>
  <c r="O260" i="2" s="1"/>
  <c r="R260" i="6" l="1"/>
  <c r="P260" i="6"/>
  <c r="E261" i="6" s="1"/>
  <c r="F261" i="6" s="1"/>
  <c r="G261" i="6" s="1"/>
  <c r="H261" i="6" s="1"/>
  <c r="N261" i="6" s="1"/>
  <c r="O261" i="6" s="1"/>
  <c r="R260" i="5"/>
  <c r="P260" i="5"/>
  <c r="E261" i="5" s="1"/>
  <c r="F261" i="5" s="1"/>
  <c r="G261" i="5" s="1"/>
  <c r="H261" i="5" s="1"/>
  <c r="N261" i="5" s="1"/>
  <c r="O261" i="5" s="1"/>
  <c r="R260" i="4"/>
  <c r="P260" i="4"/>
  <c r="E261" i="4" s="1"/>
  <c r="F261" i="4" s="1"/>
  <c r="G261" i="4" s="1"/>
  <c r="H261" i="4" s="1"/>
  <c r="N261" i="4" s="1"/>
  <c r="O261" i="4" s="1"/>
  <c r="R260" i="3"/>
  <c r="P260" i="3"/>
  <c r="E261" i="3" s="1"/>
  <c r="F261" i="3" s="1"/>
  <c r="G261" i="3" s="1"/>
  <c r="H261" i="3" s="1"/>
  <c r="N261" i="3" s="1"/>
  <c r="O261" i="3" s="1"/>
  <c r="R260" i="2"/>
  <c r="P260" i="2"/>
  <c r="E261" i="2" s="1"/>
  <c r="F261" i="2" s="1"/>
  <c r="G261" i="2" s="1"/>
  <c r="H261" i="2" s="1"/>
  <c r="N261" i="2" s="1"/>
  <c r="O261" i="2" s="1"/>
  <c r="R261" i="6" l="1"/>
  <c r="P261" i="6"/>
  <c r="E262" i="6" s="1"/>
  <c r="F262" i="6" s="1"/>
  <c r="G262" i="6" s="1"/>
  <c r="H262" i="6" s="1"/>
  <c r="N262" i="6" s="1"/>
  <c r="O262" i="6" s="1"/>
  <c r="R261" i="5"/>
  <c r="P261" i="5"/>
  <c r="E262" i="5" s="1"/>
  <c r="F262" i="5" s="1"/>
  <c r="G262" i="5" s="1"/>
  <c r="H262" i="5" s="1"/>
  <c r="N262" i="5" s="1"/>
  <c r="O262" i="5" s="1"/>
  <c r="R261" i="4"/>
  <c r="P261" i="4"/>
  <c r="E262" i="4" s="1"/>
  <c r="F262" i="4" s="1"/>
  <c r="G262" i="4" s="1"/>
  <c r="H262" i="4" s="1"/>
  <c r="N262" i="4" s="1"/>
  <c r="O262" i="4" s="1"/>
  <c r="R261" i="3"/>
  <c r="P261" i="3"/>
  <c r="E262" i="3" s="1"/>
  <c r="F262" i="3" s="1"/>
  <c r="G262" i="3" s="1"/>
  <c r="H262" i="3" s="1"/>
  <c r="N262" i="3" s="1"/>
  <c r="O262" i="3" s="1"/>
  <c r="R261" i="2"/>
  <c r="P261" i="2"/>
  <c r="E262" i="2" s="1"/>
  <c r="F262" i="2" s="1"/>
  <c r="G262" i="2" s="1"/>
  <c r="H262" i="2" s="1"/>
  <c r="N262" i="2" s="1"/>
  <c r="O262" i="2" s="1"/>
  <c r="R262" i="6" l="1"/>
  <c r="P262" i="6"/>
  <c r="E263" i="6" s="1"/>
  <c r="F263" i="6" s="1"/>
  <c r="G263" i="6" s="1"/>
  <c r="H263" i="6" s="1"/>
  <c r="N263" i="6" s="1"/>
  <c r="O263" i="6" s="1"/>
  <c r="R262" i="5"/>
  <c r="P262" i="5"/>
  <c r="E263" i="5" s="1"/>
  <c r="F263" i="5" s="1"/>
  <c r="G263" i="5" s="1"/>
  <c r="H263" i="5" s="1"/>
  <c r="N263" i="5" s="1"/>
  <c r="O263" i="5" s="1"/>
  <c r="R262" i="4"/>
  <c r="P262" i="4"/>
  <c r="E263" i="4" s="1"/>
  <c r="F263" i="4" s="1"/>
  <c r="G263" i="4" s="1"/>
  <c r="H263" i="4" s="1"/>
  <c r="N263" i="4" s="1"/>
  <c r="O263" i="4" s="1"/>
  <c r="R262" i="3"/>
  <c r="P262" i="3"/>
  <c r="E263" i="3" s="1"/>
  <c r="F263" i="3" s="1"/>
  <c r="G263" i="3" s="1"/>
  <c r="H263" i="3" s="1"/>
  <c r="N263" i="3" s="1"/>
  <c r="O263" i="3" s="1"/>
  <c r="R262" i="2"/>
  <c r="P262" i="2"/>
  <c r="E263" i="2" s="1"/>
  <c r="F263" i="2" s="1"/>
  <c r="G263" i="2" s="1"/>
  <c r="H263" i="2" s="1"/>
  <c r="N263" i="2" s="1"/>
  <c r="O263" i="2" s="1"/>
  <c r="R263" i="6" l="1"/>
  <c r="P263" i="6"/>
  <c r="E264" i="6" s="1"/>
  <c r="F264" i="6" s="1"/>
  <c r="G264" i="6" s="1"/>
  <c r="H264" i="6" s="1"/>
  <c r="N264" i="6" s="1"/>
  <c r="O264" i="6" s="1"/>
  <c r="R263" i="5"/>
  <c r="P263" i="5"/>
  <c r="E264" i="5" s="1"/>
  <c r="F264" i="5" s="1"/>
  <c r="G264" i="5" s="1"/>
  <c r="H264" i="5" s="1"/>
  <c r="N264" i="5" s="1"/>
  <c r="O264" i="5" s="1"/>
  <c r="R263" i="4"/>
  <c r="P263" i="4"/>
  <c r="E264" i="4" s="1"/>
  <c r="F264" i="4" s="1"/>
  <c r="G264" i="4" s="1"/>
  <c r="H264" i="4" s="1"/>
  <c r="N264" i="4" s="1"/>
  <c r="O264" i="4" s="1"/>
  <c r="R263" i="3"/>
  <c r="P263" i="3"/>
  <c r="E264" i="3" s="1"/>
  <c r="F264" i="3" s="1"/>
  <c r="G264" i="3" s="1"/>
  <c r="H264" i="3" s="1"/>
  <c r="N264" i="3" s="1"/>
  <c r="O264" i="3" s="1"/>
  <c r="R263" i="2"/>
  <c r="P263" i="2"/>
  <c r="E264" i="2" s="1"/>
  <c r="F264" i="2" s="1"/>
  <c r="G264" i="2" s="1"/>
  <c r="H264" i="2" s="1"/>
  <c r="N264" i="2" s="1"/>
  <c r="O264" i="2" s="1"/>
  <c r="R264" i="6" l="1"/>
  <c r="P264" i="6"/>
  <c r="E265" i="6" s="1"/>
  <c r="F265" i="6" s="1"/>
  <c r="G265" i="6" s="1"/>
  <c r="H265" i="6" s="1"/>
  <c r="N265" i="6" s="1"/>
  <c r="O265" i="6" s="1"/>
  <c r="R264" i="5"/>
  <c r="P264" i="5"/>
  <c r="E265" i="5" s="1"/>
  <c r="F265" i="5" s="1"/>
  <c r="G265" i="5" s="1"/>
  <c r="H265" i="5" s="1"/>
  <c r="N265" i="5" s="1"/>
  <c r="O265" i="5" s="1"/>
  <c r="R264" i="4"/>
  <c r="P264" i="4"/>
  <c r="E265" i="4" s="1"/>
  <c r="F265" i="4" s="1"/>
  <c r="G265" i="4" s="1"/>
  <c r="H265" i="4" s="1"/>
  <c r="N265" i="4" s="1"/>
  <c r="O265" i="4" s="1"/>
  <c r="R264" i="3"/>
  <c r="P264" i="3"/>
  <c r="E265" i="3" s="1"/>
  <c r="F265" i="3" s="1"/>
  <c r="G265" i="3" s="1"/>
  <c r="H265" i="3" s="1"/>
  <c r="N265" i="3" s="1"/>
  <c r="O265" i="3" s="1"/>
  <c r="R264" i="2"/>
  <c r="P264" i="2"/>
  <c r="E265" i="2" s="1"/>
  <c r="F265" i="2" s="1"/>
  <c r="G265" i="2" s="1"/>
  <c r="H265" i="2" s="1"/>
  <c r="N265" i="2" s="1"/>
  <c r="O265" i="2" s="1"/>
  <c r="R265" i="6" l="1"/>
  <c r="P265" i="6"/>
  <c r="E266" i="6" s="1"/>
  <c r="F266" i="6" s="1"/>
  <c r="G266" i="6" s="1"/>
  <c r="H266" i="6" s="1"/>
  <c r="N266" i="6" s="1"/>
  <c r="O266" i="6" s="1"/>
  <c r="R265" i="5"/>
  <c r="P265" i="5"/>
  <c r="E266" i="5" s="1"/>
  <c r="F266" i="5" s="1"/>
  <c r="G266" i="5" s="1"/>
  <c r="H266" i="5" s="1"/>
  <c r="N266" i="5" s="1"/>
  <c r="O266" i="5" s="1"/>
  <c r="R265" i="4"/>
  <c r="P265" i="4"/>
  <c r="E266" i="4" s="1"/>
  <c r="F266" i="4" s="1"/>
  <c r="G266" i="4" s="1"/>
  <c r="H266" i="4" s="1"/>
  <c r="N266" i="4" s="1"/>
  <c r="O266" i="4" s="1"/>
  <c r="R265" i="3"/>
  <c r="P265" i="3"/>
  <c r="E266" i="3" s="1"/>
  <c r="F266" i="3" s="1"/>
  <c r="G266" i="3" s="1"/>
  <c r="H266" i="3" s="1"/>
  <c r="N266" i="3" s="1"/>
  <c r="O266" i="3" s="1"/>
  <c r="R265" i="2"/>
  <c r="P265" i="2"/>
  <c r="E266" i="2" s="1"/>
  <c r="F266" i="2" s="1"/>
  <c r="G266" i="2" s="1"/>
  <c r="H266" i="2" s="1"/>
  <c r="N266" i="2" s="1"/>
  <c r="O266" i="2" s="1"/>
  <c r="R266" i="6" l="1"/>
  <c r="P266" i="6"/>
  <c r="E267" i="6" s="1"/>
  <c r="F267" i="6" s="1"/>
  <c r="G267" i="6" s="1"/>
  <c r="H267" i="6" s="1"/>
  <c r="N267" i="6" s="1"/>
  <c r="O267" i="6" s="1"/>
  <c r="R266" i="5"/>
  <c r="P266" i="5"/>
  <c r="E267" i="5" s="1"/>
  <c r="F267" i="5" s="1"/>
  <c r="G267" i="5" s="1"/>
  <c r="H267" i="5" s="1"/>
  <c r="N267" i="5" s="1"/>
  <c r="O267" i="5" s="1"/>
  <c r="R266" i="4"/>
  <c r="P266" i="4"/>
  <c r="E267" i="4" s="1"/>
  <c r="F267" i="4" s="1"/>
  <c r="G267" i="4" s="1"/>
  <c r="H267" i="4" s="1"/>
  <c r="N267" i="4" s="1"/>
  <c r="O267" i="4" s="1"/>
  <c r="R266" i="3"/>
  <c r="P266" i="3"/>
  <c r="E267" i="3" s="1"/>
  <c r="F267" i="3" s="1"/>
  <c r="G267" i="3" s="1"/>
  <c r="H267" i="3" s="1"/>
  <c r="N267" i="3" s="1"/>
  <c r="O267" i="3" s="1"/>
  <c r="R266" i="2"/>
  <c r="P266" i="2"/>
  <c r="E267" i="2" s="1"/>
  <c r="F267" i="2" s="1"/>
  <c r="G267" i="2" s="1"/>
  <c r="H267" i="2" s="1"/>
  <c r="N267" i="2" s="1"/>
  <c r="O267" i="2" s="1"/>
  <c r="R267" i="6" l="1"/>
  <c r="P267" i="6"/>
  <c r="E268" i="6" s="1"/>
  <c r="F268" i="6" s="1"/>
  <c r="G268" i="6" s="1"/>
  <c r="H268" i="6" s="1"/>
  <c r="N268" i="6" s="1"/>
  <c r="O268" i="6" s="1"/>
  <c r="R267" i="5"/>
  <c r="P267" i="5"/>
  <c r="E268" i="5" s="1"/>
  <c r="F268" i="5" s="1"/>
  <c r="G268" i="5" s="1"/>
  <c r="H268" i="5" s="1"/>
  <c r="N268" i="5" s="1"/>
  <c r="O268" i="5" s="1"/>
  <c r="R267" i="4"/>
  <c r="P267" i="4"/>
  <c r="E268" i="4" s="1"/>
  <c r="F268" i="4" s="1"/>
  <c r="G268" i="4" s="1"/>
  <c r="H268" i="4" s="1"/>
  <c r="N268" i="4" s="1"/>
  <c r="O268" i="4" s="1"/>
  <c r="R267" i="3"/>
  <c r="P267" i="3"/>
  <c r="E268" i="3" s="1"/>
  <c r="F268" i="3" s="1"/>
  <c r="G268" i="3" s="1"/>
  <c r="H268" i="3" s="1"/>
  <c r="N268" i="3" s="1"/>
  <c r="O268" i="3" s="1"/>
  <c r="R267" i="2"/>
  <c r="P267" i="2"/>
  <c r="E268" i="2" s="1"/>
  <c r="F268" i="2" s="1"/>
  <c r="G268" i="2" s="1"/>
  <c r="H268" i="2" s="1"/>
  <c r="N268" i="2" s="1"/>
  <c r="O268" i="2" s="1"/>
  <c r="R268" i="6" l="1"/>
  <c r="P268" i="6"/>
  <c r="E269" i="6" s="1"/>
  <c r="F269" i="6" s="1"/>
  <c r="G269" i="6" s="1"/>
  <c r="H269" i="6" s="1"/>
  <c r="N269" i="6" s="1"/>
  <c r="O269" i="6" s="1"/>
  <c r="R268" i="5"/>
  <c r="P268" i="5"/>
  <c r="E269" i="5" s="1"/>
  <c r="F269" i="5" s="1"/>
  <c r="G269" i="5" s="1"/>
  <c r="H269" i="5" s="1"/>
  <c r="N269" i="5" s="1"/>
  <c r="O269" i="5" s="1"/>
  <c r="R268" i="4"/>
  <c r="P268" i="4"/>
  <c r="E269" i="4" s="1"/>
  <c r="F269" i="4" s="1"/>
  <c r="G269" i="4" s="1"/>
  <c r="H269" i="4" s="1"/>
  <c r="N269" i="4" s="1"/>
  <c r="O269" i="4" s="1"/>
  <c r="R268" i="3"/>
  <c r="P268" i="3"/>
  <c r="E269" i="3" s="1"/>
  <c r="F269" i="3" s="1"/>
  <c r="G269" i="3" s="1"/>
  <c r="H269" i="3" s="1"/>
  <c r="N269" i="3" s="1"/>
  <c r="O269" i="3" s="1"/>
  <c r="R268" i="2"/>
  <c r="P268" i="2"/>
  <c r="E269" i="2" s="1"/>
  <c r="F269" i="2" s="1"/>
  <c r="G269" i="2" s="1"/>
  <c r="H269" i="2" s="1"/>
  <c r="N269" i="2" s="1"/>
  <c r="O269" i="2" s="1"/>
  <c r="R269" i="6" l="1"/>
  <c r="P269" i="6"/>
  <c r="E270" i="6" s="1"/>
  <c r="F270" i="6" s="1"/>
  <c r="G270" i="6" s="1"/>
  <c r="H270" i="6" s="1"/>
  <c r="N270" i="6" s="1"/>
  <c r="O270" i="6" s="1"/>
  <c r="R269" i="5"/>
  <c r="P269" i="5"/>
  <c r="E270" i="5" s="1"/>
  <c r="F270" i="5" s="1"/>
  <c r="G270" i="5" s="1"/>
  <c r="H270" i="5" s="1"/>
  <c r="N270" i="5" s="1"/>
  <c r="O270" i="5" s="1"/>
  <c r="R269" i="4"/>
  <c r="P269" i="4"/>
  <c r="E270" i="4" s="1"/>
  <c r="F270" i="4" s="1"/>
  <c r="G270" i="4" s="1"/>
  <c r="H270" i="4" s="1"/>
  <c r="N270" i="4" s="1"/>
  <c r="O270" i="4" s="1"/>
  <c r="R269" i="3"/>
  <c r="P269" i="3"/>
  <c r="E270" i="3" s="1"/>
  <c r="F270" i="3" s="1"/>
  <c r="G270" i="3" s="1"/>
  <c r="H270" i="3" s="1"/>
  <c r="N270" i="3" s="1"/>
  <c r="O270" i="3" s="1"/>
  <c r="R269" i="2"/>
  <c r="P269" i="2"/>
  <c r="E270" i="2" s="1"/>
  <c r="F270" i="2" s="1"/>
  <c r="G270" i="2" s="1"/>
  <c r="H270" i="2" s="1"/>
  <c r="N270" i="2" s="1"/>
  <c r="O270" i="2" s="1"/>
  <c r="R270" i="6" l="1"/>
  <c r="P270" i="6"/>
  <c r="E271" i="6" s="1"/>
  <c r="F271" i="6" s="1"/>
  <c r="G271" i="6" s="1"/>
  <c r="H271" i="6" s="1"/>
  <c r="N271" i="6" s="1"/>
  <c r="O271" i="6" s="1"/>
  <c r="R270" i="5"/>
  <c r="P270" i="5"/>
  <c r="E271" i="5" s="1"/>
  <c r="F271" i="5" s="1"/>
  <c r="G271" i="5" s="1"/>
  <c r="H271" i="5" s="1"/>
  <c r="N271" i="5" s="1"/>
  <c r="O271" i="5" s="1"/>
  <c r="R270" i="4"/>
  <c r="P270" i="4"/>
  <c r="E271" i="4" s="1"/>
  <c r="F271" i="4" s="1"/>
  <c r="G271" i="4" s="1"/>
  <c r="H271" i="4" s="1"/>
  <c r="N271" i="4" s="1"/>
  <c r="O271" i="4" s="1"/>
  <c r="R270" i="3"/>
  <c r="P270" i="3"/>
  <c r="E271" i="3" s="1"/>
  <c r="F271" i="3" s="1"/>
  <c r="G271" i="3" s="1"/>
  <c r="H271" i="3" s="1"/>
  <c r="N271" i="3" s="1"/>
  <c r="O271" i="3" s="1"/>
  <c r="R270" i="2"/>
  <c r="P270" i="2"/>
  <c r="E271" i="2" s="1"/>
  <c r="F271" i="2" s="1"/>
  <c r="G271" i="2" s="1"/>
  <c r="H271" i="2" s="1"/>
  <c r="N271" i="2" s="1"/>
  <c r="O271" i="2" s="1"/>
  <c r="R271" i="6" l="1"/>
  <c r="P271" i="6"/>
  <c r="E272" i="6" s="1"/>
  <c r="F272" i="6" s="1"/>
  <c r="G272" i="6" s="1"/>
  <c r="H272" i="6" s="1"/>
  <c r="N272" i="6" s="1"/>
  <c r="O272" i="6" s="1"/>
  <c r="R271" i="5"/>
  <c r="P271" i="5"/>
  <c r="E272" i="5" s="1"/>
  <c r="F272" i="5" s="1"/>
  <c r="G272" i="5" s="1"/>
  <c r="H272" i="5" s="1"/>
  <c r="N272" i="5" s="1"/>
  <c r="O272" i="5" s="1"/>
  <c r="R271" i="4"/>
  <c r="P271" i="4"/>
  <c r="E272" i="4" s="1"/>
  <c r="F272" i="4" s="1"/>
  <c r="G272" i="4" s="1"/>
  <c r="H272" i="4" s="1"/>
  <c r="N272" i="4" s="1"/>
  <c r="O272" i="4" s="1"/>
  <c r="R271" i="3"/>
  <c r="P271" i="3"/>
  <c r="E272" i="3" s="1"/>
  <c r="F272" i="3" s="1"/>
  <c r="G272" i="3" s="1"/>
  <c r="H272" i="3" s="1"/>
  <c r="N272" i="3" s="1"/>
  <c r="O272" i="3" s="1"/>
  <c r="R271" i="2"/>
  <c r="P271" i="2"/>
  <c r="E272" i="2" s="1"/>
  <c r="F272" i="2" s="1"/>
  <c r="G272" i="2" s="1"/>
  <c r="H272" i="2" s="1"/>
  <c r="N272" i="2" s="1"/>
  <c r="O272" i="2" s="1"/>
  <c r="R272" i="6" l="1"/>
  <c r="P272" i="6"/>
  <c r="E273" i="6" s="1"/>
  <c r="F273" i="6" s="1"/>
  <c r="G273" i="6" s="1"/>
  <c r="H273" i="6" s="1"/>
  <c r="N273" i="6" s="1"/>
  <c r="O273" i="6" s="1"/>
  <c r="R272" i="5"/>
  <c r="P272" i="5"/>
  <c r="E273" i="5" s="1"/>
  <c r="F273" i="5" s="1"/>
  <c r="G273" i="5" s="1"/>
  <c r="H273" i="5" s="1"/>
  <c r="N273" i="5" s="1"/>
  <c r="O273" i="5" s="1"/>
  <c r="R272" i="4"/>
  <c r="P272" i="4"/>
  <c r="E273" i="4" s="1"/>
  <c r="F273" i="4" s="1"/>
  <c r="G273" i="4" s="1"/>
  <c r="H273" i="4" s="1"/>
  <c r="N273" i="4" s="1"/>
  <c r="O273" i="4" s="1"/>
  <c r="R272" i="3"/>
  <c r="P272" i="3"/>
  <c r="E273" i="3" s="1"/>
  <c r="F273" i="3" s="1"/>
  <c r="G273" i="3" s="1"/>
  <c r="H273" i="3" s="1"/>
  <c r="N273" i="3" s="1"/>
  <c r="O273" i="3" s="1"/>
  <c r="R272" i="2"/>
  <c r="P272" i="2"/>
  <c r="E273" i="2" s="1"/>
  <c r="F273" i="2" s="1"/>
  <c r="G273" i="2" s="1"/>
  <c r="H273" i="2" s="1"/>
  <c r="N273" i="2" s="1"/>
  <c r="O273" i="2" s="1"/>
  <c r="R273" i="6" l="1"/>
  <c r="P273" i="6"/>
  <c r="E274" i="6" s="1"/>
  <c r="F274" i="6" s="1"/>
  <c r="G274" i="6" s="1"/>
  <c r="H274" i="6" s="1"/>
  <c r="N274" i="6" s="1"/>
  <c r="O274" i="6" s="1"/>
  <c r="R273" i="5"/>
  <c r="P273" i="5"/>
  <c r="E274" i="5" s="1"/>
  <c r="F274" i="5" s="1"/>
  <c r="G274" i="5" s="1"/>
  <c r="H274" i="5" s="1"/>
  <c r="N274" i="5" s="1"/>
  <c r="O274" i="5" s="1"/>
  <c r="R273" i="4"/>
  <c r="P273" i="4"/>
  <c r="E274" i="4" s="1"/>
  <c r="F274" i="4" s="1"/>
  <c r="G274" i="4" s="1"/>
  <c r="H274" i="4" s="1"/>
  <c r="N274" i="4" s="1"/>
  <c r="O274" i="4" s="1"/>
  <c r="R273" i="3"/>
  <c r="P273" i="3"/>
  <c r="E274" i="3" s="1"/>
  <c r="F274" i="3" s="1"/>
  <c r="G274" i="3" s="1"/>
  <c r="H274" i="3" s="1"/>
  <c r="N274" i="3" s="1"/>
  <c r="O274" i="3" s="1"/>
  <c r="R273" i="2"/>
  <c r="P273" i="2"/>
  <c r="E274" i="2" s="1"/>
  <c r="F274" i="2" s="1"/>
  <c r="G274" i="2" s="1"/>
  <c r="H274" i="2" s="1"/>
  <c r="N274" i="2" s="1"/>
  <c r="O274" i="2" s="1"/>
  <c r="R274" i="6" l="1"/>
  <c r="P274" i="6"/>
  <c r="E275" i="6" s="1"/>
  <c r="F275" i="6" s="1"/>
  <c r="G275" i="6" s="1"/>
  <c r="H275" i="6" s="1"/>
  <c r="N275" i="6" s="1"/>
  <c r="O275" i="6" s="1"/>
  <c r="R274" i="5"/>
  <c r="P274" i="5"/>
  <c r="E275" i="5" s="1"/>
  <c r="F275" i="5" s="1"/>
  <c r="G275" i="5" s="1"/>
  <c r="H275" i="5" s="1"/>
  <c r="N275" i="5" s="1"/>
  <c r="O275" i="5" s="1"/>
  <c r="R274" i="4"/>
  <c r="P274" i="4"/>
  <c r="E275" i="4" s="1"/>
  <c r="F275" i="4" s="1"/>
  <c r="G275" i="4" s="1"/>
  <c r="H275" i="4" s="1"/>
  <c r="N275" i="4" s="1"/>
  <c r="O275" i="4" s="1"/>
  <c r="R274" i="3"/>
  <c r="P274" i="3"/>
  <c r="E275" i="3" s="1"/>
  <c r="F275" i="3" s="1"/>
  <c r="G275" i="3" s="1"/>
  <c r="H275" i="3" s="1"/>
  <c r="N275" i="3" s="1"/>
  <c r="O275" i="3" s="1"/>
  <c r="R274" i="2"/>
  <c r="P274" i="2"/>
  <c r="E275" i="2" s="1"/>
  <c r="F275" i="2" s="1"/>
  <c r="G275" i="2" s="1"/>
  <c r="H275" i="2" s="1"/>
  <c r="N275" i="2" s="1"/>
  <c r="O275" i="2" s="1"/>
  <c r="R275" i="6" l="1"/>
  <c r="P275" i="6"/>
  <c r="E276" i="6" s="1"/>
  <c r="F276" i="6" s="1"/>
  <c r="G276" i="6" s="1"/>
  <c r="H276" i="6" s="1"/>
  <c r="N276" i="6" s="1"/>
  <c r="O276" i="6" s="1"/>
  <c r="R275" i="5"/>
  <c r="P275" i="5"/>
  <c r="E276" i="5" s="1"/>
  <c r="F276" i="5" s="1"/>
  <c r="G276" i="5" s="1"/>
  <c r="H276" i="5" s="1"/>
  <c r="N276" i="5" s="1"/>
  <c r="O276" i="5" s="1"/>
  <c r="R275" i="4"/>
  <c r="P275" i="4"/>
  <c r="E276" i="4" s="1"/>
  <c r="F276" i="4" s="1"/>
  <c r="G276" i="4" s="1"/>
  <c r="H276" i="4" s="1"/>
  <c r="N276" i="4" s="1"/>
  <c r="O276" i="4" s="1"/>
  <c r="R275" i="3"/>
  <c r="P275" i="3"/>
  <c r="E276" i="3" s="1"/>
  <c r="F276" i="3" s="1"/>
  <c r="G276" i="3" s="1"/>
  <c r="H276" i="3" s="1"/>
  <c r="N276" i="3" s="1"/>
  <c r="O276" i="3" s="1"/>
  <c r="R275" i="2"/>
  <c r="P275" i="2"/>
  <c r="E276" i="2" s="1"/>
  <c r="F276" i="2" s="1"/>
  <c r="G276" i="2" s="1"/>
  <c r="H276" i="2" s="1"/>
  <c r="N276" i="2" s="1"/>
  <c r="O276" i="2" s="1"/>
  <c r="R276" i="6" l="1"/>
  <c r="P276" i="6"/>
  <c r="E277" i="6" s="1"/>
  <c r="F277" i="6" s="1"/>
  <c r="G277" i="6" s="1"/>
  <c r="H277" i="6" s="1"/>
  <c r="N277" i="6" s="1"/>
  <c r="O277" i="6" s="1"/>
  <c r="R276" i="5"/>
  <c r="P276" i="5"/>
  <c r="E277" i="5" s="1"/>
  <c r="F277" i="5" s="1"/>
  <c r="G277" i="5" s="1"/>
  <c r="H277" i="5" s="1"/>
  <c r="N277" i="5" s="1"/>
  <c r="O277" i="5" s="1"/>
  <c r="R276" i="4"/>
  <c r="P276" i="4"/>
  <c r="E277" i="4" s="1"/>
  <c r="F277" i="4" s="1"/>
  <c r="G277" i="4" s="1"/>
  <c r="H277" i="4" s="1"/>
  <c r="N277" i="4" s="1"/>
  <c r="O277" i="4" s="1"/>
  <c r="R276" i="3"/>
  <c r="P276" i="3"/>
  <c r="E277" i="3" s="1"/>
  <c r="F277" i="3" s="1"/>
  <c r="G277" i="3" s="1"/>
  <c r="H277" i="3" s="1"/>
  <c r="N277" i="3" s="1"/>
  <c r="O277" i="3" s="1"/>
  <c r="R276" i="2"/>
  <c r="P276" i="2"/>
  <c r="E277" i="2" s="1"/>
  <c r="F277" i="2" s="1"/>
  <c r="G277" i="2" s="1"/>
  <c r="H277" i="2" s="1"/>
  <c r="N277" i="2" s="1"/>
  <c r="O277" i="2" s="1"/>
  <c r="R277" i="6" l="1"/>
  <c r="P277" i="6"/>
  <c r="E278" i="6" s="1"/>
  <c r="F278" i="6" s="1"/>
  <c r="G278" i="6" s="1"/>
  <c r="H278" i="6" s="1"/>
  <c r="N278" i="6" s="1"/>
  <c r="O278" i="6" s="1"/>
  <c r="R277" i="5"/>
  <c r="P277" i="5"/>
  <c r="E278" i="5" s="1"/>
  <c r="F278" i="5" s="1"/>
  <c r="G278" i="5" s="1"/>
  <c r="H278" i="5" s="1"/>
  <c r="N278" i="5" s="1"/>
  <c r="O278" i="5" s="1"/>
  <c r="R277" i="4"/>
  <c r="P277" i="4"/>
  <c r="E278" i="4" s="1"/>
  <c r="F278" i="4" s="1"/>
  <c r="G278" i="4" s="1"/>
  <c r="H278" i="4" s="1"/>
  <c r="N278" i="4" s="1"/>
  <c r="O278" i="4" s="1"/>
  <c r="R277" i="3"/>
  <c r="P277" i="3"/>
  <c r="E278" i="3" s="1"/>
  <c r="F278" i="3" s="1"/>
  <c r="G278" i="3" s="1"/>
  <c r="H278" i="3" s="1"/>
  <c r="N278" i="3" s="1"/>
  <c r="O278" i="3" s="1"/>
  <c r="R277" i="2"/>
  <c r="P277" i="2"/>
  <c r="E278" i="2" s="1"/>
  <c r="F278" i="2" s="1"/>
  <c r="G278" i="2" s="1"/>
  <c r="H278" i="2" s="1"/>
  <c r="N278" i="2" s="1"/>
  <c r="O278" i="2" s="1"/>
  <c r="R278" i="6" l="1"/>
  <c r="P278" i="6"/>
  <c r="E279" i="6" s="1"/>
  <c r="F279" i="6" s="1"/>
  <c r="G279" i="6" s="1"/>
  <c r="H279" i="6" s="1"/>
  <c r="N279" i="6" s="1"/>
  <c r="O279" i="6" s="1"/>
  <c r="R278" i="5"/>
  <c r="P278" i="5"/>
  <c r="E279" i="5" s="1"/>
  <c r="F279" i="5" s="1"/>
  <c r="G279" i="5" s="1"/>
  <c r="H279" i="5" s="1"/>
  <c r="N279" i="5" s="1"/>
  <c r="O279" i="5" s="1"/>
  <c r="R278" i="4"/>
  <c r="P278" i="4"/>
  <c r="E279" i="4" s="1"/>
  <c r="F279" i="4" s="1"/>
  <c r="G279" i="4" s="1"/>
  <c r="H279" i="4" s="1"/>
  <c r="N279" i="4" s="1"/>
  <c r="O279" i="4" s="1"/>
  <c r="R278" i="3"/>
  <c r="P278" i="3"/>
  <c r="E279" i="3" s="1"/>
  <c r="F279" i="3" s="1"/>
  <c r="G279" i="3" s="1"/>
  <c r="H279" i="3" s="1"/>
  <c r="N279" i="3" s="1"/>
  <c r="O279" i="3" s="1"/>
  <c r="R278" i="2"/>
  <c r="P278" i="2"/>
  <c r="E279" i="2" s="1"/>
  <c r="F279" i="2" s="1"/>
  <c r="G279" i="2" s="1"/>
  <c r="H279" i="2" s="1"/>
  <c r="N279" i="2" s="1"/>
  <c r="O279" i="2" s="1"/>
  <c r="R279" i="6" l="1"/>
  <c r="P279" i="6"/>
  <c r="E280" i="6" s="1"/>
  <c r="F280" i="6" s="1"/>
  <c r="G280" i="6" s="1"/>
  <c r="H280" i="6" s="1"/>
  <c r="N280" i="6" s="1"/>
  <c r="O280" i="6" s="1"/>
  <c r="R279" i="5"/>
  <c r="P279" i="5"/>
  <c r="E280" i="5" s="1"/>
  <c r="F280" i="5" s="1"/>
  <c r="G280" i="5" s="1"/>
  <c r="H280" i="5" s="1"/>
  <c r="N280" i="5" s="1"/>
  <c r="O280" i="5" s="1"/>
  <c r="R279" i="4"/>
  <c r="P279" i="4"/>
  <c r="E280" i="4" s="1"/>
  <c r="F280" i="4" s="1"/>
  <c r="G280" i="4" s="1"/>
  <c r="H280" i="4" s="1"/>
  <c r="N280" i="4" s="1"/>
  <c r="O280" i="4" s="1"/>
  <c r="R279" i="3"/>
  <c r="P279" i="3"/>
  <c r="E280" i="3" s="1"/>
  <c r="F280" i="3" s="1"/>
  <c r="G280" i="3" s="1"/>
  <c r="H280" i="3" s="1"/>
  <c r="N280" i="3" s="1"/>
  <c r="O280" i="3" s="1"/>
  <c r="R279" i="2"/>
  <c r="P279" i="2"/>
  <c r="E280" i="2" s="1"/>
  <c r="F280" i="2" s="1"/>
  <c r="G280" i="2" s="1"/>
  <c r="H280" i="2" s="1"/>
  <c r="N280" i="2" s="1"/>
  <c r="O280" i="2" s="1"/>
  <c r="R280" i="6" l="1"/>
  <c r="P280" i="6"/>
  <c r="E281" i="6" s="1"/>
  <c r="F281" i="6" s="1"/>
  <c r="G281" i="6" s="1"/>
  <c r="H281" i="6" s="1"/>
  <c r="N281" i="6" s="1"/>
  <c r="O281" i="6" s="1"/>
  <c r="R280" i="5"/>
  <c r="P280" i="5"/>
  <c r="E281" i="5" s="1"/>
  <c r="F281" i="5" s="1"/>
  <c r="G281" i="5" s="1"/>
  <c r="H281" i="5" s="1"/>
  <c r="N281" i="5" s="1"/>
  <c r="O281" i="5" s="1"/>
  <c r="R280" i="4"/>
  <c r="P280" i="4"/>
  <c r="E281" i="4" s="1"/>
  <c r="F281" i="4" s="1"/>
  <c r="G281" i="4" s="1"/>
  <c r="H281" i="4" s="1"/>
  <c r="N281" i="4" s="1"/>
  <c r="O281" i="4" s="1"/>
  <c r="R280" i="3"/>
  <c r="P280" i="3"/>
  <c r="E281" i="3" s="1"/>
  <c r="F281" i="3" s="1"/>
  <c r="G281" i="3" s="1"/>
  <c r="H281" i="3" s="1"/>
  <c r="N281" i="3" s="1"/>
  <c r="O281" i="3" s="1"/>
  <c r="R280" i="2"/>
  <c r="P280" i="2"/>
  <c r="E281" i="2" s="1"/>
  <c r="F281" i="2" s="1"/>
  <c r="G281" i="2" s="1"/>
  <c r="H281" i="2" s="1"/>
  <c r="N281" i="2" s="1"/>
  <c r="O281" i="2" s="1"/>
  <c r="R281" i="6" l="1"/>
  <c r="P281" i="6"/>
  <c r="E282" i="6" s="1"/>
  <c r="F282" i="6" s="1"/>
  <c r="G282" i="6" s="1"/>
  <c r="H282" i="6" s="1"/>
  <c r="N282" i="6" s="1"/>
  <c r="O282" i="6" s="1"/>
  <c r="R281" i="5"/>
  <c r="P281" i="5"/>
  <c r="E282" i="5" s="1"/>
  <c r="F282" i="5" s="1"/>
  <c r="G282" i="5" s="1"/>
  <c r="H282" i="5" s="1"/>
  <c r="N282" i="5" s="1"/>
  <c r="O282" i="5" s="1"/>
  <c r="R281" i="4"/>
  <c r="P281" i="4"/>
  <c r="E282" i="4" s="1"/>
  <c r="F282" i="4" s="1"/>
  <c r="G282" i="4" s="1"/>
  <c r="H282" i="4" s="1"/>
  <c r="N282" i="4" s="1"/>
  <c r="O282" i="4" s="1"/>
  <c r="R281" i="3"/>
  <c r="P281" i="3"/>
  <c r="E282" i="3" s="1"/>
  <c r="F282" i="3" s="1"/>
  <c r="G282" i="3" s="1"/>
  <c r="H282" i="3" s="1"/>
  <c r="N282" i="3" s="1"/>
  <c r="O282" i="3" s="1"/>
  <c r="R281" i="2"/>
  <c r="P281" i="2"/>
  <c r="E282" i="2" s="1"/>
  <c r="F282" i="2" s="1"/>
  <c r="G282" i="2" s="1"/>
  <c r="H282" i="2" s="1"/>
  <c r="N282" i="2" s="1"/>
  <c r="O282" i="2" s="1"/>
  <c r="R282" i="6" l="1"/>
  <c r="P282" i="6"/>
  <c r="E283" i="6" s="1"/>
  <c r="F283" i="6" s="1"/>
  <c r="G283" i="6" s="1"/>
  <c r="H283" i="6" s="1"/>
  <c r="N283" i="6" s="1"/>
  <c r="O283" i="6" s="1"/>
  <c r="R282" i="5"/>
  <c r="P282" i="5"/>
  <c r="E283" i="5" s="1"/>
  <c r="F283" i="5" s="1"/>
  <c r="G283" i="5" s="1"/>
  <c r="H283" i="5" s="1"/>
  <c r="N283" i="5" s="1"/>
  <c r="O283" i="5" s="1"/>
  <c r="R282" i="4"/>
  <c r="P282" i="4"/>
  <c r="E283" i="4" s="1"/>
  <c r="F283" i="4" s="1"/>
  <c r="G283" i="4" s="1"/>
  <c r="H283" i="4" s="1"/>
  <c r="N283" i="4" s="1"/>
  <c r="O283" i="4" s="1"/>
  <c r="R282" i="3"/>
  <c r="P282" i="3"/>
  <c r="E283" i="3" s="1"/>
  <c r="F283" i="3" s="1"/>
  <c r="G283" i="3" s="1"/>
  <c r="H283" i="3" s="1"/>
  <c r="N283" i="3" s="1"/>
  <c r="O283" i="3" s="1"/>
  <c r="R282" i="2"/>
  <c r="P282" i="2"/>
  <c r="E283" i="2" s="1"/>
  <c r="F283" i="2" s="1"/>
  <c r="G283" i="2" s="1"/>
  <c r="H283" i="2" s="1"/>
  <c r="N283" i="2" s="1"/>
  <c r="O283" i="2" s="1"/>
  <c r="R283" i="6" l="1"/>
  <c r="P283" i="6"/>
  <c r="E284" i="6" s="1"/>
  <c r="F284" i="6" s="1"/>
  <c r="G284" i="6" s="1"/>
  <c r="H284" i="6" s="1"/>
  <c r="N284" i="6" s="1"/>
  <c r="O284" i="6" s="1"/>
  <c r="R283" i="5"/>
  <c r="P283" i="5"/>
  <c r="E284" i="5" s="1"/>
  <c r="F284" i="5" s="1"/>
  <c r="G284" i="5" s="1"/>
  <c r="H284" i="5" s="1"/>
  <c r="N284" i="5" s="1"/>
  <c r="O284" i="5" s="1"/>
  <c r="R283" i="4"/>
  <c r="P283" i="4"/>
  <c r="E284" i="4" s="1"/>
  <c r="F284" i="4" s="1"/>
  <c r="G284" i="4" s="1"/>
  <c r="H284" i="4" s="1"/>
  <c r="N284" i="4" s="1"/>
  <c r="O284" i="4" s="1"/>
  <c r="R283" i="3"/>
  <c r="P283" i="3"/>
  <c r="E284" i="3" s="1"/>
  <c r="F284" i="3" s="1"/>
  <c r="G284" i="3" s="1"/>
  <c r="H284" i="3" s="1"/>
  <c r="N284" i="3" s="1"/>
  <c r="O284" i="3" s="1"/>
  <c r="R283" i="2"/>
  <c r="P283" i="2"/>
  <c r="E284" i="2" s="1"/>
  <c r="F284" i="2" s="1"/>
  <c r="G284" i="2" s="1"/>
  <c r="H284" i="2" s="1"/>
  <c r="N284" i="2" s="1"/>
  <c r="O284" i="2" s="1"/>
  <c r="R284" i="6" l="1"/>
  <c r="P284" i="6"/>
  <c r="E285" i="6" s="1"/>
  <c r="F285" i="6" s="1"/>
  <c r="G285" i="6" s="1"/>
  <c r="H285" i="6" s="1"/>
  <c r="N285" i="6" s="1"/>
  <c r="O285" i="6" s="1"/>
  <c r="R284" i="5"/>
  <c r="P284" i="5"/>
  <c r="E285" i="5" s="1"/>
  <c r="F285" i="5" s="1"/>
  <c r="G285" i="5" s="1"/>
  <c r="H285" i="5" s="1"/>
  <c r="N285" i="5" s="1"/>
  <c r="O285" i="5" s="1"/>
  <c r="R284" i="4"/>
  <c r="P284" i="4"/>
  <c r="E285" i="4" s="1"/>
  <c r="F285" i="4" s="1"/>
  <c r="G285" i="4" s="1"/>
  <c r="H285" i="4" s="1"/>
  <c r="N285" i="4" s="1"/>
  <c r="O285" i="4" s="1"/>
  <c r="R284" i="3"/>
  <c r="P284" i="3"/>
  <c r="E285" i="3" s="1"/>
  <c r="F285" i="3" s="1"/>
  <c r="G285" i="3" s="1"/>
  <c r="H285" i="3" s="1"/>
  <c r="N285" i="3" s="1"/>
  <c r="O285" i="3" s="1"/>
  <c r="R284" i="2"/>
  <c r="P284" i="2"/>
  <c r="E285" i="2" s="1"/>
  <c r="F285" i="2" s="1"/>
  <c r="G285" i="2" s="1"/>
  <c r="H285" i="2" s="1"/>
  <c r="N285" i="2" s="1"/>
  <c r="O285" i="2" s="1"/>
  <c r="R285" i="6" l="1"/>
  <c r="P285" i="6"/>
  <c r="E286" i="6" s="1"/>
  <c r="F286" i="6" s="1"/>
  <c r="G286" i="6" s="1"/>
  <c r="H286" i="6" s="1"/>
  <c r="N286" i="6" s="1"/>
  <c r="O286" i="6" s="1"/>
  <c r="R285" i="5"/>
  <c r="P285" i="5"/>
  <c r="E286" i="5" s="1"/>
  <c r="F286" i="5" s="1"/>
  <c r="G286" i="5" s="1"/>
  <c r="H286" i="5" s="1"/>
  <c r="N286" i="5" s="1"/>
  <c r="O286" i="5" s="1"/>
  <c r="R285" i="4"/>
  <c r="P285" i="4"/>
  <c r="E286" i="4" s="1"/>
  <c r="F286" i="4" s="1"/>
  <c r="G286" i="4" s="1"/>
  <c r="H286" i="4" s="1"/>
  <c r="N286" i="4" s="1"/>
  <c r="O286" i="4" s="1"/>
  <c r="R285" i="3"/>
  <c r="P285" i="3"/>
  <c r="E286" i="3" s="1"/>
  <c r="F286" i="3" s="1"/>
  <c r="G286" i="3" s="1"/>
  <c r="H286" i="3" s="1"/>
  <c r="N286" i="3" s="1"/>
  <c r="O286" i="3" s="1"/>
  <c r="R285" i="2"/>
  <c r="P285" i="2"/>
  <c r="E286" i="2" s="1"/>
  <c r="F286" i="2" s="1"/>
  <c r="G286" i="2" s="1"/>
  <c r="H286" i="2" s="1"/>
  <c r="N286" i="2" s="1"/>
  <c r="O286" i="2" s="1"/>
  <c r="R286" i="6" l="1"/>
  <c r="P286" i="6"/>
  <c r="E287" i="6" s="1"/>
  <c r="F287" i="6" s="1"/>
  <c r="G287" i="6" s="1"/>
  <c r="H287" i="6" s="1"/>
  <c r="N287" i="6" s="1"/>
  <c r="O287" i="6" s="1"/>
  <c r="R286" i="5"/>
  <c r="P286" i="5"/>
  <c r="E287" i="5" s="1"/>
  <c r="F287" i="5" s="1"/>
  <c r="G287" i="5" s="1"/>
  <c r="H287" i="5" s="1"/>
  <c r="N287" i="5" s="1"/>
  <c r="O287" i="5" s="1"/>
  <c r="R286" i="4"/>
  <c r="P286" i="4"/>
  <c r="E287" i="4" s="1"/>
  <c r="F287" i="4" s="1"/>
  <c r="G287" i="4" s="1"/>
  <c r="H287" i="4" s="1"/>
  <c r="N287" i="4" s="1"/>
  <c r="O287" i="4" s="1"/>
  <c r="R286" i="3"/>
  <c r="P286" i="3"/>
  <c r="E287" i="3" s="1"/>
  <c r="F287" i="3" s="1"/>
  <c r="G287" i="3" s="1"/>
  <c r="H287" i="3" s="1"/>
  <c r="N287" i="3" s="1"/>
  <c r="O287" i="3" s="1"/>
  <c r="R286" i="2"/>
  <c r="P286" i="2"/>
  <c r="E287" i="2" s="1"/>
  <c r="F287" i="2" s="1"/>
  <c r="G287" i="2" s="1"/>
  <c r="H287" i="2" s="1"/>
  <c r="N287" i="2" s="1"/>
  <c r="O287" i="2" s="1"/>
  <c r="R287" i="6" l="1"/>
  <c r="P287" i="6"/>
  <c r="E288" i="6" s="1"/>
  <c r="F288" i="6" s="1"/>
  <c r="G288" i="6" s="1"/>
  <c r="H288" i="6" s="1"/>
  <c r="N288" i="6" s="1"/>
  <c r="O288" i="6" s="1"/>
  <c r="R287" i="5"/>
  <c r="P287" i="5"/>
  <c r="E288" i="5" s="1"/>
  <c r="F288" i="5" s="1"/>
  <c r="G288" i="5" s="1"/>
  <c r="H288" i="5" s="1"/>
  <c r="N288" i="5" s="1"/>
  <c r="O288" i="5" s="1"/>
  <c r="R287" i="4"/>
  <c r="P287" i="4"/>
  <c r="E288" i="4" s="1"/>
  <c r="F288" i="4" s="1"/>
  <c r="G288" i="4" s="1"/>
  <c r="H288" i="4" s="1"/>
  <c r="N288" i="4" s="1"/>
  <c r="O288" i="4" s="1"/>
  <c r="R287" i="3"/>
  <c r="P287" i="3"/>
  <c r="E288" i="3" s="1"/>
  <c r="F288" i="3" s="1"/>
  <c r="G288" i="3" s="1"/>
  <c r="H288" i="3" s="1"/>
  <c r="N288" i="3" s="1"/>
  <c r="O288" i="3" s="1"/>
  <c r="R287" i="2"/>
  <c r="P287" i="2"/>
  <c r="E288" i="2" s="1"/>
  <c r="F288" i="2" s="1"/>
  <c r="G288" i="2" s="1"/>
  <c r="H288" i="2" s="1"/>
  <c r="N288" i="2" s="1"/>
  <c r="O288" i="2" s="1"/>
  <c r="R288" i="6" l="1"/>
  <c r="P288" i="6"/>
  <c r="E289" i="6" s="1"/>
  <c r="F289" i="6" s="1"/>
  <c r="G289" i="6" s="1"/>
  <c r="H289" i="6" s="1"/>
  <c r="N289" i="6" s="1"/>
  <c r="O289" i="6" s="1"/>
  <c r="R288" i="5"/>
  <c r="P288" i="5"/>
  <c r="E289" i="5" s="1"/>
  <c r="F289" i="5" s="1"/>
  <c r="G289" i="5" s="1"/>
  <c r="H289" i="5" s="1"/>
  <c r="N289" i="5" s="1"/>
  <c r="O289" i="5" s="1"/>
  <c r="R288" i="4"/>
  <c r="P288" i="4"/>
  <c r="E289" i="4" s="1"/>
  <c r="F289" i="4" s="1"/>
  <c r="G289" i="4" s="1"/>
  <c r="H289" i="4" s="1"/>
  <c r="N289" i="4" s="1"/>
  <c r="O289" i="4" s="1"/>
  <c r="R288" i="3"/>
  <c r="P288" i="3"/>
  <c r="E289" i="3" s="1"/>
  <c r="F289" i="3" s="1"/>
  <c r="G289" i="3" s="1"/>
  <c r="H289" i="3" s="1"/>
  <c r="N289" i="3" s="1"/>
  <c r="O289" i="3" s="1"/>
  <c r="R288" i="2"/>
  <c r="P288" i="2"/>
  <c r="E289" i="2" s="1"/>
  <c r="F289" i="2" s="1"/>
  <c r="G289" i="2" s="1"/>
  <c r="H289" i="2" s="1"/>
  <c r="N289" i="2" s="1"/>
  <c r="O289" i="2" s="1"/>
  <c r="R289" i="6" l="1"/>
  <c r="P289" i="6"/>
  <c r="E290" i="6" s="1"/>
  <c r="F290" i="6" s="1"/>
  <c r="G290" i="6" s="1"/>
  <c r="H290" i="6" s="1"/>
  <c r="N290" i="6" s="1"/>
  <c r="O290" i="6" s="1"/>
  <c r="R289" i="5"/>
  <c r="P289" i="5"/>
  <c r="E290" i="5" s="1"/>
  <c r="F290" i="5" s="1"/>
  <c r="G290" i="5" s="1"/>
  <c r="H290" i="5" s="1"/>
  <c r="N290" i="5" s="1"/>
  <c r="O290" i="5" s="1"/>
  <c r="R289" i="4"/>
  <c r="P289" i="4"/>
  <c r="E290" i="4" s="1"/>
  <c r="F290" i="4" s="1"/>
  <c r="G290" i="4" s="1"/>
  <c r="H290" i="4" s="1"/>
  <c r="N290" i="4" s="1"/>
  <c r="O290" i="4" s="1"/>
  <c r="R289" i="3"/>
  <c r="P289" i="3"/>
  <c r="E290" i="3" s="1"/>
  <c r="F290" i="3" s="1"/>
  <c r="G290" i="3" s="1"/>
  <c r="H290" i="3" s="1"/>
  <c r="N290" i="3" s="1"/>
  <c r="O290" i="3" s="1"/>
  <c r="R289" i="2"/>
  <c r="P289" i="2"/>
  <c r="E290" i="2" s="1"/>
  <c r="F290" i="2" s="1"/>
  <c r="G290" i="2" s="1"/>
  <c r="H290" i="2" s="1"/>
  <c r="N290" i="2" s="1"/>
  <c r="O290" i="2" s="1"/>
  <c r="R290" i="6" l="1"/>
  <c r="P290" i="6"/>
  <c r="E291" i="6" s="1"/>
  <c r="F291" i="6" s="1"/>
  <c r="G291" i="6" s="1"/>
  <c r="H291" i="6" s="1"/>
  <c r="N291" i="6" s="1"/>
  <c r="O291" i="6" s="1"/>
  <c r="R290" i="5"/>
  <c r="P290" i="5"/>
  <c r="E291" i="5" s="1"/>
  <c r="F291" i="5" s="1"/>
  <c r="G291" i="5" s="1"/>
  <c r="H291" i="5" s="1"/>
  <c r="N291" i="5" s="1"/>
  <c r="O291" i="5" s="1"/>
  <c r="R290" i="4"/>
  <c r="P290" i="4"/>
  <c r="E291" i="4" s="1"/>
  <c r="F291" i="4" s="1"/>
  <c r="G291" i="4" s="1"/>
  <c r="H291" i="4" s="1"/>
  <c r="N291" i="4" s="1"/>
  <c r="O291" i="4" s="1"/>
  <c r="R290" i="3"/>
  <c r="P290" i="3"/>
  <c r="E291" i="3" s="1"/>
  <c r="F291" i="3" s="1"/>
  <c r="G291" i="3" s="1"/>
  <c r="H291" i="3" s="1"/>
  <c r="N291" i="3" s="1"/>
  <c r="O291" i="3" s="1"/>
  <c r="R290" i="2"/>
  <c r="P290" i="2"/>
  <c r="E291" i="2" s="1"/>
  <c r="F291" i="2" s="1"/>
  <c r="G291" i="2" s="1"/>
  <c r="H291" i="2" s="1"/>
  <c r="N291" i="2" s="1"/>
  <c r="O291" i="2" s="1"/>
  <c r="R291" i="6" l="1"/>
  <c r="P291" i="6"/>
  <c r="E292" i="6" s="1"/>
  <c r="F292" i="6" s="1"/>
  <c r="G292" i="6" s="1"/>
  <c r="H292" i="6" s="1"/>
  <c r="N292" i="6" s="1"/>
  <c r="O292" i="6" s="1"/>
  <c r="R291" i="5"/>
  <c r="P291" i="5"/>
  <c r="E292" i="5" s="1"/>
  <c r="F292" i="5" s="1"/>
  <c r="G292" i="5" s="1"/>
  <c r="H292" i="5" s="1"/>
  <c r="N292" i="5" s="1"/>
  <c r="O292" i="5" s="1"/>
  <c r="R291" i="4"/>
  <c r="P291" i="4"/>
  <c r="E292" i="4" s="1"/>
  <c r="F292" i="4" s="1"/>
  <c r="G292" i="4" s="1"/>
  <c r="H292" i="4" s="1"/>
  <c r="N292" i="4" s="1"/>
  <c r="O292" i="4" s="1"/>
  <c r="R291" i="3"/>
  <c r="P291" i="3"/>
  <c r="E292" i="3" s="1"/>
  <c r="F292" i="3" s="1"/>
  <c r="G292" i="3" s="1"/>
  <c r="H292" i="3" s="1"/>
  <c r="N292" i="3" s="1"/>
  <c r="O292" i="3" s="1"/>
  <c r="R291" i="2"/>
  <c r="P291" i="2"/>
  <c r="E292" i="2" s="1"/>
  <c r="F292" i="2" s="1"/>
  <c r="G292" i="2" s="1"/>
  <c r="H292" i="2" s="1"/>
  <c r="N292" i="2" s="1"/>
  <c r="O292" i="2" s="1"/>
  <c r="R292" i="6" l="1"/>
  <c r="P292" i="6"/>
  <c r="E293" i="6" s="1"/>
  <c r="F293" i="6" s="1"/>
  <c r="G293" i="6" s="1"/>
  <c r="H293" i="6" s="1"/>
  <c r="N293" i="6" s="1"/>
  <c r="O293" i="6" s="1"/>
  <c r="R292" i="5"/>
  <c r="P292" i="5"/>
  <c r="E293" i="5" s="1"/>
  <c r="F293" i="5" s="1"/>
  <c r="G293" i="5" s="1"/>
  <c r="H293" i="5" s="1"/>
  <c r="N293" i="5" s="1"/>
  <c r="O293" i="5" s="1"/>
  <c r="R292" i="4"/>
  <c r="P292" i="4"/>
  <c r="E293" i="4" s="1"/>
  <c r="F293" i="4" s="1"/>
  <c r="G293" i="4" s="1"/>
  <c r="H293" i="4" s="1"/>
  <c r="N293" i="4" s="1"/>
  <c r="O293" i="4" s="1"/>
  <c r="R292" i="3"/>
  <c r="P292" i="3"/>
  <c r="E293" i="3" s="1"/>
  <c r="F293" i="3" s="1"/>
  <c r="G293" i="3" s="1"/>
  <c r="H293" i="3" s="1"/>
  <c r="N293" i="3" s="1"/>
  <c r="O293" i="3" s="1"/>
  <c r="R292" i="2"/>
  <c r="P292" i="2"/>
  <c r="E293" i="2" s="1"/>
  <c r="F293" i="2" s="1"/>
  <c r="G293" i="2" s="1"/>
  <c r="H293" i="2" s="1"/>
  <c r="N293" i="2" s="1"/>
  <c r="O293" i="2" s="1"/>
  <c r="R293" i="6" l="1"/>
  <c r="P293" i="6"/>
  <c r="E294" i="6" s="1"/>
  <c r="F294" i="6" s="1"/>
  <c r="G294" i="6" s="1"/>
  <c r="H294" i="6" s="1"/>
  <c r="N294" i="6" s="1"/>
  <c r="O294" i="6" s="1"/>
  <c r="R293" i="5"/>
  <c r="P293" i="5"/>
  <c r="E294" i="5" s="1"/>
  <c r="F294" i="5" s="1"/>
  <c r="G294" i="5" s="1"/>
  <c r="H294" i="5" s="1"/>
  <c r="N294" i="5" s="1"/>
  <c r="O294" i="5" s="1"/>
  <c r="R293" i="4"/>
  <c r="P293" i="4"/>
  <c r="E294" i="4" s="1"/>
  <c r="F294" i="4" s="1"/>
  <c r="G294" i="4" s="1"/>
  <c r="H294" i="4" s="1"/>
  <c r="N294" i="4" s="1"/>
  <c r="O294" i="4" s="1"/>
  <c r="R293" i="3"/>
  <c r="P293" i="3"/>
  <c r="E294" i="3" s="1"/>
  <c r="F294" i="3" s="1"/>
  <c r="G294" i="3" s="1"/>
  <c r="H294" i="3" s="1"/>
  <c r="N294" i="3" s="1"/>
  <c r="O294" i="3" s="1"/>
  <c r="R293" i="2"/>
  <c r="P293" i="2"/>
  <c r="E294" i="2" s="1"/>
  <c r="F294" i="2" s="1"/>
  <c r="G294" i="2" s="1"/>
  <c r="H294" i="2" s="1"/>
  <c r="N294" i="2" s="1"/>
  <c r="O294" i="2" s="1"/>
  <c r="R294" i="6" l="1"/>
  <c r="P294" i="6"/>
  <c r="R294" i="5"/>
  <c r="P294" i="5"/>
  <c r="R294" i="4"/>
  <c r="P294" i="4"/>
  <c r="R294" i="3"/>
  <c r="P294" i="3"/>
  <c r="R294" i="2"/>
  <c r="P294" i="2"/>
</calcChain>
</file>

<file path=xl/sharedStrings.xml><?xml version="1.0" encoding="utf-8"?>
<sst xmlns="http://schemas.openxmlformats.org/spreadsheetml/2006/main" count="7837" uniqueCount="2382">
  <si>
    <t xml:space="preserve"> </t>
  </si>
  <si>
    <t>Trade Count</t>
  </si>
  <si>
    <t>Princple</t>
  </si>
  <si>
    <t>Total Day Profit</t>
  </si>
  <si>
    <t>DAY 1</t>
  </si>
  <si>
    <t>UP</t>
  </si>
  <si>
    <t>Down</t>
  </si>
  <si>
    <t>DAY 2</t>
  </si>
  <si>
    <t>DAY 3</t>
  </si>
  <si>
    <t>DAY 4</t>
  </si>
  <si>
    <t>DAY 5</t>
  </si>
  <si>
    <t>DAY 6</t>
  </si>
  <si>
    <t>Up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</si>
  <si>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</si>
  <si>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</si>
  <si>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</si>
  <si>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</si>
  <si>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</si>
  <si>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</si>
  <si>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</si>
  <si>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</si>
  <si>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</si>
  <si>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</si>
  <si>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</si>
  <si>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</si>
  <si>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</si>
  <si>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</si>
  <si>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</si>
  <si>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</si>
  <si>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</si>
  <si>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</si>
  <si>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</si>
  <si>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</si>
  <si>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</si>
  <si>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</si>
  <si>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</si>
  <si>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</si>
  <si>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</si>
  <si>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</si>
  <si>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</si>
  <si>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</si>
  <si>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</si>
  <si>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</si>
  <si>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</si>
  <si>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</si>
  <si>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</si>
  <si>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</si>
  <si>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</si>
  <si>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</si>
  <si>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</si>
  <si>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</si>
  <si>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</si>
  <si>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</si>
  <si>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</si>
  <si>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</si>
  <si>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</si>
  <si>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</si>
  <si>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</si>
  <si>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</si>
  <si>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</si>
  <si>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</si>
  <si>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</si>
  <si>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</si>
  <si>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</si>
  <si>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</si>
  <si>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</si>
  <si>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</si>
  <si>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DAY 61</t>
  </si>
  <si>
    <t>DAY 62</t>
  </si>
  <si>
    <t>DAY 63</t>
  </si>
  <si>
    <t>DAY 64</t>
  </si>
  <si>
    <t>DAY 65</t>
  </si>
  <si>
    <t>DAY 66</t>
  </si>
  <si>
    <t>DAY 67</t>
  </si>
  <si>
    <t>DAY 68</t>
  </si>
  <si>
    <t>DAY 69</t>
  </si>
  <si>
    <t>DAY 70</t>
  </si>
  <si>
    <t>DAY 71</t>
  </si>
  <si>
    <t>DAY 72</t>
  </si>
  <si>
    <t>DAY 73</t>
  </si>
  <si>
    <t>DAY 74</t>
  </si>
  <si>
    <t>DAY 75</t>
  </si>
  <si>
    <t>DAY 76</t>
  </si>
  <si>
    <t>DAY 77</t>
  </si>
  <si>
    <t>DAY 78</t>
  </si>
  <si>
    <t>DAY 79</t>
  </si>
  <si>
    <t>DAY 80</t>
  </si>
  <si>
    <t>DAY 81</t>
  </si>
  <si>
    <t>DAY 82</t>
  </si>
  <si>
    <t>DAY 83</t>
  </si>
  <si>
    <t>DAY 84</t>
  </si>
  <si>
    <t>DAY 85</t>
  </si>
  <si>
    <t>DAY 86</t>
  </si>
  <si>
    <t>DAY 87</t>
  </si>
  <si>
    <t>DAY 88</t>
  </si>
  <si>
    <t>DAY 89</t>
  </si>
  <si>
    <t>DAY 90</t>
  </si>
  <si>
    <t>DAY 91</t>
  </si>
  <si>
    <t>DAY 92</t>
  </si>
  <si>
    <t>DAY 93</t>
  </si>
  <si>
    <t>DAY 94</t>
  </si>
  <si>
    <t>DAY 95</t>
  </si>
  <si>
    <t>DAY 96</t>
  </si>
  <si>
    <t>DAY 97</t>
  </si>
  <si>
    <t>DAY 98</t>
  </si>
  <si>
    <t>DAY 99</t>
  </si>
  <si>
    <t>DAY 100</t>
  </si>
  <si>
    <t>DAY 101</t>
  </si>
  <si>
    <t>DAY 102</t>
  </si>
  <si>
    <t>DAY 103</t>
  </si>
  <si>
    <t>DAY 104</t>
  </si>
  <si>
    <t>DAY 105</t>
  </si>
  <si>
    <t>DAY 106</t>
  </si>
  <si>
    <t>DAY 107</t>
  </si>
  <si>
    <t>DAY 108</t>
  </si>
  <si>
    <t>DAY 109</t>
  </si>
  <si>
    <t>DAY 110</t>
  </si>
  <si>
    <t>DAY 111</t>
  </si>
  <si>
    <t>DAY 112</t>
  </si>
  <si>
    <t>DAY 113</t>
  </si>
  <si>
    <t>DAY 114</t>
  </si>
  <si>
    <t>DAY 115</t>
  </si>
  <si>
    <t>DAY 116</t>
  </si>
  <si>
    <t>DAY 117</t>
  </si>
  <si>
    <t>DAY 118</t>
  </si>
  <si>
    <t>DAY 119</t>
  </si>
  <si>
    <t>DAY 120</t>
  </si>
  <si>
    <t>DAY 121</t>
  </si>
  <si>
    <t>DAY 122</t>
  </si>
  <si>
    <t>DAY 123</t>
  </si>
  <si>
    <t>DAY 124</t>
  </si>
  <si>
    <t>DAY 125</t>
  </si>
  <si>
    <t>DAY 126</t>
  </si>
  <si>
    <t>DAY 127</t>
  </si>
  <si>
    <t>DAY 128</t>
  </si>
  <si>
    <t>DAY 129</t>
  </si>
  <si>
    <t>DAY 130</t>
  </si>
  <si>
    <t>DAY 131</t>
  </si>
  <si>
    <t>DAY 132</t>
  </si>
  <si>
    <t>DAY 133</t>
  </si>
  <si>
    <t>DAY 134</t>
  </si>
  <si>
    <t>DAY 135</t>
  </si>
  <si>
    <t>DAY 136</t>
  </si>
  <si>
    <t>DAY 137</t>
  </si>
  <si>
    <t>DAY 138</t>
  </si>
  <si>
    <t>DAY 139</t>
  </si>
  <si>
    <t>DAY 140</t>
  </si>
  <si>
    <t>DAY 141</t>
  </si>
  <si>
    <t>DAY 142</t>
  </si>
  <si>
    <t>DAY 143</t>
  </si>
  <si>
    <t>DAY 144</t>
  </si>
  <si>
    <t>DAY 145</t>
  </si>
  <si>
    <t>DAY 146</t>
  </si>
  <si>
    <t>DAY 147</t>
  </si>
  <si>
    <t>DAY 148</t>
  </si>
  <si>
    <t>DAY 149</t>
  </si>
  <si>
    <t>DAY 150</t>
  </si>
  <si>
    <t>DAY 151</t>
  </si>
  <si>
    <t>DAY 152</t>
  </si>
  <si>
    <t>DAY 153</t>
  </si>
  <si>
    <t>DAY 154</t>
  </si>
  <si>
    <t>DAY 155</t>
  </si>
  <si>
    <t>DAY 156</t>
  </si>
  <si>
    <t>DAY 157</t>
  </si>
  <si>
    <t>DAY 158</t>
  </si>
  <si>
    <t>DAY 159</t>
  </si>
  <si>
    <t>DAY 160</t>
  </si>
  <si>
    <t>DAY 161</t>
  </si>
  <si>
    <t>DAY 162</t>
  </si>
  <si>
    <t>DAY 163</t>
  </si>
  <si>
    <t>DAY 164</t>
  </si>
  <si>
    <t>DAY 165</t>
  </si>
  <si>
    <t>DAY 166</t>
  </si>
  <si>
    <t>DAY 167</t>
  </si>
  <si>
    <t>DAY 168</t>
  </si>
  <si>
    <t>DAY 169</t>
  </si>
  <si>
    <t>DAY 170</t>
  </si>
  <si>
    <t>DAY 171</t>
  </si>
  <si>
    <t>DAY 172</t>
  </si>
  <si>
    <t>DAY 173</t>
  </si>
  <si>
    <t>DAY 174</t>
  </si>
  <si>
    <t>DAY 175</t>
  </si>
  <si>
    <t>DAY 176</t>
  </si>
  <si>
    <t>DAY 177</t>
  </si>
  <si>
    <t>DAY 178</t>
  </si>
  <si>
    <t>DAY 179</t>
  </si>
  <si>
    <t>DAY 180</t>
  </si>
  <si>
    <t>DAY 181</t>
  </si>
  <si>
    <t>DAY 182</t>
  </si>
  <si>
    <t>DAY 183</t>
  </si>
  <si>
    <t>DAY 184</t>
  </si>
  <si>
    <t>DAY 185</t>
  </si>
  <si>
    <t>DAY 186</t>
  </si>
  <si>
    <t>DAY 187</t>
  </si>
  <si>
    <t>DAY 188</t>
  </si>
  <si>
    <t>DAY 189</t>
  </si>
  <si>
    <t>DAY 190</t>
  </si>
  <si>
    <t>DAY 191</t>
  </si>
  <si>
    <t>DAY 192</t>
  </si>
  <si>
    <t>DAY 193</t>
  </si>
  <si>
    <t>DAY 194</t>
  </si>
  <si>
    <t>DAY 195</t>
  </si>
  <si>
    <t>DAY 196</t>
  </si>
  <si>
    <t>DAY 197</t>
  </si>
  <si>
    <t>DAY 198</t>
  </si>
  <si>
    <t>DAY 199</t>
  </si>
  <si>
    <t>DAY 200</t>
  </si>
  <si>
    <t>DAY 201</t>
  </si>
  <si>
    <t>DAY 202</t>
  </si>
  <si>
    <t>DAY 203</t>
  </si>
  <si>
    <t>DAY 204</t>
  </si>
  <si>
    <t>DAY 205</t>
  </si>
  <si>
    <t>DAY 206</t>
  </si>
  <si>
    <t>DAY 207</t>
  </si>
  <si>
    <t>DAY 208</t>
  </si>
  <si>
    <t>DAY 209</t>
  </si>
  <si>
    <t>DAY 210</t>
  </si>
  <si>
    <t>DAY 211</t>
  </si>
  <si>
    <t>DAY 212</t>
  </si>
  <si>
    <t>DAY 213</t>
  </si>
  <si>
    <t>DAY 214</t>
  </si>
  <si>
    <t>DAY 215</t>
  </si>
  <si>
    <t>DAY 216</t>
  </si>
  <si>
    <t>DAY 217</t>
  </si>
  <si>
    <t>DAY 218</t>
  </si>
  <si>
    <t>DAY 219</t>
  </si>
  <si>
    <t>DAY 220</t>
  </si>
  <si>
    <t>DAY 221</t>
  </si>
  <si>
    <t>DAY 222</t>
  </si>
  <si>
    <t>DAY 223</t>
  </si>
  <si>
    <t>DAY 224</t>
  </si>
  <si>
    <t>DAY 225</t>
  </si>
  <si>
    <t>DAY 226</t>
  </si>
  <si>
    <t>DAY 227</t>
  </si>
  <si>
    <t>DAY 228</t>
  </si>
  <si>
    <t>DAY 229</t>
  </si>
  <si>
    <t>DAY 230</t>
  </si>
  <si>
    <t>DAY 231</t>
  </si>
  <si>
    <t>DAY 232</t>
  </si>
  <si>
    <t>DAY 233</t>
  </si>
  <si>
    <t>DAY 234</t>
  </si>
  <si>
    <t>DAY 235</t>
  </si>
  <si>
    <t>DAY 236</t>
  </si>
  <si>
    <t>DAY 237</t>
  </si>
  <si>
    <t>DAY 238</t>
  </si>
  <si>
    <t>DAY 239</t>
  </si>
  <si>
    <t>DAY 240</t>
  </si>
  <si>
    <t>DAY 241</t>
  </si>
  <si>
    <t>DAY 242</t>
  </si>
  <si>
    <t>DAY 243</t>
  </si>
  <si>
    <t>DAY 244</t>
  </si>
  <si>
    <t>DAY 245</t>
  </si>
  <si>
    <t>DAY 246</t>
  </si>
  <si>
    <t>DAY 247</t>
  </si>
  <si>
    <t>DAY 248</t>
  </si>
  <si>
    <t>DAY 249</t>
  </si>
  <si>
    <t>DAY 250</t>
  </si>
  <si>
    <t>DAY 251</t>
  </si>
  <si>
    <t>DAY 252</t>
  </si>
  <si>
    <t>DAY 253</t>
  </si>
  <si>
    <t>DAY 254</t>
  </si>
  <si>
    <t>DAY 255</t>
  </si>
  <si>
    <t>DAY 256</t>
  </si>
  <si>
    <t>DAY 257</t>
  </si>
  <si>
    <t>DAY 258</t>
  </si>
  <si>
    <t>DAY 259</t>
  </si>
  <si>
    <t>DAY 260</t>
  </si>
  <si>
    <t>DAY 261</t>
  </si>
  <si>
    <t>DAY 262</t>
  </si>
  <si>
    <t>DAY 263</t>
  </si>
  <si>
    <t>DAY 264</t>
  </si>
  <si>
    <t>DAY 265</t>
  </si>
  <si>
    <t>DAY 266</t>
  </si>
  <si>
    <t>DAY 267</t>
  </si>
  <si>
    <t>DAY 268</t>
  </si>
  <si>
    <t>DAY 269</t>
  </si>
  <si>
    <t>DAY 270</t>
  </si>
  <si>
    <t>DAY 271</t>
  </si>
  <si>
    <t>DAY 272</t>
  </si>
  <si>
    <t>DAY 273</t>
  </si>
  <si>
    <t>DAY 274</t>
  </si>
  <si>
    <t>DAY 275</t>
  </si>
  <si>
    <t>DAY 276</t>
  </si>
  <si>
    <t>DAY 277</t>
  </si>
  <si>
    <t>DAY 278</t>
  </si>
  <si>
    <t>DAY 279</t>
  </si>
  <si>
    <t>DAY 280</t>
  </si>
  <si>
    <t>DAY 281</t>
  </si>
  <si>
    <t>DAY 282</t>
  </si>
  <si>
    <t>DAY 283</t>
  </si>
  <si>
    <t>DAY 284</t>
  </si>
  <si>
    <t>DAY 285</t>
  </si>
  <si>
    <t>DAY 286</t>
  </si>
  <si>
    <t>DAY 287</t>
  </si>
  <si>
    <t>DAY 288</t>
  </si>
  <si>
    <t>DAY 289</t>
  </si>
  <si>
    <t>DAY 290</t>
  </si>
  <si>
    <t>DAY 291</t>
  </si>
  <si>
    <t>DAY 292</t>
  </si>
  <si>
    <t>DAY 293</t>
  </si>
  <si>
    <t>DAY 294</t>
  </si>
  <si>
    <t>DAY 295</t>
  </si>
  <si>
    <t>DAY 296</t>
  </si>
  <si>
    <t>DAY 297</t>
  </si>
  <si>
    <t>DAY 298</t>
  </si>
  <si>
    <t>DAY 299</t>
  </si>
  <si>
    <t>DAY 300</t>
  </si>
  <si>
    <t>DAY 301</t>
  </si>
  <si>
    <t>DAY 302</t>
  </si>
  <si>
    <t>DAY 303</t>
  </si>
  <si>
    <t>DAY 304</t>
  </si>
  <si>
    <t>DAY 305</t>
  </si>
  <si>
    <t>DAY 306</t>
  </si>
  <si>
    <t>DAY 307</t>
  </si>
  <si>
    <t>DAY 308</t>
  </si>
  <si>
    <t>DAY 309</t>
  </si>
  <si>
    <t>DAY 310</t>
  </si>
  <si>
    <t>DAY 311</t>
  </si>
  <si>
    <t>DAY 312</t>
  </si>
  <si>
    <t>DAY 313</t>
  </si>
  <si>
    <t>DAY 314</t>
  </si>
  <si>
    <t>DAY 315</t>
  </si>
  <si>
    <t>DAY 316</t>
  </si>
  <si>
    <t>DAY 317</t>
  </si>
  <si>
    <t>DAY 318</t>
  </si>
  <si>
    <t>DAY 319</t>
  </si>
  <si>
    <t>DAY 320</t>
  </si>
  <si>
    <t>DAY 321</t>
  </si>
  <si>
    <t>DAY 322</t>
  </si>
  <si>
    <t>DAY 323</t>
  </si>
  <si>
    <t>DAY 324</t>
  </si>
  <si>
    <t>DAY 325</t>
  </si>
  <si>
    <t>DAY 326</t>
  </si>
  <si>
    <t>DAY 327</t>
  </si>
  <si>
    <t>DAY 328</t>
  </si>
  <si>
    <t>DAY 329</t>
  </si>
  <si>
    <t>DAY 330</t>
  </si>
  <si>
    <t>DAY 331</t>
  </si>
  <si>
    <t>DAY 332</t>
  </si>
  <si>
    <t>DAY 333</t>
  </si>
  <si>
    <t>DAY 334</t>
  </si>
  <si>
    <t>DAY 335</t>
  </si>
  <si>
    <t>DAY 336</t>
  </si>
  <si>
    <t>DAY 337</t>
  </si>
  <si>
    <t>DAY 338</t>
  </si>
  <si>
    <t>DAY 339</t>
  </si>
  <si>
    <t>DAY 340</t>
  </si>
  <si>
    <t>DAY 341</t>
  </si>
  <si>
    <t>DAY 342</t>
  </si>
  <si>
    <t>DAY 343</t>
  </si>
  <si>
    <t>DAY 344</t>
  </si>
  <si>
    <t>DAY 345</t>
  </si>
  <si>
    <t>DAY 346</t>
  </si>
  <si>
    <t>DAY 347</t>
  </si>
  <si>
    <t>DAY 348</t>
  </si>
  <si>
    <t>DAY 349</t>
  </si>
  <si>
    <t>DAY 350</t>
  </si>
  <si>
    <t>DAY 351</t>
  </si>
  <si>
    <t>DAY 352</t>
  </si>
  <si>
    <t>DAY 353</t>
  </si>
  <si>
    <t>DAY 354</t>
  </si>
  <si>
    <t>DAY 355</t>
  </si>
  <si>
    <t>DAY 356</t>
  </si>
  <si>
    <t>DAY 357</t>
  </si>
  <si>
    <t>DAY 358</t>
  </si>
  <si>
    <t>DAY 359</t>
  </si>
  <si>
    <t>DAY 360</t>
  </si>
  <si>
    <t>DAY 361</t>
  </si>
  <si>
    <t>DAY 362</t>
  </si>
  <si>
    <t>DAY 363</t>
  </si>
  <si>
    <t>DAY 364</t>
  </si>
  <si>
    <t>DAY 365</t>
  </si>
  <si>
    <t>DAY 366</t>
  </si>
  <si>
    <t>DAY 367</t>
  </si>
  <si>
    <t>99OE15OEO</t>
  </si>
  <si>
    <t>98PF17PFP</t>
  </si>
  <si>
    <t>97QG19QGQ</t>
  </si>
  <si>
    <t>96RH21RHR</t>
  </si>
  <si>
    <t>95SI23SIS</t>
  </si>
  <si>
    <t>94TJ25TJT</t>
  </si>
  <si>
    <t>93UK27UKU</t>
  </si>
  <si>
    <t>92VL15VLV</t>
  </si>
  <si>
    <t>91WM17WMW</t>
  </si>
  <si>
    <t>90XN19XNX</t>
  </si>
  <si>
    <t>89YO21YOY</t>
  </si>
  <si>
    <t>88ZP23ZPZ</t>
  </si>
  <si>
    <t>87BQ25BQB</t>
  </si>
  <si>
    <t>86CR27CRC</t>
  </si>
  <si>
    <t>85DS29DSD</t>
  </si>
  <si>
    <t>84ET31ETE</t>
  </si>
  <si>
    <t>83FU33FUF</t>
  </si>
  <si>
    <t>82GV35GVG</t>
  </si>
  <si>
    <t>81HW37HWH</t>
  </si>
  <si>
    <t>80IX39IXI</t>
  </si>
  <si>
    <t>79HY41HYH</t>
  </si>
  <si>
    <t>78IZ43IZI</t>
  </si>
  <si>
    <t>77JK45JKJ</t>
  </si>
  <si>
    <t>76KL47KLK</t>
  </si>
  <si>
    <t>75LM49LML</t>
  </si>
  <si>
    <t>74MN51MNM</t>
  </si>
  <si>
    <t>ON73NO54O</t>
  </si>
  <si>
    <t>PO72OP56P</t>
  </si>
  <si>
    <t>QP71PQ58Q</t>
  </si>
  <si>
    <t>RQ70QR60R</t>
  </si>
  <si>
    <t>SR69RS62S</t>
  </si>
  <si>
    <t>TS68ST64T</t>
  </si>
  <si>
    <t>UT67TU66U</t>
  </si>
  <si>
    <t>VU66UV68V</t>
  </si>
  <si>
    <t>WV65VW70W</t>
  </si>
  <si>
    <t>XW64WX72X</t>
  </si>
  <si>
    <t>MX63XM74M</t>
  </si>
  <si>
    <t>NY62YN76N</t>
  </si>
  <si>
    <t>OK61KO78O</t>
  </si>
  <si>
    <t>PX60XP80P</t>
  </si>
  <si>
    <t>QX59XQ82Q</t>
  </si>
  <si>
    <t>RY58YR84R</t>
  </si>
  <si>
    <t>SH57HS86S</t>
  </si>
  <si>
    <t>TY56YT88T</t>
  </si>
  <si>
    <t>UH55HU90U</t>
  </si>
  <si>
    <t>VG54GV92V</t>
  </si>
  <si>
    <t>Wb53bW94W</t>
  </si>
  <si>
    <t>Xc52cX96X</t>
  </si>
  <si>
    <t>Yd51dY98Y</t>
  </si>
  <si>
    <t>Ze50eZ62Z</t>
  </si>
  <si>
    <t>Of49fO64O</t>
  </si>
  <si>
    <t>Tg48gT66T</t>
  </si>
  <si>
    <t>Hh47hH68H</t>
  </si>
  <si>
    <t>Ki46iK70K</t>
  </si>
  <si>
    <t>Fj45jF72F</t>
  </si>
  <si>
    <t>Dk44kD74D</t>
  </si>
  <si>
    <t>Ml43lM76M</t>
  </si>
  <si>
    <t>N777742</t>
  </si>
  <si>
    <t>80O417980</t>
  </si>
  <si>
    <t>82P408182</t>
  </si>
  <si>
    <t>84Q398384</t>
  </si>
  <si>
    <t>86R388586</t>
  </si>
  <si>
    <t>88S378788</t>
  </si>
  <si>
    <t>90T368990</t>
  </si>
  <si>
    <t>92U359192</t>
  </si>
  <si>
    <t>16V341516</t>
  </si>
  <si>
    <t>18W331718</t>
  </si>
  <si>
    <t>20X321920</t>
  </si>
  <si>
    <t>22Y312122</t>
  </si>
  <si>
    <t>24Z302324</t>
  </si>
  <si>
    <t>26W292526</t>
  </si>
  <si>
    <t>28X282728</t>
  </si>
  <si>
    <t>16Y271516</t>
  </si>
  <si>
    <t>18Z261718</t>
  </si>
  <si>
    <t>20A251920</t>
  </si>
  <si>
    <t>22B242122</t>
  </si>
  <si>
    <t>24C232324</t>
  </si>
  <si>
    <t>26D222526</t>
  </si>
  <si>
    <t>21E21E27E</t>
  </si>
  <si>
    <t>20F20F29F</t>
  </si>
  <si>
    <t>19G19G31G</t>
  </si>
  <si>
    <t>18H18H33H</t>
  </si>
  <si>
    <t>25I25I35I</t>
  </si>
  <si>
    <t>26J26J37J</t>
  </si>
  <si>
    <t>27K27K39K</t>
  </si>
  <si>
    <t>28L28L41L</t>
  </si>
  <si>
    <t>29M29M43M</t>
  </si>
  <si>
    <t>30N30N45N</t>
  </si>
  <si>
    <t>31O31O47O</t>
  </si>
  <si>
    <t>32P32P49P</t>
  </si>
  <si>
    <t>33Q33Q51Q</t>
  </si>
  <si>
    <t>34R34R53R</t>
  </si>
  <si>
    <t>35S35S55S</t>
  </si>
  <si>
    <t>36T36T57T</t>
  </si>
  <si>
    <t>37U37U59U</t>
  </si>
  <si>
    <t>38V38V61V</t>
  </si>
  <si>
    <t>39W39W63W</t>
  </si>
  <si>
    <t>40X40X65X</t>
  </si>
  <si>
    <t>41Y41Y67Y</t>
  </si>
  <si>
    <t>42Z42Z69Z</t>
  </si>
  <si>
    <t>43D43D71D</t>
  </si>
  <si>
    <t>44E44E73E</t>
  </si>
  <si>
    <t>45F45F75F</t>
  </si>
  <si>
    <t>46G46G77G</t>
  </si>
  <si>
    <t>47H47H79H</t>
  </si>
  <si>
    <t>48I48I81I</t>
  </si>
  <si>
    <t>848349aJa</t>
  </si>
  <si>
    <t>868550bKb</t>
  </si>
  <si>
    <t>888751cLc</t>
  </si>
  <si>
    <t>908952dMd</t>
  </si>
  <si>
    <t>929153eNe</t>
  </si>
  <si>
    <t>949354fOf</t>
  </si>
  <si>
    <t>969555gPg</t>
  </si>
  <si>
    <t>989756hQh</t>
  </si>
  <si>
    <t>626154RRR</t>
  </si>
  <si>
    <t>646353SSS</t>
  </si>
  <si>
    <t>666552TTT</t>
  </si>
  <si>
    <t>686751UUU</t>
  </si>
  <si>
    <t>706950VVV</t>
  </si>
  <si>
    <t>727149WWW</t>
  </si>
  <si>
    <t>747348XXX</t>
  </si>
  <si>
    <t>767547AYA</t>
  </si>
  <si>
    <t>787746BZB</t>
  </si>
  <si>
    <t>807945CCC</t>
  </si>
  <si>
    <t>828144DDD</t>
  </si>
  <si>
    <t>848343EEE</t>
  </si>
  <si>
    <t>868542FFF</t>
  </si>
  <si>
    <t>888741vGv</t>
  </si>
  <si>
    <t>908940wHw</t>
  </si>
  <si>
    <t>161539xIx</t>
  </si>
  <si>
    <t>181738bJb</t>
  </si>
  <si>
    <t>201937cKc</t>
  </si>
  <si>
    <t>222136LLL</t>
  </si>
  <si>
    <t>242335MMM</t>
  </si>
  <si>
    <t>262534NNN</t>
  </si>
  <si>
    <t>282733OOO</t>
  </si>
  <si>
    <t>161532PPP</t>
  </si>
  <si>
    <t>181731QQQ</t>
  </si>
  <si>
    <t>201930RRR</t>
  </si>
  <si>
    <t>222129SSS</t>
  </si>
  <si>
    <t>242328TTT</t>
  </si>
  <si>
    <t>262527dUd</t>
  </si>
  <si>
    <t>282726VVV</t>
  </si>
  <si>
    <t>302925WWW</t>
  </si>
  <si>
    <t>323124XXX</t>
  </si>
  <si>
    <t>343323YMY</t>
  </si>
  <si>
    <t>363522ZNZ</t>
  </si>
  <si>
    <t>383721OOO</t>
  </si>
  <si>
    <t>403920PPP</t>
  </si>
  <si>
    <t>424119QQQ</t>
  </si>
  <si>
    <t>444318RRR</t>
  </si>
  <si>
    <t>464517SSS</t>
  </si>
  <si>
    <t>484733TTT</t>
  </si>
  <si>
    <t>504944UUU</t>
  </si>
  <si>
    <t>525155VVV</t>
  </si>
  <si>
    <t>545366cWc</t>
  </si>
  <si>
    <t>565577dXd</t>
  </si>
  <si>
    <t>585788eYe</t>
  </si>
  <si>
    <t>605911fZf</t>
  </si>
  <si>
    <t>626122WIW</t>
  </si>
  <si>
    <t>646333JJJ</t>
  </si>
  <si>
    <t>666544KKK</t>
  </si>
  <si>
    <t>686755LLL</t>
  </si>
  <si>
    <t>706966MMM</t>
  </si>
  <si>
    <t>727177NNN</t>
  </si>
  <si>
    <t>747388OOO</t>
  </si>
  <si>
    <t>767599PPP</t>
  </si>
  <si>
    <t>787797QQQ</t>
  </si>
  <si>
    <t>807995RRR</t>
  </si>
  <si>
    <t>828193SSS</t>
  </si>
  <si>
    <t>848391TTT</t>
  </si>
  <si>
    <t>868589UUU</t>
  </si>
  <si>
    <t>888787VVV</t>
  </si>
  <si>
    <t>908985HWH</t>
  </si>
  <si>
    <t>929183III</t>
  </si>
  <si>
    <t>949381YJY</t>
  </si>
  <si>
    <t>969579ZKZ</t>
  </si>
  <si>
    <t>989777LLL</t>
  </si>
  <si>
    <t>626175MMM</t>
  </si>
  <si>
    <t>646373NNN</t>
  </si>
  <si>
    <t>666571OOO</t>
  </si>
  <si>
    <t>686769tDt</t>
  </si>
  <si>
    <t>706967QEQ</t>
  </si>
  <si>
    <t>727165RTR</t>
  </si>
  <si>
    <t>747363ZTZ</t>
  </si>
  <si>
    <t>767561jcj</t>
  </si>
  <si>
    <t>787759ddd</t>
  </si>
  <si>
    <t>807957eee</t>
  </si>
  <si>
    <t>I55W81W82</t>
  </si>
  <si>
    <t>J53X83X84</t>
  </si>
  <si>
    <t>K51Y85Y86</t>
  </si>
  <si>
    <t>L49Z87Z88</t>
  </si>
  <si>
    <t>47tEO90EO</t>
  </si>
  <si>
    <t>45JFP16FP</t>
  </si>
  <si>
    <t>43KGQ18GQ</t>
  </si>
  <si>
    <t>41LHR20HR</t>
  </si>
  <si>
    <t>39MIS22IS</t>
  </si>
  <si>
    <t>37NJT24JT</t>
  </si>
  <si>
    <t>35OKU26KU</t>
  </si>
  <si>
    <t>33PLV28LV</t>
  </si>
  <si>
    <t>HKUFR16MW</t>
  </si>
  <si>
    <t>29RNX18NX</t>
  </si>
  <si>
    <t>27SOY20OY</t>
  </si>
  <si>
    <t>25TPZ22PZ</t>
  </si>
  <si>
    <t>23UQB24QB</t>
  </si>
  <si>
    <t>21VRC26RC</t>
  </si>
  <si>
    <t>19WSD28SD</t>
  </si>
  <si>
    <t>17XTE30TE</t>
  </si>
  <si>
    <t>15YUF32UF</t>
  </si>
  <si>
    <t>13ZVG34VG</t>
  </si>
  <si>
    <t>81CWH36WH</t>
  </si>
  <si>
    <t>83DXI38XI</t>
  </si>
  <si>
    <t>85EYH40YH</t>
  </si>
  <si>
    <t>87FZI42ZI</t>
  </si>
  <si>
    <t>89GKJ44KJ</t>
  </si>
  <si>
    <t>91HLK46LK</t>
  </si>
  <si>
    <t>93IML48ML</t>
  </si>
  <si>
    <t>95JNM50NM</t>
  </si>
  <si>
    <t>97KON52ON</t>
  </si>
  <si>
    <t>61LPO54PO</t>
  </si>
  <si>
    <t>63MQP56QP</t>
  </si>
  <si>
    <t>65NRQ58RQ</t>
  </si>
  <si>
    <t>67OSR60SR</t>
  </si>
  <si>
    <t>69PTS62TS</t>
  </si>
  <si>
    <t>71QUT64UT</t>
  </si>
  <si>
    <t>73RVU66VU</t>
  </si>
  <si>
    <t>75SWV68WV</t>
  </si>
  <si>
    <t>77TXW70XW</t>
  </si>
  <si>
    <t>79UMX72MX</t>
  </si>
  <si>
    <t>81VNY74NY</t>
  </si>
  <si>
    <t>83WOK76OK</t>
  </si>
  <si>
    <t>31XPX78PX</t>
  </si>
  <si>
    <t>33MQX80QX</t>
  </si>
  <si>
    <t>35NRY82RY</t>
  </si>
  <si>
    <t>37OSH84SH</t>
  </si>
  <si>
    <t>39PTY86TY</t>
  </si>
  <si>
    <t>41QUH88UH</t>
  </si>
  <si>
    <t>43RVG90VG</t>
  </si>
  <si>
    <t>9245HwWbW</t>
  </si>
  <si>
    <t>9447IxXcX</t>
  </si>
  <si>
    <t>9649JbYdY</t>
  </si>
  <si>
    <t>9851KcZeZ</t>
  </si>
  <si>
    <t>6253LLOfI</t>
  </si>
  <si>
    <t>6455HwTgJ</t>
  </si>
  <si>
    <t>6657IxHhK</t>
  </si>
  <si>
    <t>6859JbKiL</t>
  </si>
  <si>
    <t>7061KcFjM</t>
  </si>
  <si>
    <t>7263LLDkN</t>
  </si>
  <si>
    <t>7426MMMlO</t>
  </si>
  <si>
    <t>7628QHNEP</t>
  </si>
  <si>
    <t>7816RIOFQ</t>
  </si>
  <si>
    <t>8018SJPGR</t>
  </si>
  <si>
    <t>8220TKQHS</t>
  </si>
  <si>
    <t>8422ULRIT</t>
  </si>
  <si>
    <t>8624VMSJU</t>
  </si>
  <si>
    <t>8826WNTKV</t>
  </si>
  <si>
    <t>9028LULW</t>
  </si>
  <si>
    <t>9230MVMI</t>
  </si>
  <si>
    <t>1632NWNJ</t>
  </si>
  <si>
    <t>1834OXOK</t>
  </si>
  <si>
    <t>2036WYPL</t>
  </si>
  <si>
    <t>2238XZQM</t>
  </si>
  <si>
    <t>2440YWRN</t>
  </si>
  <si>
    <t>2642ZXSO</t>
  </si>
  <si>
    <t>2844cYTW</t>
  </si>
  <si>
    <t>1646dZUX</t>
  </si>
  <si>
    <t>1848eAVY</t>
  </si>
  <si>
    <t>2050WBWZ</t>
  </si>
  <si>
    <t>2252MCXc</t>
  </si>
  <si>
    <t>2454NDYd</t>
  </si>
  <si>
    <t>2656OEEe</t>
  </si>
  <si>
    <t>2858PFFW</t>
  </si>
  <si>
    <t>3095QGGX</t>
  </si>
  <si>
    <t>3297RHHY</t>
  </si>
  <si>
    <t>3461SIIZ</t>
  </si>
  <si>
    <t>3663TJJEO</t>
  </si>
  <si>
    <t>3865UKKFP</t>
  </si>
  <si>
    <t>4067VLLGQ</t>
  </si>
  <si>
    <t>4269WMMHR</t>
  </si>
  <si>
    <t>4471XNNIS</t>
  </si>
  <si>
    <t>4673YOdJT</t>
  </si>
  <si>
    <t>4875ZPeKU</t>
  </si>
  <si>
    <t>5077CQfLV</t>
  </si>
  <si>
    <t>5279DRgMW</t>
  </si>
  <si>
    <t>5481EShNX</t>
  </si>
  <si>
    <t>5631FTiOY</t>
  </si>
  <si>
    <t>5833GUjPZ</t>
  </si>
  <si>
    <t>6035HVkQB</t>
  </si>
  <si>
    <t>6237IWlRC</t>
  </si>
  <si>
    <t>6439JXmSD</t>
  </si>
  <si>
    <t>6641KYnTE</t>
  </si>
  <si>
    <t>6843LZoUF</t>
  </si>
  <si>
    <t>7045MDpVG</t>
  </si>
  <si>
    <t>7247NEqWH</t>
  </si>
  <si>
    <t>7449OFrXI</t>
  </si>
  <si>
    <t>7651PGsYH</t>
  </si>
  <si>
    <t>7853QHtZI</t>
  </si>
  <si>
    <t>8055RIuKJ</t>
  </si>
  <si>
    <t>8257SJaLK</t>
  </si>
  <si>
    <t>8459TKbML</t>
  </si>
  <si>
    <t>8661ULcNM</t>
  </si>
  <si>
    <t>8863VMdON</t>
  </si>
  <si>
    <t>9065WNePO</t>
  </si>
  <si>
    <t>9267XOfQP</t>
  </si>
  <si>
    <t>9426MPgRQ</t>
  </si>
  <si>
    <t>9628NQhSR</t>
  </si>
  <si>
    <t>9816ORRTS</t>
  </si>
  <si>
    <t>6218PSSUT</t>
  </si>
  <si>
    <t>6420QTTVU</t>
  </si>
  <si>
    <t>6622RUUWV</t>
  </si>
  <si>
    <t>6824SVVXW</t>
  </si>
  <si>
    <t>7026TWWMX</t>
  </si>
  <si>
    <t>7228UXXNY</t>
  </si>
  <si>
    <t>7430VYAOK</t>
  </si>
  <si>
    <t>7632WZBPX</t>
  </si>
  <si>
    <t>7834XCCQX</t>
  </si>
  <si>
    <t>8036YDDXX</t>
  </si>
  <si>
    <t>8238ZEEYA</t>
  </si>
  <si>
    <t>8440IFFZB</t>
  </si>
  <si>
    <t>8642JGvCC</t>
  </si>
  <si>
    <t>8844KHwDD</t>
  </si>
  <si>
    <t>9046LIxEE</t>
  </si>
  <si>
    <t>9248MJbFF</t>
  </si>
  <si>
    <t>1650NKcGv</t>
  </si>
  <si>
    <t>1852OLLHw</t>
  </si>
  <si>
    <t>2054PMMIx</t>
  </si>
  <si>
    <t>2256QNNJb</t>
  </si>
  <si>
    <t>2458ROOKc</t>
  </si>
  <si>
    <t>2695SPPLL</t>
  </si>
  <si>
    <t>2897TQQMM</t>
  </si>
  <si>
    <t>1661URRNN</t>
  </si>
  <si>
    <t>1863VSSOO</t>
  </si>
  <si>
    <t>2065WTTPP</t>
  </si>
  <si>
    <t>2267IUdQQ</t>
  </si>
  <si>
    <t>2469JVVRR</t>
  </si>
  <si>
    <t>2671KWWSS</t>
  </si>
  <si>
    <t>2873LXXTT</t>
  </si>
  <si>
    <t>3075MMYUd</t>
  </si>
  <si>
    <t>3277NNZXX</t>
  </si>
  <si>
    <t>3479OOOYA</t>
  </si>
  <si>
    <t>3681WPPZB</t>
  </si>
  <si>
    <t>3831XQQCC</t>
  </si>
  <si>
    <t>4033YRRDD</t>
  </si>
  <si>
    <t>4235ZSSEE</t>
  </si>
  <si>
    <t>4437cTTFF</t>
  </si>
  <si>
    <t>4639dUUGv</t>
  </si>
  <si>
    <t>4841eVVHw</t>
  </si>
  <si>
    <t>5043WWcIx</t>
  </si>
  <si>
    <t>5245XXdJb</t>
  </si>
  <si>
    <t>5447YYeKc</t>
  </si>
  <si>
    <t>5649ZZfLL</t>
  </si>
  <si>
    <t>5851EOI[MM</t>
  </si>
  <si>
    <t>6053FPJJNN</t>
  </si>
  <si>
    <t>6255GQKKOO</t>
  </si>
  <si>
    <t>6457HRLLPP</t>
  </si>
  <si>
    <t>6659ISMMQQ</t>
  </si>
  <si>
    <t>6861JTNNRR</t>
  </si>
  <si>
    <t>7063KUOOSS</t>
  </si>
  <si>
    <t>7265LVPPTT</t>
  </si>
  <si>
    <t>7467MWQQUd</t>
  </si>
  <si>
    <t>7669NXRRVV</t>
  </si>
  <si>
    <t>7871OYSSZ</t>
  </si>
  <si>
    <t>8026PZTTC</t>
  </si>
  <si>
    <t>8228QBUUD</t>
  </si>
  <si>
    <t>8416RCVVE</t>
  </si>
  <si>
    <t>8618SDWHF</t>
  </si>
  <si>
    <t>8820TEIIG</t>
  </si>
  <si>
    <t>9022UFJYH</t>
  </si>
  <si>
    <t>9224VGKZI</t>
  </si>
  <si>
    <t>9426WHLLJ</t>
  </si>
  <si>
    <t>9628XIMMK</t>
  </si>
  <si>
    <t>9830YHNNL</t>
  </si>
  <si>
    <t>6232ZIOOM</t>
  </si>
  <si>
    <t>6434KJWtN</t>
  </si>
  <si>
    <t>6636LKXQO</t>
  </si>
  <si>
    <t>6838MLYRP</t>
  </si>
  <si>
    <t>7040NMZZQ</t>
  </si>
  <si>
    <t>7242ONcjR</t>
  </si>
  <si>
    <t>7444POddS</t>
  </si>
  <si>
    <t>7646QPeeT</t>
  </si>
  <si>
    <t>7848RQZU</t>
  </si>
  <si>
    <t>8050SRcV</t>
  </si>
  <si>
    <t>8252TSdW</t>
  </si>
  <si>
    <t>8454UTeX</t>
  </si>
  <si>
    <t>8656VUWM</t>
  </si>
  <si>
    <t>8858WVXN</t>
  </si>
  <si>
    <t>9087XWYO</t>
  </si>
  <si>
    <t>9289MXZP</t>
  </si>
  <si>
    <t>1691NYEOQ</t>
  </si>
  <si>
    <t>1893OKFPR</t>
  </si>
  <si>
    <t>2095PXGQS</t>
  </si>
  <si>
    <t>2297QXHRT</t>
  </si>
  <si>
    <t>2461RCISU</t>
  </si>
  <si>
    <t>2663SDJTV</t>
  </si>
  <si>
    <t>2865TEKUW</t>
  </si>
  <si>
    <t>1667UFLVX</t>
  </si>
  <si>
    <t>1869VGMWY</t>
  </si>
  <si>
    <t>2071WHNXZ</t>
  </si>
  <si>
    <t>2273XIOYI</t>
  </si>
  <si>
    <t>2475YHPZJ</t>
  </si>
  <si>
    <t>2677ZIZK</t>
  </si>
  <si>
    <t>2879KJcL</t>
  </si>
  <si>
    <t>3081LKdM</t>
  </si>
  <si>
    <t>3283MLeN</t>
  </si>
  <si>
    <t>3485NMWO</t>
  </si>
  <si>
    <t>3687ONXP</t>
  </si>
  <si>
    <t>3831POYQ</t>
  </si>
  <si>
    <t>4033QPZR</t>
  </si>
  <si>
    <t>4235RQEOS</t>
  </si>
  <si>
    <t>4437SRFPT</t>
  </si>
  <si>
    <t>4639TSGQU</t>
  </si>
  <si>
    <t>4841UTHRV</t>
  </si>
  <si>
    <t>5043VUISW</t>
  </si>
  <si>
    <t>5245WVJTI</t>
  </si>
  <si>
    <t>5447XWKUJ</t>
  </si>
  <si>
    <t>5649MXLVK</t>
  </si>
  <si>
    <t>5851NYMWL</t>
  </si>
  <si>
    <t>6053OKZM</t>
  </si>
  <si>
    <t>6255PXcN</t>
  </si>
  <si>
    <t>6457QXdO</t>
  </si>
  <si>
    <t>6659RYeW</t>
  </si>
  <si>
    <t>6861SHWX</t>
  </si>
  <si>
    <t>7063TYXY</t>
  </si>
  <si>
    <t>7265UHYZ</t>
  </si>
  <si>
    <t>7467VGZc</t>
  </si>
  <si>
    <t>7669WbEOd</t>
  </si>
  <si>
    <t>7871XcFPe</t>
  </si>
  <si>
    <t>8073YdGQW</t>
  </si>
  <si>
    <t>8275ZeHRX</t>
  </si>
  <si>
    <t>8477OfISY</t>
  </si>
  <si>
    <t>8679TgJTZ</t>
  </si>
  <si>
    <t>8881HhKUEO</t>
  </si>
  <si>
    <t>9068KiLVFP</t>
  </si>
  <si>
    <t>9270FjMWGQ</t>
  </si>
  <si>
    <t>9472DkNXHR</t>
  </si>
  <si>
    <t>9674MlOYIS</t>
  </si>
  <si>
    <t>9876NEPZJT</t>
  </si>
  <si>
    <t>6278OFQBKU</t>
  </si>
  <si>
    <t>6480PGKLV</t>
  </si>
  <si>
    <t>6682QHLMW</t>
  </si>
  <si>
    <t>6884RIMNX</t>
  </si>
  <si>
    <t>7086SJNOY</t>
  </si>
  <si>
    <t>7288TKOPZ</t>
  </si>
  <si>
    <t>7490ULPQB</t>
  </si>
  <si>
    <t>7692VMQRC</t>
  </si>
  <si>
    <t>7859WNRSD</t>
  </si>
  <si>
    <t>8061XOSTE</t>
  </si>
  <si>
    <t>8263YPTUF</t>
  </si>
  <si>
    <t>8465ZQUVG</t>
  </si>
  <si>
    <t>8667WRVWH</t>
  </si>
  <si>
    <t>8869XSWXI</t>
  </si>
  <si>
    <t>9071YTXYH</t>
  </si>
  <si>
    <t>9273ZUYZI</t>
  </si>
  <si>
    <t>5975AVZKJ</t>
  </si>
  <si>
    <t>6177BWCLK</t>
  </si>
  <si>
    <t>6379CXDML</t>
  </si>
  <si>
    <t>6581DYENM</t>
  </si>
  <si>
    <t>6783EEFON</t>
  </si>
  <si>
    <t>6985FFGPO</t>
  </si>
  <si>
    <t>7187GGHQP</t>
  </si>
  <si>
    <t>7389HHIRQ</t>
  </si>
  <si>
    <t>7591IIJSR</t>
  </si>
  <si>
    <t>7793JJKTS</t>
  </si>
  <si>
    <t>7995KKLUT</t>
  </si>
  <si>
    <t>81LLLMVU</t>
  </si>
  <si>
    <t>83MMMNWV</t>
  </si>
  <si>
    <t>85NNNOXW</t>
  </si>
  <si>
    <t>87OOdPMX</t>
  </si>
  <si>
    <t>89WPeQNY</t>
  </si>
  <si>
    <t>91XQfROK</t>
  </si>
  <si>
    <t>93YRgSZ</t>
  </si>
  <si>
    <t>95ZShTc</t>
  </si>
  <si>
    <t>97cTiUd</t>
  </si>
  <si>
    <t>61dUjVe</t>
  </si>
  <si>
    <t>63eVkWW</t>
  </si>
  <si>
    <t>65WWlXX</t>
  </si>
  <si>
    <t>6778XmMY</t>
  </si>
  <si>
    <t>6980YnNZ</t>
  </si>
  <si>
    <t>7182ZoOEO</t>
  </si>
  <si>
    <t>7384DpPFP</t>
  </si>
  <si>
    <t>7586EqQGQ</t>
  </si>
  <si>
    <t>7788FrRHR</t>
  </si>
  <si>
    <t>7990GsSIS</t>
  </si>
  <si>
    <t>8192HtTJT</t>
  </si>
  <si>
    <t>8359IuUKU</t>
  </si>
  <si>
    <t>8561JaVLV</t>
  </si>
  <si>
    <t>8863KbWMW</t>
  </si>
  <si>
    <t>9065LcXNX</t>
  </si>
  <si>
    <t>9267MdYOY</t>
  </si>
  <si>
    <t>1669NeZPZ</t>
  </si>
  <si>
    <t>1871OfIK</t>
  </si>
  <si>
    <t>2073PgJL</t>
  </si>
  <si>
    <t>2275QhKM</t>
  </si>
  <si>
    <t>2477RRLN</t>
  </si>
  <si>
    <t>2679SSMO</t>
  </si>
  <si>
    <t>2881TTNW</t>
  </si>
  <si>
    <t>1683UUOX</t>
  </si>
  <si>
    <t>1885VVPY</t>
  </si>
  <si>
    <t>2087WWQZ</t>
  </si>
  <si>
    <t>2289XXRc</t>
  </si>
  <si>
    <t>2491YASd</t>
  </si>
  <si>
    <t>2668ZBTe</t>
  </si>
  <si>
    <t>2870CCUW</t>
  </si>
  <si>
    <t>3072DDVX</t>
  </si>
  <si>
    <t>3274EEWY</t>
  </si>
  <si>
    <t>3476FFIZ</t>
  </si>
  <si>
    <t>3678GvJEO</t>
  </si>
  <si>
    <t>3880HwKFP</t>
  </si>
  <si>
    <t>4082IxLGQ</t>
  </si>
  <si>
    <t>4284JbMHR</t>
  </si>
  <si>
    <t>4486KcNIS</t>
  </si>
  <si>
    <t>4688LLOJT</t>
  </si>
  <si>
    <t>4890MMWKU</t>
  </si>
  <si>
    <t>5092NNXLV</t>
  </si>
  <si>
    <t>5259OOYMW</t>
  </si>
  <si>
    <t>5461PPZNX</t>
  </si>
  <si>
    <t>5663QQcOY</t>
  </si>
  <si>
    <t>5865RRdPZ</t>
  </si>
  <si>
    <t>6067SSeQB</t>
  </si>
  <si>
    <t>6269TTWRC</t>
  </si>
  <si>
    <t>6471UdXSD</t>
  </si>
  <si>
    <t>6673VVYTE</t>
  </si>
  <si>
    <t>6875WWZUF</t>
  </si>
  <si>
    <t>7077XXEOVG</t>
  </si>
  <si>
    <t>7279MYFPWH</t>
  </si>
  <si>
    <t>7481NZGQXI</t>
  </si>
  <si>
    <t>7683OOHRYH</t>
  </si>
  <si>
    <t>7885PPISZI</t>
  </si>
  <si>
    <t>8087QQJTKJ</t>
  </si>
  <si>
    <t>8289RRKULK</t>
  </si>
  <si>
    <t>8491SSLVML</t>
  </si>
  <si>
    <t>8693TTMWNM</t>
  </si>
  <si>
    <t>8895UUNXON</t>
  </si>
  <si>
    <t>9097VVOYPO</t>
  </si>
  <si>
    <t>9273WcPZQP</t>
  </si>
  <si>
    <t>9469XdQBRQ</t>
  </si>
  <si>
    <t>9671YeRCSR</t>
  </si>
  <si>
    <t>9873ZfSDTS</t>
  </si>
  <si>
    <t>6275I[TEUT</t>
  </si>
  <si>
    <t>6477JJUFVU</t>
  </si>
  <si>
    <t>6679KKVGWV</t>
  </si>
  <si>
    <t>6881LLWHXW</t>
  </si>
  <si>
    <t>7083MMXIMX</t>
  </si>
  <si>
    <t>7285NNYHL</t>
  </si>
  <si>
    <t>7487OOZIM</t>
  </si>
  <si>
    <t>7689PPKJN</t>
  </si>
  <si>
    <t>7891QQLKO</t>
  </si>
  <si>
    <t>8088RRMLW</t>
  </si>
  <si>
    <t>8290SSNMX</t>
  </si>
  <si>
    <t>8492TTONY</t>
  </si>
  <si>
    <t>8616UUPOZ</t>
  </si>
  <si>
    <t>8818VVQPc</t>
  </si>
  <si>
    <t>9020WHRQd</t>
  </si>
  <si>
    <t>9222IISRe</t>
  </si>
  <si>
    <t>5924JYTSW</t>
  </si>
  <si>
    <t>6126KZUTKU</t>
  </si>
  <si>
    <t>6328LLVULV</t>
  </si>
  <si>
    <t>6516MMWVMW</t>
  </si>
  <si>
    <t>6718NNXWNX</t>
  </si>
  <si>
    <t>6920OOMXOY</t>
  </si>
  <si>
    <t>7122WtNYPZ</t>
  </si>
  <si>
    <t>7324XQLQB</t>
  </si>
  <si>
    <t>7526YRMRC</t>
  </si>
  <si>
    <t>7728ZZNSD</t>
  </si>
  <si>
    <t>7930cjOTE</t>
  </si>
  <si>
    <t>8132ddWUF</t>
  </si>
  <si>
    <t>8334eeXVG</t>
  </si>
  <si>
    <t>853632HhYWH</t>
  </si>
  <si>
    <t>873834KiZXI</t>
  </si>
  <si>
    <t>894036FjcYH</t>
  </si>
  <si>
    <t>913038DkdTY</t>
  </si>
  <si>
    <t>933240MleUH</t>
  </si>
  <si>
    <t>953442NEWVG</t>
  </si>
  <si>
    <t>979744OFLVWb</t>
  </si>
  <si>
    <t>616146PGMWXc</t>
  </si>
  <si>
    <t>636348QHNXYd</t>
  </si>
  <si>
    <t>656550RIOYZe</t>
  </si>
  <si>
    <t>676752SJPZOf</t>
  </si>
  <si>
    <t>696954TKQBTg</t>
  </si>
  <si>
    <t>717156ULRCHh</t>
  </si>
  <si>
    <t>737358VMSDKi</t>
  </si>
  <si>
    <t>656960WNTEFj</t>
  </si>
  <si>
    <t>677162XOUFDk</t>
  </si>
  <si>
    <t>697364YPVGMl</t>
  </si>
  <si>
    <t>717566ZQWHNE</t>
  </si>
  <si>
    <t>737768WRXIOF</t>
  </si>
  <si>
    <t>757970XSYHPG</t>
  </si>
  <si>
    <t>778172YTZIQH</t>
  </si>
  <si>
    <t>798374ZUKJRI</t>
  </si>
  <si>
    <t>818576AVLKSJ</t>
  </si>
  <si>
    <t>838778BWMLTK</t>
  </si>
  <si>
    <t>888980CXNMUL</t>
  </si>
  <si>
    <t>909182DYONVM</t>
  </si>
  <si>
    <t>928884EEPOWN</t>
  </si>
  <si>
    <t>169086FFQPXO</t>
  </si>
  <si>
    <t>189288GGRQYP</t>
  </si>
  <si>
    <t>201690HHSRZQ</t>
  </si>
  <si>
    <t>221892IITSWR</t>
  </si>
  <si>
    <t>242094JJUTXS</t>
  </si>
  <si>
    <t>262271KKVUYT</t>
  </si>
  <si>
    <t>282473LLWVZU</t>
  </si>
  <si>
    <t>162669MMXWAV</t>
  </si>
  <si>
    <t>182871NNMXBW</t>
  </si>
  <si>
    <t>201673OdNYCX</t>
  </si>
  <si>
    <t>221875PeOKDY</t>
  </si>
  <si>
    <t>249777QfPXEE</t>
  </si>
  <si>
    <t>266179RgQXFF</t>
  </si>
  <si>
    <t>286381ShRYGG</t>
  </si>
  <si>
    <t>306583TiSHHH</t>
  </si>
  <si>
    <t>326785UjTYII</t>
  </si>
  <si>
    <t>346987VkUHJJ</t>
  </si>
  <si>
    <t>367189WlVGKK</t>
  </si>
  <si>
    <t>387391XmWbLL</t>
  </si>
  <si>
    <t>406988YnXcMM</t>
  </si>
  <si>
    <t>427190ZoYdNN</t>
  </si>
  <si>
    <t>447392DpZeOd</t>
  </si>
  <si>
    <t>467516EqOfPe</t>
  </si>
  <si>
    <t>487718FrTgQf</t>
  </si>
  <si>
    <t>507920GsHhRg</t>
  </si>
  <si>
    <t>528122HtKiSh</t>
  </si>
  <si>
    <t>548324IuFjTi</t>
  </si>
  <si>
    <t>568526JaDkLL</t>
  </si>
  <si>
    <t>588728KbMlMM</t>
  </si>
  <si>
    <t>608916LcNENN</t>
  </si>
  <si>
    <t>629118MdOFOO</t>
  </si>
  <si>
    <t>648820NePGPP</t>
  </si>
  <si>
    <t>669022OfQHQQ</t>
  </si>
  <si>
    <t>689224PgRIRR</t>
  </si>
  <si>
    <t>701626QhSJSS</t>
  </si>
  <si>
    <t>721828RRTKTT</t>
  </si>
  <si>
    <t>742030SSULUd</t>
  </si>
  <si>
    <t>762232TTVMVV</t>
  </si>
  <si>
    <t>782434UUWNWW</t>
  </si>
  <si>
    <t>8026HwXOXX</t>
  </si>
  <si>
    <t>8228IxYPMY</t>
  </si>
  <si>
    <t>8416JbZQNZ</t>
  </si>
  <si>
    <t>8618KcWROO</t>
  </si>
  <si>
    <t>8820LLXSPP</t>
  </si>
  <si>
    <t>9022HwYTQQ</t>
  </si>
  <si>
    <t>9224IxZURR</t>
  </si>
  <si>
    <t>9426JbAVSS</t>
  </si>
  <si>
    <t>9628KcBWTT</t>
  </si>
  <si>
    <t>9830LLCXUU</t>
  </si>
  <si>
    <t>6232MMDYVV</t>
  </si>
  <si>
    <t>6434CCEEWc</t>
  </si>
  <si>
    <t>6636DDFFXd</t>
  </si>
  <si>
    <t>6838EEGGYe</t>
  </si>
  <si>
    <t>7040FFHHZf</t>
  </si>
  <si>
    <t>7289GvIII[</t>
  </si>
  <si>
    <t>7491HwJJJJ</t>
  </si>
  <si>
    <t>7688IxKKKK</t>
  </si>
  <si>
    <t>7890JbLLLL</t>
  </si>
  <si>
    <t>8092KcMMMM</t>
  </si>
  <si>
    <t>8216LLNNNN</t>
  </si>
  <si>
    <t>8418MMOdOO</t>
  </si>
  <si>
    <t>8620NNPePP</t>
  </si>
  <si>
    <t>8822OOQfQQ</t>
  </si>
  <si>
    <t>9024PPRgRR</t>
  </si>
  <si>
    <t>9226QQShSS</t>
  </si>
  <si>
    <t>5928RRTiTT</t>
  </si>
  <si>
    <t>6116SSUjUU</t>
  </si>
  <si>
    <t>6318TTVkVV</t>
  </si>
  <si>
    <t>6520UdWlWH</t>
  </si>
  <si>
    <t>6722VVXmII</t>
  </si>
  <si>
    <t>6924XXYnJY</t>
  </si>
  <si>
    <t>7126YAZoKZ</t>
  </si>
  <si>
    <t>7328ZBDpLL</t>
  </si>
  <si>
    <t>7530CCEqMM</t>
  </si>
  <si>
    <t>7797DDFrNN</t>
  </si>
  <si>
    <t>7961EEGsOO</t>
  </si>
  <si>
    <t>8163FFHtWt</t>
  </si>
  <si>
    <t>8365GvIuXQ</t>
  </si>
  <si>
    <t>8567HwJaYR</t>
  </si>
  <si>
    <t>8769IxKbZZ</t>
  </si>
  <si>
    <t>8971JbLccj</t>
  </si>
  <si>
    <t>9173KcMddd</t>
  </si>
  <si>
    <t>9369LLNeXX</t>
  </si>
  <si>
    <t>9571MMOfYA</t>
  </si>
  <si>
    <t>9773NNPgZB</t>
  </si>
  <si>
    <t>6175OOQhCC</t>
  </si>
  <si>
    <t>6377PPRRDD</t>
  </si>
  <si>
    <t>6579QQSSEE</t>
  </si>
  <si>
    <t>6781RRTTFF</t>
  </si>
  <si>
    <t>6983SSUUGv</t>
  </si>
  <si>
    <t>7185HwVVHw</t>
  </si>
  <si>
    <t>7387IxWWIx</t>
  </si>
  <si>
    <t>9289JbXXJb</t>
  </si>
  <si>
    <t>5991KcYAKc</t>
  </si>
  <si>
    <t>6188LLZBLL</t>
  </si>
  <si>
    <t>6390MMCCMM</t>
  </si>
  <si>
    <t>6592NNDDNN</t>
  </si>
  <si>
    <t>6716OOEEOO</t>
  </si>
  <si>
    <t>8818WtFFPP</t>
  </si>
  <si>
    <t>9020XQGvQQ</t>
  </si>
  <si>
    <t>9222YRHwRR</t>
  </si>
  <si>
    <t>1624ZZIxSS</t>
  </si>
  <si>
    <t>1826cjJbTT</t>
  </si>
  <si>
    <t>2028ddKcUd</t>
  </si>
  <si>
    <t>2216eeLLVV</t>
  </si>
  <si>
    <t>241865MM</t>
  </si>
  <si>
    <t>262094NN</t>
  </si>
  <si>
    <t>282296OONN</t>
  </si>
  <si>
    <t>162498PPOO</t>
  </si>
  <si>
    <t>182662QQWt</t>
  </si>
  <si>
    <t>202864RRXQ</t>
  </si>
  <si>
    <t>223066SSYR</t>
  </si>
  <si>
    <t>243268TTZZ</t>
  </si>
  <si>
    <t>263470Udcj</t>
  </si>
  <si>
    <t>283672VVdd</t>
  </si>
  <si>
    <t>3038XQWWee</t>
  </si>
  <si>
    <t>3240YRXX94</t>
  </si>
  <si>
    <t>3490ZZMY96</t>
  </si>
  <si>
    <t>3692cjNZ98</t>
  </si>
  <si>
    <t>3816ddOO62</t>
  </si>
  <si>
    <t>4018eePP64</t>
  </si>
  <si>
    <t>422065QQ66</t>
  </si>
  <si>
    <t>4422FDRR68</t>
  </si>
  <si>
    <t>4624HGSS70</t>
  </si>
  <si>
    <t>482694TT72</t>
  </si>
  <si>
    <t>502896UUPX</t>
  </si>
  <si>
    <t>523098VVQX</t>
  </si>
  <si>
    <t>543262WcRY</t>
  </si>
  <si>
    <t>563464XdSH</t>
  </si>
  <si>
    <t>583666YeTY</t>
  </si>
  <si>
    <t>603868ZfUH</t>
  </si>
  <si>
    <t>624070I[VG</t>
  </si>
  <si>
    <t>644272JJWb</t>
  </si>
  <si>
    <t>6644XXKKXc</t>
  </si>
  <si>
    <t>6846YALLYd</t>
  </si>
  <si>
    <t>7048ZBMMZe</t>
  </si>
  <si>
    <t>7250CCNNOf</t>
  </si>
  <si>
    <t>7452DDOOTg</t>
  </si>
  <si>
    <t>7654EEPPHh</t>
  </si>
  <si>
    <t>7856FFQQWt</t>
  </si>
  <si>
    <t>8058GvRRXQ</t>
  </si>
  <si>
    <t>8260HwSSYR</t>
  </si>
  <si>
    <t>8462IxTTZZ</t>
  </si>
  <si>
    <t>8664JbUUcj</t>
  </si>
  <si>
    <t>8866KcVVdd</t>
  </si>
  <si>
    <t>9068LLWHee</t>
  </si>
  <si>
    <t>9270MMII65</t>
  </si>
  <si>
    <t>9472NNJY94</t>
  </si>
  <si>
    <t>9674OOKZ96</t>
  </si>
  <si>
    <t>9876PPLL98</t>
  </si>
  <si>
    <t>6278QQMM62</t>
  </si>
  <si>
    <t>6480RRNN64</t>
  </si>
  <si>
    <t>6682SSOO66</t>
  </si>
  <si>
    <t>6884TTWt68</t>
  </si>
  <si>
    <t>7086UdXQ70</t>
  </si>
  <si>
    <t>7288VVYR72</t>
  </si>
  <si>
    <t>7490HRZZ94</t>
  </si>
  <si>
    <t>7692IScj96</t>
  </si>
  <si>
    <t>7894JTdd98</t>
  </si>
  <si>
    <t>8044KU9462</t>
  </si>
  <si>
    <t>8246LV9664</t>
  </si>
  <si>
    <t>8448MW9866</t>
  </si>
  <si>
    <t>8650NX6268</t>
  </si>
  <si>
    <t>8852OY6470</t>
  </si>
  <si>
    <t>9054PZ6672</t>
  </si>
  <si>
    <t>9256QB68NN</t>
  </si>
  <si>
    <t>5958RC70OO</t>
  </si>
  <si>
    <t>6197SD72Wt</t>
  </si>
  <si>
    <t>6361TEFFXQ</t>
  </si>
  <si>
    <t>6563UFGvYR</t>
  </si>
  <si>
    <t>6765VGHwZZ</t>
  </si>
  <si>
    <t>6967WHIxcj</t>
  </si>
  <si>
    <t>7169XIJbPX</t>
  </si>
  <si>
    <t>7371YHKcQX</t>
  </si>
  <si>
    <t>7573ZILLRY</t>
  </si>
  <si>
    <t>7769KJMMSH</t>
  </si>
  <si>
    <t>7971LKNNTY</t>
  </si>
  <si>
    <t>8173MLOOUH</t>
  </si>
  <si>
    <t>8375NMPPVG</t>
  </si>
  <si>
    <t>8577ONQQWb</t>
  </si>
  <si>
    <t>8779PORRXc</t>
  </si>
  <si>
    <t>8981QPSSYd</t>
  </si>
  <si>
    <t>9183RQTTZe</t>
  </si>
  <si>
    <t>9385SRUdOf</t>
  </si>
  <si>
    <t>9587TS94Tg</t>
  </si>
  <si>
    <t>9789UT96Hh</t>
  </si>
  <si>
    <t>6191VU98QQ</t>
  </si>
  <si>
    <t>6388WV62RR</t>
  </si>
  <si>
    <t>6590XW64SS</t>
  </si>
  <si>
    <t>6792MX66TT</t>
  </si>
  <si>
    <t>6916NY68OO</t>
  </si>
  <si>
    <t>7118OK70PP</t>
  </si>
  <si>
    <t>7320PX72QQ</t>
  </si>
  <si>
    <t>7822QXNNRR</t>
  </si>
  <si>
    <t>8024RYOOSS</t>
  </si>
  <si>
    <t>8226SHWtTT</t>
  </si>
  <si>
    <t>8428TYXQUd</t>
  </si>
  <si>
    <t>8616UHYRVV</t>
  </si>
  <si>
    <t>8818VGZZWW</t>
  </si>
  <si>
    <t>9020WbcjXX</t>
  </si>
  <si>
    <t>9222XcddMY</t>
  </si>
  <si>
    <t>5924YdeeNZ</t>
  </si>
  <si>
    <t>6126Ze65OO</t>
  </si>
  <si>
    <t>6328OfPP</t>
  </si>
  <si>
    <t>6530TgXXQQ</t>
  </si>
  <si>
    <t>6732HhYARR</t>
  </si>
  <si>
    <t>6934KiZBSS</t>
  </si>
  <si>
    <t>7136FjCCTT</t>
  </si>
  <si>
    <t>7338DkDDUU</t>
  </si>
  <si>
    <t>7540MlEEVV</t>
  </si>
  <si>
    <t>7742NEFFWc</t>
  </si>
  <si>
    <t>7944OFGvXd</t>
  </si>
  <si>
    <t>8146PGHwYe</t>
  </si>
  <si>
    <t>8348QHIxZf</t>
  </si>
  <si>
    <t>8550RIJbI[</t>
  </si>
  <si>
    <t>8752SJKcJJ</t>
  </si>
  <si>
    <t>8954TKLLKK</t>
  </si>
  <si>
    <t>9156ULMMLL</t>
  </si>
  <si>
    <t>9358VMNNMM</t>
  </si>
  <si>
    <t>9560WNOONN</t>
  </si>
  <si>
    <t>9762XOPPOO</t>
  </si>
  <si>
    <t>6164YPQQPP</t>
  </si>
  <si>
    <t>6366ZQRRQQ</t>
  </si>
  <si>
    <t>6568WR94RR</t>
  </si>
  <si>
    <t>6770XS96SS</t>
  </si>
  <si>
    <t>6972YTOOTT</t>
  </si>
  <si>
    <t>7174ZUWtUU</t>
  </si>
  <si>
    <t>8876AVXQVV</t>
  </si>
  <si>
    <t>9078BWYRWH</t>
  </si>
  <si>
    <t>9280CXZZII</t>
  </si>
  <si>
    <t>1682DYOOJY</t>
  </si>
  <si>
    <t>1884EEWtKZ</t>
  </si>
  <si>
    <t>2086FFXQLL</t>
  </si>
  <si>
    <t>2288GGYRMM</t>
  </si>
  <si>
    <t>2490HHZZNN</t>
  </si>
  <si>
    <t>2692IIcjOO</t>
  </si>
  <si>
    <t>2894JJddWt</t>
  </si>
  <si>
    <t>1671KKeeXQ</t>
  </si>
  <si>
    <t>1873LLWtYR</t>
  </si>
  <si>
    <t>2069MMXQZZ</t>
  </si>
  <si>
    <t>2271NNYRcj</t>
  </si>
  <si>
    <t>2473OdZZdd</t>
  </si>
  <si>
    <t>2675Pecj94</t>
  </si>
  <si>
    <t>2877Qfdd96</t>
  </si>
  <si>
    <t>3079RgL98</t>
  </si>
  <si>
    <t>3281ShM62</t>
  </si>
  <si>
    <t>3483TiN64</t>
  </si>
  <si>
    <t>3685UjO66</t>
  </si>
  <si>
    <t>3887VkW68</t>
  </si>
  <si>
    <t>4089WlX70</t>
  </si>
  <si>
    <t>4291XmY72</t>
  </si>
  <si>
    <t>4488YnZXQ</t>
  </si>
  <si>
    <t>4690ZocYR</t>
  </si>
  <si>
    <t>4892DpdZZ</t>
  </si>
  <si>
    <t>5016Eqecj</t>
  </si>
  <si>
    <t>5218FrWdd</t>
  </si>
  <si>
    <t>5420GsEEee</t>
  </si>
  <si>
    <t>5622HtFF65</t>
  </si>
  <si>
    <t>5824IuGv94</t>
  </si>
  <si>
    <t>6026JaHw96</t>
  </si>
  <si>
    <t>6228KbIx98</t>
  </si>
  <si>
    <t>6416LcJb62</t>
  </si>
  <si>
    <t>6618MdKc64</t>
  </si>
  <si>
    <t>6820NeLL66</t>
  </si>
  <si>
    <t>7022OfMM68</t>
  </si>
  <si>
    <t>7224PgNNL</t>
  </si>
  <si>
    <t>7426QhOOM</t>
  </si>
  <si>
    <t>7628RRPPN</t>
  </si>
  <si>
    <t>7830SSQQO</t>
  </si>
  <si>
    <t>8032TTRRW</t>
  </si>
  <si>
    <t>8234UU91X</t>
  </si>
  <si>
    <t>8436VV93Y</t>
  </si>
  <si>
    <t>8665WW95Z</t>
  </si>
  <si>
    <t>8867XX64c</t>
  </si>
  <si>
    <t>9069YA66d</t>
  </si>
  <si>
    <t>9271ZB68e</t>
  </si>
  <si>
    <t>9473CC70W</t>
  </si>
  <si>
    <t>9675DD72YR</t>
  </si>
  <si>
    <t>9877EE74ZZ</t>
  </si>
  <si>
    <t>6279FF76cj</t>
  </si>
  <si>
    <t>6481Gv78dd</t>
  </si>
  <si>
    <t>6683Hw8094</t>
  </si>
  <si>
    <t>6885Ix8296</t>
  </si>
  <si>
    <t>7087Jb8498</t>
  </si>
  <si>
    <t>7289Kc8662</t>
  </si>
  <si>
    <t>7491LLdd64</t>
  </si>
  <si>
    <t>7693MMSS66</t>
  </si>
  <si>
    <t>7895NNTT68</t>
  </si>
  <si>
    <t>8097OOUd70</t>
  </si>
  <si>
    <t>8261PPVV72</t>
  </si>
  <si>
    <t>8463QQWWLL</t>
  </si>
  <si>
    <t>8665RRXXMM</t>
  </si>
  <si>
    <t>8867SSMYNN</t>
  </si>
  <si>
    <t>9069TTNZOO</t>
  </si>
  <si>
    <t>9271UdOOPP</t>
  </si>
  <si>
    <t>5973VVPPQQ</t>
  </si>
  <si>
    <t>6185WWQQRR</t>
  </si>
  <si>
    <t>6387XXRRSS</t>
  </si>
  <si>
    <t>6589MYSSTT</t>
  </si>
  <si>
    <t>6791NZTTUd</t>
  </si>
  <si>
    <t>6993OOUUVV</t>
  </si>
  <si>
    <t>7195PPVVWW</t>
  </si>
  <si>
    <t>7397QQWcXX</t>
  </si>
  <si>
    <t>7561RREEMY</t>
  </si>
  <si>
    <t>7763SSFFNZ</t>
  </si>
  <si>
    <t>7965TTGvOO</t>
  </si>
  <si>
    <t>8167UUHwPP</t>
  </si>
  <si>
    <t>8369VVIxQQ</t>
  </si>
  <si>
    <t>8571WcJbRR</t>
  </si>
  <si>
    <t>8773XdKcSS</t>
  </si>
  <si>
    <t>8996YeLLTT</t>
  </si>
  <si>
    <t>9198ZfMMUU</t>
  </si>
  <si>
    <t>9362I[NNVV</t>
  </si>
  <si>
    <t>9564JJOOWc</t>
  </si>
  <si>
    <t>9766KKPPXd</t>
  </si>
  <si>
    <t>6168LLQQYe</t>
  </si>
  <si>
    <t>6370MMRRZf</t>
  </si>
  <si>
    <t>6572NNSSI[</t>
  </si>
  <si>
    <t>6774OOTTJJ</t>
  </si>
  <si>
    <t>6976PPUdKK</t>
  </si>
  <si>
    <t>7178QQNNLL</t>
  </si>
  <si>
    <t>7380RROOMM</t>
  </si>
  <si>
    <t>9682SSWtNN</t>
  </si>
  <si>
    <t>9884TTXQOO</t>
  </si>
  <si>
    <t>6286UUYRPP</t>
  </si>
  <si>
    <t>6488VVZZQQ</t>
  </si>
  <si>
    <t>6690WHcjRR</t>
  </si>
  <si>
    <t>6892IISSSS</t>
  </si>
  <si>
    <t>7059JYTTTT</t>
  </si>
  <si>
    <t>7261KZUdUU</t>
  </si>
  <si>
    <t>7463LLVVVV</t>
  </si>
  <si>
    <t>7665MMWWWH</t>
  </si>
  <si>
    <t>7867NNXXII</t>
  </si>
  <si>
    <t>8069OOMYJY</t>
  </si>
  <si>
    <t>8271WtNZKZ</t>
  </si>
  <si>
    <t>8473XQOOLL</t>
  </si>
  <si>
    <t>8675YRPPMM</t>
  </si>
  <si>
    <t>8877ZZQQNN</t>
  </si>
  <si>
    <t>9079cjRROO</t>
  </si>
  <si>
    <t>9281ddSSWt</t>
  </si>
  <si>
    <t>5983eeTTXQ</t>
  </si>
  <si>
    <t>6185MlUUYR</t>
  </si>
  <si>
    <t>6387NEVVZZ</t>
  </si>
  <si>
    <t>6589OFWccj</t>
  </si>
  <si>
    <t>6791PG91</t>
  </si>
  <si>
    <t>6993QHNN93</t>
  </si>
  <si>
    <t>71LLRIOO95</t>
  </si>
  <si>
    <t>73MMSJWt64</t>
  </si>
  <si>
    <t>75NNTKXQ66</t>
  </si>
  <si>
    <t>77OOULYR68</t>
  </si>
  <si>
    <t>79PPVMZZ70</t>
  </si>
  <si>
    <t>81QQWNcj72</t>
  </si>
  <si>
    <t>83RRXO9174</t>
  </si>
  <si>
    <t>85SSYP9376</t>
  </si>
  <si>
    <t>87TTZQ9578</t>
  </si>
  <si>
    <t>89UdWR6480</t>
  </si>
  <si>
    <t>91VVXS6682</t>
  </si>
  <si>
    <t>93WWYT68L</t>
  </si>
  <si>
    <t>95XXZU70M</t>
  </si>
  <si>
    <t>64MYAV72N</t>
  </si>
  <si>
    <t>66NZBW74O</t>
  </si>
  <si>
    <t>68OOCX76W</t>
  </si>
  <si>
    <t>70PPDY78X</t>
  </si>
  <si>
    <t>72QQEE80Y</t>
  </si>
  <si>
    <t>74RRFF82Z</t>
  </si>
  <si>
    <t>76SSGG84c</t>
  </si>
  <si>
    <t>78TTHH86d</t>
  </si>
  <si>
    <t>80UUIIDDe</t>
  </si>
  <si>
    <t>82VVJJEEW</t>
  </si>
  <si>
    <t>84WcKKFFNZ</t>
  </si>
  <si>
    <t>86XdLLGvOO</t>
  </si>
  <si>
    <t>88YeMMHwPP</t>
  </si>
  <si>
    <t>90ZfNNIxQQ</t>
  </si>
  <si>
    <t>92I[OdJbRR</t>
  </si>
  <si>
    <t>59JJPeKcSS</t>
  </si>
  <si>
    <t>61KKQfLLTT</t>
  </si>
  <si>
    <t>63LLRgMMUU</t>
  </si>
  <si>
    <t>65MMShNNL</t>
  </si>
  <si>
    <t>67NNTiOOM</t>
  </si>
  <si>
    <t>68OOUjPPN</t>
  </si>
  <si>
    <t>70PPVkQQO</t>
  </si>
  <si>
    <t>72QQWlRRW</t>
  </si>
  <si>
    <t>74RRDpSSX</t>
  </si>
  <si>
    <t>76SSEqTTY</t>
  </si>
  <si>
    <t>78TTFrUdZ</t>
  </si>
  <si>
    <t>80UUGsVVc</t>
  </si>
  <si>
    <t>82VVHtNNd</t>
  </si>
  <si>
    <t>84WHIuOOe</t>
  </si>
  <si>
    <t>86IIJaWtL</t>
  </si>
  <si>
    <t>88JYKbXQM</t>
  </si>
  <si>
    <t>90KZLcYRN</t>
  </si>
  <si>
    <t>92LLMdZZO</t>
  </si>
  <si>
    <t>59MMNecjW</t>
  </si>
  <si>
    <t>61NNOfddX</t>
  </si>
  <si>
    <t>63OOPgeeY</t>
  </si>
  <si>
    <t>65WtQhLZ</t>
  </si>
  <si>
    <t>67XQRRMc</t>
  </si>
  <si>
    <t>69YRSSNd</t>
  </si>
  <si>
    <t>71ZZTTOe</t>
  </si>
  <si>
    <t>73cjUUWW</t>
  </si>
  <si>
    <t>75ddVVXOO</t>
  </si>
  <si>
    <t>77eeWWYPP</t>
  </si>
  <si>
    <t>7965XXZQQ</t>
  </si>
  <si>
    <t xml:space="preserve">  </t>
  </si>
  <si>
    <t>EO1699OEE</t>
  </si>
  <si>
    <t>F17P1898F</t>
  </si>
  <si>
    <t>G19Q2097G</t>
  </si>
  <si>
    <t>H21R2296H</t>
  </si>
  <si>
    <t>I23S2495I</t>
  </si>
  <si>
    <t>J25T2694J</t>
  </si>
  <si>
    <t>K27U2893K</t>
  </si>
  <si>
    <t>L15V1692L</t>
  </si>
  <si>
    <t>M17W1891M</t>
  </si>
  <si>
    <t>N19X2090N</t>
  </si>
  <si>
    <t>O21Y2289O</t>
  </si>
  <si>
    <t>P23Z2488P</t>
  </si>
  <si>
    <t>Q25B2687Q</t>
  </si>
  <si>
    <t>R27C2886R</t>
  </si>
  <si>
    <t>S29D3085S</t>
  </si>
  <si>
    <t>T31E3284T</t>
  </si>
  <si>
    <t>U33F3483U</t>
  </si>
  <si>
    <t>V35G3682V</t>
  </si>
  <si>
    <t>W37H3881W</t>
  </si>
  <si>
    <t>X39I4080X</t>
  </si>
  <si>
    <t>Y41H4279Y</t>
  </si>
  <si>
    <t>Z43I4478Z</t>
  </si>
  <si>
    <t>K45J4677K</t>
  </si>
  <si>
    <t>L47K4876L</t>
  </si>
  <si>
    <t>M49L5075M</t>
  </si>
  <si>
    <t>N51M5274N</t>
  </si>
  <si>
    <t>O53N5473O</t>
  </si>
  <si>
    <t>P55O5672P</t>
  </si>
  <si>
    <t>Q57P5871Q</t>
  </si>
  <si>
    <t>R59Q6070R</t>
  </si>
  <si>
    <t>S61R6269S</t>
  </si>
  <si>
    <t>T63S6468T</t>
  </si>
  <si>
    <t>U65T6667U</t>
  </si>
  <si>
    <t>V67U6866V</t>
  </si>
  <si>
    <t>W69V7065W</t>
  </si>
  <si>
    <t>X71W7264X</t>
  </si>
  <si>
    <t>M73X7463M</t>
  </si>
  <si>
    <t>N75Y7662N</t>
  </si>
  <si>
    <t>O77K7861O</t>
  </si>
  <si>
    <t>P79X8060P</t>
  </si>
  <si>
    <t>Q81X8259Q</t>
  </si>
  <si>
    <t>R83Y8458R</t>
  </si>
  <si>
    <t>S85H8657S</t>
  </si>
  <si>
    <t>T87Y8856T</t>
  </si>
  <si>
    <t>U89H9055U</t>
  </si>
  <si>
    <t>V91G9254V</t>
  </si>
  <si>
    <t>W93b9453W</t>
  </si>
  <si>
    <t>X95c9652X</t>
  </si>
  <si>
    <t>Y97d9851Y</t>
  </si>
  <si>
    <t>Z61e6250Z</t>
  </si>
  <si>
    <t>O63f6449O</t>
  </si>
  <si>
    <t>T65g6648T</t>
  </si>
  <si>
    <t>H67h6847H</t>
  </si>
  <si>
    <t>K69i7046K</t>
  </si>
  <si>
    <t>F71j7245F</t>
  </si>
  <si>
    <t>D73k7444D</t>
  </si>
  <si>
    <t>M75l7643M</t>
  </si>
  <si>
    <t>42N77NNN77</t>
  </si>
  <si>
    <t>O7941O80O</t>
  </si>
  <si>
    <t>P8140P82P</t>
  </si>
  <si>
    <t>Q8339Q84Q</t>
  </si>
  <si>
    <t>R8538R86R</t>
  </si>
  <si>
    <t>S8737S88S</t>
  </si>
  <si>
    <t>T8936T90T</t>
  </si>
  <si>
    <t>U9135U92U</t>
  </si>
  <si>
    <t>V1534V16V</t>
  </si>
  <si>
    <t>W1733W18W</t>
  </si>
  <si>
    <t>X1932X20X</t>
  </si>
  <si>
    <t>Y2131Y22Y</t>
  </si>
  <si>
    <t>Z2330Z24Z</t>
  </si>
  <si>
    <t>W2529W26W</t>
  </si>
  <si>
    <t>X2828X28X</t>
  </si>
  <si>
    <t>Y2727Y16Y</t>
  </si>
  <si>
    <t>Z2626Z18Z</t>
  </si>
  <si>
    <t>A2525A20A</t>
  </si>
  <si>
    <t>B2424B22B</t>
  </si>
  <si>
    <t>C2323C24C</t>
  </si>
  <si>
    <t>D2222D26D</t>
  </si>
  <si>
    <t>E2121E21E</t>
  </si>
  <si>
    <t>F2020F20F</t>
  </si>
  <si>
    <t>G1919G19G</t>
  </si>
  <si>
    <t>H1818H18H</t>
  </si>
  <si>
    <t>I2525I25I</t>
  </si>
  <si>
    <t>J2626J26J</t>
  </si>
  <si>
    <t>K2727K27K</t>
  </si>
  <si>
    <t>L2828L28L</t>
  </si>
  <si>
    <t>M2929M29M</t>
  </si>
  <si>
    <t>N3030N30N</t>
  </si>
  <si>
    <t>O3131O31O</t>
  </si>
  <si>
    <t>P3232P32P</t>
  </si>
  <si>
    <t>Q3333Q33Q</t>
  </si>
  <si>
    <t>R3434R34R</t>
  </si>
  <si>
    <t>S3535S35S</t>
  </si>
  <si>
    <t>T3636T36T</t>
  </si>
  <si>
    <t>U3737U37U</t>
  </si>
  <si>
    <t>V3838V38V</t>
  </si>
  <si>
    <t>W3939W39W</t>
  </si>
  <si>
    <t>X4040X40X</t>
  </si>
  <si>
    <t>Y4141Y41Y</t>
  </si>
  <si>
    <t>Z4242Z42Z</t>
  </si>
  <si>
    <t>D4343D43D</t>
  </si>
  <si>
    <t>E4444E44E</t>
  </si>
  <si>
    <t>F4545F45F</t>
  </si>
  <si>
    <t>G4646G46G</t>
  </si>
  <si>
    <t>H4747H47H</t>
  </si>
  <si>
    <t>I4848I48I</t>
  </si>
  <si>
    <t>49aJ49JaJ</t>
  </si>
  <si>
    <t>50bK50KbK</t>
  </si>
  <si>
    <t>51cL51LcL</t>
  </si>
  <si>
    <t>52dM52MdM</t>
  </si>
  <si>
    <t>53eN53NeN</t>
  </si>
  <si>
    <t>54fO54OfO</t>
  </si>
  <si>
    <t>55gP55PgP</t>
  </si>
  <si>
    <t>56hQ56QhQ</t>
  </si>
  <si>
    <t>54RR54RRR</t>
  </si>
  <si>
    <t>53SS53SSS</t>
  </si>
  <si>
    <t>52TT52TTT</t>
  </si>
  <si>
    <t>51UU51UUU</t>
  </si>
  <si>
    <t>50VV50VVV</t>
  </si>
  <si>
    <t>49WW49WWW</t>
  </si>
  <si>
    <t>48XX48XXX</t>
  </si>
  <si>
    <t>47AY47YAY</t>
  </si>
  <si>
    <t>46BZ46ZBZ</t>
  </si>
  <si>
    <t>45CC45CCC</t>
  </si>
  <si>
    <t>44DD44DDD</t>
  </si>
  <si>
    <t>43EE43EEE</t>
  </si>
  <si>
    <t>42FF42FFF</t>
  </si>
  <si>
    <t>41vG41GvG</t>
  </si>
  <si>
    <t>40wH40HwH</t>
  </si>
  <si>
    <t>39xI39IxI</t>
  </si>
  <si>
    <t>38bJ38JbJ</t>
  </si>
  <si>
    <t>37cK37KcK</t>
  </si>
  <si>
    <t>36LL36LLL</t>
  </si>
  <si>
    <t>35MM35MMM</t>
  </si>
  <si>
    <t>34NN34NNN</t>
  </si>
  <si>
    <t>33OO33OOO</t>
  </si>
  <si>
    <t>32PP32PPP</t>
  </si>
  <si>
    <t>31QQ31QQQ</t>
  </si>
  <si>
    <t>30RR30RRR</t>
  </si>
  <si>
    <t>29SS29SSS</t>
  </si>
  <si>
    <t>28TT28TTT</t>
  </si>
  <si>
    <t>27dU27UdU</t>
  </si>
  <si>
    <t>26VV26VVV</t>
  </si>
  <si>
    <t>25WW25WWW</t>
  </si>
  <si>
    <t>24XX24XXX</t>
  </si>
  <si>
    <t>23YM23MYM</t>
  </si>
  <si>
    <t>22ZN22NZN</t>
  </si>
  <si>
    <t>21OO21OOO</t>
  </si>
  <si>
    <t>20PP20PPP</t>
  </si>
  <si>
    <t>19QQ19QQQ</t>
  </si>
  <si>
    <t>18RR18RRR</t>
  </si>
  <si>
    <t>17SS17SSS</t>
  </si>
  <si>
    <t>33TT33TTT</t>
  </si>
  <si>
    <t>44UU44UUU</t>
  </si>
  <si>
    <t>55VV55VVV</t>
  </si>
  <si>
    <t>66cW66WcW</t>
  </si>
  <si>
    <t>77dX77XdX</t>
  </si>
  <si>
    <t>88eY88YeY</t>
  </si>
  <si>
    <t>11fZ11ZfZ</t>
  </si>
  <si>
    <t>22WI22IWI</t>
  </si>
  <si>
    <t>33JJ33JJJ</t>
  </si>
  <si>
    <t>44KK44KKK</t>
  </si>
  <si>
    <t>55LL55LLL</t>
  </si>
  <si>
    <t>66MM66MMM</t>
  </si>
  <si>
    <t>77NN77NNN</t>
  </si>
  <si>
    <t>88OO88OOO</t>
  </si>
  <si>
    <t>99PP99PPP</t>
  </si>
  <si>
    <t>97QQ97QQQ</t>
  </si>
  <si>
    <t>95RR95RRR</t>
  </si>
  <si>
    <t>93SS93SSS</t>
  </si>
  <si>
    <t>91TT91TTT</t>
  </si>
  <si>
    <t>89UU89UUU</t>
  </si>
  <si>
    <t>87VV87VVV</t>
  </si>
  <si>
    <t>85HW85WHW</t>
  </si>
  <si>
    <t>83II83III</t>
  </si>
  <si>
    <t>81YJ81JYJ</t>
  </si>
  <si>
    <t>79ZK79KZK</t>
  </si>
  <si>
    <t>77LL77LLL</t>
  </si>
  <si>
    <t>75MM75MMM</t>
  </si>
  <si>
    <t>73NN73NNN</t>
  </si>
  <si>
    <t>71OO71OOO</t>
  </si>
  <si>
    <t>69tD69DtD</t>
  </si>
  <si>
    <t>67QE67EQE</t>
  </si>
  <si>
    <t>65RT65TRT</t>
  </si>
  <si>
    <t>63ZT63TZT</t>
  </si>
  <si>
    <t>61jc61cjc</t>
  </si>
  <si>
    <t>59dd59ddd</t>
  </si>
  <si>
    <t>57ee57eee</t>
  </si>
  <si>
    <t>W55I81W82</t>
  </si>
  <si>
    <t>X53J83X84</t>
  </si>
  <si>
    <t>Y51K85Y86</t>
  </si>
  <si>
    <t>Z49L87Z88</t>
  </si>
  <si>
    <t>MEO47tEOt</t>
  </si>
  <si>
    <t>NFP45JFPJ</t>
  </si>
  <si>
    <t>OGQ43KGQK</t>
  </si>
  <si>
    <t>PHR41LHRL</t>
  </si>
  <si>
    <t>QIS39MISM</t>
  </si>
  <si>
    <t>RJT37NJTN</t>
  </si>
  <si>
    <t>SKU35OKUO</t>
  </si>
  <si>
    <t>TLV33PLVP</t>
  </si>
  <si>
    <t>UMWHKUFRQ</t>
  </si>
  <si>
    <t>VNX29RNXR</t>
  </si>
  <si>
    <t>WOY27SOYS</t>
  </si>
  <si>
    <t>XPZ25TPZT</t>
  </si>
  <si>
    <t>YQB23UQBU</t>
  </si>
  <si>
    <t>ZRC21VRCV</t>
  </si>
  <si>
    <t>CSD19WSDW</t>
  </si>
  <si>
    <t>DTE17XTEX</t>
  </si>
  <si>
    <t>EUF15YUFY</t>
  </si>
  <si>
    <t>FVG13ZVGZ</t>
  </si>
  <si>
    <t>GWH81CWHC</t>
  </si>
  <si>
    <t>HXI83DXID</t>
  </si>
  <si>
    <t>IYH85EYHE</t>
  </si>
  <si>
    <t>JZI87FZIF</t>
  </si>
  <si>
    <t>KKJ89GKJG</t>
  </si>
  <si>
    <t>LLK91HLKH</t>
  </si>
  <si>
    <t>MML93IMLI</t>
  </si>
  <si>
    <t>NNM95JNMJ</t>
  </si>
  <si>
    <t>OON97KONK</t>
  </si>
  <si>
    <t>PPO61LPOL</t>
  </si>
  <si>
    <t>QQP63MQPM</t>
  </si>
  <si>
    <t>RRQ65NRQN</t>
  </si>
  <si>
    <t>SSR67OSRO</t>
  </si>
  <si>
    <t>TTS69PTSP</t>
  </si>
  <si>
    <t>UUT71QUTQ</t>
  </si>
  <si>
    <t>VVU73RVUR</t>
  </si>
  <si>
    <t>WWV75SWVS</t>
  </si>
  <si>
    <t>XXW77TXWT</t>
  </si>
  <si>
    <t>MMX79UMXU</t>
  </si>
  <si>
    <t>NNY81VNYV</t>
  </si>
  <si>
    <t>OOK83WOKW</t>
  </si>
  <si>
    <t>PPX31XPXX</t>
  </si>
  <si>
    <t>QQX33MQXM</t>
  </si>
  <si>
    <t>RRY35NRYN</t>
  </si>
  <si>
    <t>SSH37OSHO</t>
  </si>
  <si>
    <t>TTY39PTYP</t>
  </si>
  <si>
    <t>UUH41QUHQ</t>
  </si>
  <si>
    <t>VVG43RVGR</t>
  </si>
  <si>
    <t>45HwWb91W</t>
  </si>
  <si>
    <t>47IxXc93X</t>
  </si>
  <si>
    <t>49JbYd95Y</t>
  </si>
  <si>
    <t>51KcZe97Z</t>
  </si>
  <si>
    <t>53LLOf61I</t>
  </si>
  <si>
    <t>55HwTg63J</t>
  </si>
  <si>
    <t>57IxHh65K</t>
  </si>
  <si>
    <t>59JbKi67L</t>
  </si>
  <si>
    <t>61KcFj69M</t>
  </si>
  <si>
    <t>63LLDk71N</t>
  </si>
  <si>
    <t>26MMMl73O</t>
  </si>
  <si>
    <t>28QHNE75P</t>
  </si>
  <si>
    <t>16RIOF77Q</t>
  </si>
  <si>
    <t>18SJPG79R</t>
  </si>
  <si>
    <t>20TKQH81S</t>
  </si>
  <si>
    <t>22ULRI83T</t>
  </si>
  <si>
    <t>24VMSJ85U</t>
  </si>
  <si>
    <t>26WNTK87V</t>
  </si>
  <si>
    <t>28LUL89W</t>
  </si>
  <si>
    <t>30MVM91I</t>
  </si>
  <si>
    <t>32NWN15J</t>
  </si>
  <si>
    <t>34OXO17K</t>
  </si>
  <si>
    <t>36WYP19L</t>
  </si>
  <si>
    <t>38XZQ21M</t>
  </si>
  <si>
    <t>40YWR23N</t>
  </si>
  <si>
    <t>42ZXS25O</t>
  </si>
  <si>
    <t>44cYT27W</t>
  </si>
  <si>
    <t>46dZU15X</t>
  </si>
  <si>
    <t>48eAV17Y</t>
  </si>
  <si>
    <t>50WBW19Z</t>
  </si>
  <si>
    <t>52MCX21c</t>
  </si>
  <si>
    <t>54NDY23d</t>
  </si>
  <si>
    <t>56OEE25e</t>
  </si>
  <si>
    <t>58PFF27W</t>
  </si>
  <si>
    <t>95QGG29X</t>
  </si>
  <si>
    <t>97RHH31Y</t>
  </si>
  <si>
    <t>61SII33Z</t>
  </si>
  <si>
    <t>63TJJ35EO</t>
  </si>
  <si>
    <t>65UKK37FP</t>
  </si>
  <si>
    <t>67VLL39GQ</t>
  </si>
  <si>
    <t>69WMM41HR</t>
  </si>
  <si>
    <t>71XNN43IS</t>
  </si>
  <si>
    <t>73YOd45JT</t>
  </si>
  <si>
    <t>75ZPe47KU</t>
  </si>
  <si>
    <t>77CQf49LV</t>
  </si>
  <si>
    <t>79DRg51MW</t>
  </si>
  <si>
    <t>81ESh53NX</t>
  </si>
  <si>
    <t>31FTi55OY</t>
  </si>
  <si>
    <t>33GUj57PZ</t>
  </si>
  <si>
    <t>35HVk59QB</t>
  </si>
  <si>
    <t>37IWl61RC</t>
  </si>
  <si>
    <t>39JXm63SD</t>
  </si>
  <si>
    <t>41KYn65TE</t>
  </si>
  <si>
    <t>43LZo67UF</t>
  </si>
  <si>
    <t>45MDp69VG</t>
  </si>
  <si>
    <t>47NEq71WH</t>
  </si>
  <si>
    <t>49OFr73XI</t>
  </si>
  <si>
    <t>51PGs75YH</t>
  </si>
  <si>
    <t>53QHt77ZI</t>
  </si>
  <si>
    <t>55RIu79KJ</t>
  </si>
  <si>
    <t>57SJa81LK</t>
  </si>
  <si>
    <t>59TKb83ML</t>
  </si>
  <si>
    <t>61ULc85NM</t>
  </si>
  <si>
    <t>63VMd87ON</t>
  </si>
  <si>
    <t>65WNe89PO</t>
  </si>
  <si>
    <t>67XOf91QP</t>
  </si>
  <si>
    <t>26MPg93RQ</t>
  </si>
  <si>
    <t>28NQh95SR</t>
  </si>
  <si>
    <t>16ORR97TS</t>
  </si>
  <si>
    <t>18PSS61UT</t>
  </si>
  <si>
    <t>20QTT63VU</t>
  </si>
  <si>
    <t>22RUU65WV</t>
  </si>
  <si>
    <t>24SVV67XW</t>
  </si>
  <si>
    <t>26TWW69MX</t>
  </si>
  <si>
    <t>28UXX71NY</t>
  </si>
  <si>
    <t>30VYA73OK</t>
  </si>
  <si>
    <t>32WZB75PX</t>
  </si>
  <si>
    <t>34XCC77QX</t>
  </si>
  <si>
    <t>36YDD79XX</t>
  </si>
  <si>
    <t>38ZEE81YA</t>
  </si>
  <si>
    <t>40IFF83ZB</t>
  </si>
  <si>
    <t>42JGv85CC</t>
  </si>
  <si>
    <t>44KHw87DD</t>
  </si>
  <si>
    <t>46LIx89EE</t>
  </si>
  <si>
    <t>48MJb91FF</t>
  </si>
  <si>
    <t>50NKc15Gv</t>
  </si>
  <si>
    <t>52OLL17Hw</t>
  </si>
  <si>
    <t>54PMM19Ix</t>
  </si>
  <si>
    <t>56QNN21Jb</t>
  </si>
  <si>
    <t>58ROO23Kc</t>
  </si>
  <si>
    <t>95SPP25LL</t>
  </si>
  <si>
    <t>97TQQ27MM</t>
  </si>
  <si>
    <t>61URR15NN</t>
  </si>
  <si>
    <t>63VSS17OO</t>
  </si>
  <si>
    <t>65WTT19PP</t>
  </si>
  <si>
    <t>67IUd21QQ</t>
  </si>
  <si>
    <t>69JVV23RR</t>
  </si>
  <si>
    <t>71KWW25SS</t>
  </si>
  <si>
    <t>73LXX27TT</t>
  </si>
  <si>
    <t>75MMY29Ud</t>
  </si>
  <si>
    <t>77NNZ31XX</t>
  </si>
  <si>
    <t>79OOO33YA</t>
  </si>
  <si>
    <t>81WPP35ZB</t>
  </si>
  <si>
    <t>31XQQ37CC</t>
  </si>
  <si>
    <t>33YRR39DD</t>
  </si>
  <si>
    <t>35ZSS41EE</t>
  </si>
  <si>
    <t>37cTT43FF</t>
  </si>
  <si>
    <t>39dUU45Gv</t>
  </si>
  <si>
    <t>41eVV47Hw</t>
  </si>
  <si>
    <t>43WWc49Ix</t>
  </si>
  <si>
    <t>45XXd51Jb</t>
  </si>
  <si>
    <t>47YYe53Kc</t>
  </si>
  <si>
    <t>49ZZf55LL</t>
  </si>
  <si>
    <t>51EOI[57MM</t>
  </si>
  <si>
    <t>53FPJJ59NN</t>
  </si>
  <si>
    <t>55GQKK61OO</t>
  </si>
  <si>
    <t>57HRLL63PP</t>
  </si>
  <si>
    <t>59ISMM65QQ</t>
  </si>
  <si>
    <t>61JTNN67RR</t>
  </si>
  <si>
    <t>63KUOO69SS</t>
  </si>
  <si>
    <t>65LVPP71TT</t>
  </si>
  <si>
    <t>67MWQQ73Ud</t>
  </si>
  <si>
    <t>69NXRR75VV</t>
  </si>
  <si>
    <t>71OYSS77Z</t>
  </si>
  <si>
    <t>26PZTT79C</t>
  </si>
  <si>
    <t>28QBUU81D</t>
  </si>
  <si>
    <t>16RCVV83E</t>
  </si>
  <si>
    <t>18SDWH85F</t>
  </si>
  <si>
    <t>20TEII87G</t>
  </si>
  <si>
    <t>22UFJY89H</t>
  </si>
  <si>
    <t>24VGKZ91I</t>
  </si>
  <si>
    <t>26WHLL93J</t>
  </si>
  <si>
    <t>28XIMM95K</t>
  </si>
  <si>
    <t>30YHNN97L</t>
  </si>
  <si>
    <t>32ZIOO61M</t>
  </si>
  <si>
    <t>34KJWt63N</t>
  </si>
  <si>
    <t>36LKXQ65O</t>
  </si>
  <si>
    <t>38MLYR67P</t>
  </si>
  <si>
    <t>40NMZZ69Q</t>
  </si>
  <si>
    <t>42ONcj71R</t>
  </si>
  <si>
    <t>44POdd73S</t>
  </si>
  <si>
    <t>46QPee75T</t>
  </si>
  <si>
    <t>48RQZ77U</t>
  </si>
  <si>
    <t>50SRc79V</t>
  </si>
  <si>
    <t>52TSd81W</t>
  </si>
  <si>
    <t>54UTe83X</t>
  </si>
  <si>
    <t>56VUW85M</t>
  </si>
  <si>
    <t>58WVX87N</t>
  </si>
  <si>
    <t>87XWY89O</t>
  </si>
  <si>
    <t>89MXZ91P</t>
  </si>
  <si>
    <t>91NYEO15Q</t>
  </si>
  <si>
    <t>93OKFP17R</t>
  </si>
  <si>
    <t>95PXGQ19S</t>
  </si>
  <si>
    <t>97QXHR21T</t>
  </si>
  <si>
    <t>61RCIS23U</t>
  </si>
  <si>
    <t>63SDJT25V</t>
  </si>
  <si>
    <t>65TEKU27W</t>
  </si>
  <si>
    <t>67UFLV15X</t>
  </si>
  <si>
    <t>69VGMW17Y</t>
  </si>
  <si>
    <t>71WHNX19Z</t>
  </si>
  <si>
    <t>73XIOY21I</t>
  </si>
  <si>
    <t>75YHPZ23J</t>
  </si>
  <si>
    <t>77ZIZ25K</t>
  </si>
  <si>
    <t>79KJc27L</t>
  </si>
  <si>
    <t>81LKd29M</t>
  </si>
  <si>
    <t>83MLe31N</t>
  </si>
  <si>
    <t>85NMW33O</t>
  </si>
  <si>
    <t>87ONX35P</t>
  </si>
  <si>
    <t>31POY37Q</t>
  </si>
  <si>
    <t>33QPZ39R</t>
  </si>
  <si>
    <t>35RQEO41S</t>
  </si>
  <si>
    <t>37SRFP43T</t>
  </si>
  <si>
    <t>39TSGQ45U</t>
  </si>
  <si>
    <t>41UTHR47V</t>
  </si>
  <si>
    <t>43VUIS49W</t>
  </si>
  <si>
    <t>45WVJT51I</t>
  </si>
  <si>
    <t>47XWKU53J</t>
  </si>
  <si>
    <t>49MXLV55K</t>
  </si>
  <si>
    <t>51NYMW57L</t>
  </si>
  <si>
    <t>53OKZ59M</t>
  </si>
  <si>
    <t>55PXc61N</t>
  </si>
  <si>
    <t>57QXd63O</t>
  </si>
  <si>
    <t>59RYe65W</t>
  </si>
  <si>
    <t>61SHW67X</t>
  </si>
  <si>
    <t>63TYX69Y</t>
  </si>
  <si>
    <t>65UHY71Z</t>
  </si>
  <si>
    <t>67VGZ73c</t>
  </si>
  <si>
    <t>69WbEO75d</t>
  </si>
  <si>
    <t>71XcFP77e</t>
  </si>
  <si>
    <t>73YdGQ79W</t>
  </si>
  <si>
    <t>75ZeHR81X</t>
  </si>
  <si>
    <t>77OfIS83Y</t>
  </si>
  <si>
    <t>79TgJT85Z</t>
  </si>
  <si>
    <t>81HhKU87EO</t>
  </si>
  <si>
    <t>68KiLV89FP</t>
  </si>
  <si>
    <t>70FjMW91GQ</t>
  </si>
  <si>
    <t>72DkNX93HR</t>
  </si>
  <si>
    <t>74MlOY95IS</t>
  </si>
  <si>
    <t>76NEPZ97JT</t>
  </si>
  <si>
    <t>78OFQB61KU</t>
  </si>
  <si>
    <t>80PGK63LV</t>
  </si>
  <si>
    <t>82QHL65MW</t>
  </si>
  <si>
    <t>84RIM67NX</t>
  </si>
  <si>
    <t>86SJN69OY</t>
  </si>
  <si>
    <t>88TKO71PZ</t>
  </si>
  <si>
    <t>90ULP73QB</t>
  </si>
  <si>
    <t>92VMQ75RC</t>
  </si>
  <si>
    <t>59WNR77SD</t>
  </si>
  <si>
    <t>61XOS79TE</t>
  </si>
  <si>
    <t>63YPT81UF</t>
  </si>
  <si>
    <t>65ZQU83VG</t>
  </si>
  <si>
    <t>67WRV85WH</t>
  </si>
  <si>
    <t>69XSW87XI</t>
  </si>
  <si>
    <t>71YTX89YH</t>
  </si>
  <si>
    <t>73ZUY91ZI</t>
  </si>
  <si>
    <t>75AVZ88KJ</t>
  </si>
  <si>
    <t>77BWC90LK</t>
  </si>
  <si>
    <t>79CXD92ML</t>
  </si>
  <si>
    <t>81DYE16NM</t>
  </si>
  <si>
    <t>83EEF18ON</t>
  </si>
  <si>
    <t>85FFG20PO</t>
  </si>
  <si>
    <t>87GGH22QP</t>
  </si>
  <si>
    <t>89HHI24RQ</t>
  </si>
  <si>
    <t>91IIJ26SR</t>
  </si>
  <si>
    <t>93JJK28TS</t>
  </si>
  <si>
    <t>95KKL16UT</t>
  </si>
  <si>
    <t>LLLM18VU</t>
  </si>
  <si>
    <t>MMMN20WV</t>
  </si>
  <si>
    <t>NNNO22XW</t>
  </si>
  <si>
    <t>OOdP24MX</t>
  </si>
  <si>
    <t>WPeQ26NY</t>
  </si>
  <si>
    <t>XQfR28OK</t>
  </si>
  <si>
    <t>YRgS30Z</t>
  </si>
  <si>
    <t>ZShT32c</t>
  </si>
  <si>
    <t>cTiU34d</t>
  </si>
  <si>
    <t>dUjV36e</t>
  </si>
  <si>
    <t>eVkW38W</t>
  </si>
  <si>
    <t>WWlX40X</t>
  </si>
  <si>
    <t>78XmM42Y</t>
  </si>
  <si>
    <t>80YnN44Z</t>
  </si>
  <si>
    <t>82ZoO46EO</t>
  </si>
  <si>
    <t>84DpP48FP</t>
  </si>
  <si>
    <t>86EqQ50GQ</t>
  </si>
  <si>
    <t>88FrR52HR</t>
  </si>
  <si>
    <t>90GsS54IS</t>
  </si>
  <si>
    <t>92HtT56JT</t>
  </si>
  <si>
    <t>59IuU58KU</t>
  </si>
  <si>
    <t>61JaV60LV</t>
  </si>
  <si>
    <t>63KbW62MW</t>
  </si>
  <si>
    <t>65LcX64NX</t>
  </si>
  <si>
    <t>67MdY66OY</t>
  </si>
  <si>
    <t>69NeZ68PZ</t>
  </si>
  <si>
    <t>71OfI70K</t>
  </si>
  <si>
    <t>73PgJ72L</t>
  </si>
  <si>
    <t>75QhK74M</t>
  </si>
  <si>
    <t>77RRL76N</t>
  </si>
  <si>
    <t>79SSM78O</t>
  </si>
  <si>
    <t>81TTN80W</t>
  </si>
  <si>
    <t>83UUO82X</t>
  </si>
  <si>
    <t>85VVP84Y</t>
  </si>
  <si>
    <t>87WWQ86Z</t>
  </si>
  <si>
    <t>89XXR88c</t>
  </si>
  <si>
    <t>91YAS90d</t>
  </si>
  <si>
    <t>68ZBT92e</t>
  </si>
  <si>
    <t>70CCU94W</t>
  </si>
  <si>
    <t>72DDV96X</t>
  </si>
  <si>
    <t>74EEW98Y</t>
  </si>
  <si>
    <t>76FFI62Z</t>
  </si>
  <si>
    <t>78GvJ64EO</t>
  </si>
  <si>
    <t>80HwK66FP</t>
  </si>
  <si>
    <t>82IxL68GQ</t>
  </si>
  <si>
    <t>84JbM70HR</t>
  </si>
  <si>
    <t>86KcN72IS</t>
  </si>
  <si>
    <t>88LLO74JT</t>
  </si>
  <si>
    <t>90MMW76KU</t>
  </si>
  <si>
    <t>92NNX78LV</t>
  </si>
  <si>
    <t>59OOY80MW</t>
  </si>
  <si>
    <t>61PPZ82NX</t>
  </si>
  <si>
    <t>63QQc84OY</t>
  </si>
  <si>
    <t>65RRd86PZ</t>
  </si>
  <si>
    <t>67SSe88QB</t>
  </si>
  <si>
    <t>69TTW90RC</t>
  </si>
  <si>
    <t>71UdX92SD</t>
  </si>
  <si>
    <t>73VVY59TE</t>
  </si>
  <si>
    <t>75WWZ61UF</t>
  </si>
  <si>
    <t>77XXEO63VG</t>
  </si>
  <si>
    <t>79MYFP65WH</t>
  </si>
  <si>
    <t>81NZGQ67XI</t>
  </si>
  <si>
    <t>83OOHR69YH</t>
  </si>
  <si>
    <t>85PPIS71ZI</t>
  </si>
  <si>
    <t>87QQJT73KJ</t>
  </si>
  <si>
    <t>89RRKU75LK</t>
  </si>
  <si>
    <t>91SSLV77ML</t>
  </si>
  <si>
    <t>93TTMW79NM</t>
  </si>
  <si>
    <t>95UUNX81ON</t>
  </si>
  <si>
    <t>97VVOY83PO</t>
  </si>
  <si>
    <t>73WcPZ85QP</t>
  </si>
  <si>
    <t>69XdQB87RQ</t>
  </si>
  <si>
    <t>71YeRC89SR</t>
  </si>
  <si>
    <t>73ZfSD91TS</t>
  </si>
  <si>
    <t>75I[TE93UT</t>
  </si>
  <si>
    <t>77JJUF95VU</t>
  </si>
  <si>
    <t>79KKVG97WV</t>
  </si>
  <si>
    <t>81LLWH61XW</t>
  </si>
  <si>
    <t>83MMXI63MX</t>
  </si>
  <si>
    <t>85NNYH88L</t>
  </si>
  <si>
    <t>87OOZI90M</t>
  </si>
  <si>
    <t>89PPKJ92N</t>
  </si>
  <si>
    <t>91QQLK16O</t>
  </si>
  <si>
    <t>88RRML18W</t>
  </si>
  <si>
    <t>90SSNM20X</t>
  </si>
  <si>
    <t>92TTON22Y</t>
  </si>
  <si>
    <t>16UUPO24Z</t>
  </si>
  <si>
    <t>18VVQP26c</t>
  </si>
  <si>
    <t>20WHRQ28d</t>
  </si>
  <si>
    <t>22IISR16e</t>
  </si>
  <si>
    <t>24JYTS18W</t>
  </si>
  <si>
    <t>26KZUT20KU</t>
  </si>
  <si>
    <t>28LLVU22LV</t>
  </si>
  <si>
    <t>16MMWV24MW</t>
  </si>
  <si>
    <t>18NNXW26NX</t>
  </si>
  <si>
    <t>20OOMX28OY</t>
  </si>
  <si>
    <t>22WtNY30PZ</t>
  </si>
  <si>
    <t>24XQL32QB</t>
  </si>
  <si>
    <t>26YRM34RC</t>
  </si>
  <si>
    <t>28ZZN36SD</t>
  </si>
  <si>
    <t>30cjO38TE</t>
  </si>
  <si>
    <t>32ddW40UF</t>
  </si>
  <si>
    <t>34eeX42VG</t>
  </si>
  <si>
    <t>3632HhY44WH</t>
  </si>
  <si>
    <t>3834KiZ46XI</t>
  </si>
  <si>
    <t>4036Fjc48YH</t>
  </si>
  <si>
    <t>3038Dkd50TY</t>
  </si>
  <si>
    <t>3240Mle52UH</t>
  </si>
  <si>
    <t>3442NEW54VG</t>
  </si>
  <si>
    <t>9744OFLV56Wb</t>
  </si>
  <si>
    <t>6146PGMW58Xc</t>
  </si>
  <si>
    <t>6348QHNX60Yd</t>
  </si>
  <si>
    <t>6550RIOY62Ze</t>
  </si>
  <si>
    <t>6752SJPZ64Of</t>
  </si>
  <si>
    <t>6954TKQB66Tg</t>
  </si>
  <si>
    <t>7156ULRC68Hh</t>
  </si>
  <si>
    <t>7358VMSD70Ki</t>
  </si>
  <si>
    <t>6960WNTE72Fj</t>
  </si>
  <si>
    <t>7162XOUF74Dk</t>
  </si>
  <si>
    <t>7364YPVG76Ml</t>
  </si>
  <si>
    <t>7566ZQWH78NE</t>
  </si>
  <si>
    <t>7768WRXI80OF</t>
  </si>
  <si>
    <t>7970XSYH82PG</t>
  </si>
  <si>
    <t>8172YTZI84QH</t>
  </si>
  <si>
    <t>8374ZUKJ86RI</t>
  </si>
  <si>
    <t>8576AVLK88SJ</t>
  </si>
  <si>
    <t>8778BWML90TK</t>
  </si>
  <si>
    <t>8980CXNM92UL</t>
  </si>
  <si>
    <t>9182DYON94VM</t>
  </si>
  <si>
    <t>8884EEPO96WN</t>
  </si>
  <si>
    <t>9086FFQP98XO</t>
  </si>
  <si>
    <t>9288GGRQ62YP</t>
  </si>
  <si>
    <t>1690HHSR64ZQ</t>
  </si>
  <si>
    <t>1892IITS66WR</t>
  </si>
  <si>
    <t>2094JJUT68XS</t>
  </si>
  <si>
    <t>2271KKVU70YT</t>
  </si>
  <si>
    <t>2473LLWV72ZU</t>
  </si>
  <si>
    <t>2669MMXW74AV</t>
  </si>
  <si>
    <t>2871NNMX76BW</t>
  </si>
  <si>
    <t>1673OdNY78CX</t>
  </si>
  <si>
    <t>1875PeOK80DY</t>
  </si>
  <si>
    <t>9777QfPX82EE</t>
  </si>
  <si>
    <t>6179RgQX84FF</t>
  </si>
  <si>
    <t>6381ShRY86GG</t>
  </si>
  <si>
    <t>6583TiSH88HH</t>
  </si>
  <si>
    <t>6785UjTY90II</t>
  </si>
  <si>
    <t>6987VkUH92JJ</t>
  </si>
  <si>
    <t>7189WlVG59KK</t>
  </si>
  <si>
    <t>7391XmWb61LL</t>
  </si>
  <si>
    <t>6988YnXc63MM</t>
  </si>
  <si>
    <t>7190ZoYd65NN</t>
  </si>
  <si>
    <t>7392DpZe67Od</t>
  </si>
  <si>
    <t>7516EqOf69Pe</t>
  </si>
  <si>
    <t>7718FrTg71Qf</t>
  </si>
  <si>
    <t>7920GsHh73Rg</t>
  </si>
  <si>
    <t>8122HtKi75Sh</t>
  </si>
  <si>
    <t>8324IuFj77Ti</t>
  </si>
  <si>
    <t>8526JaDk79LL</t>
  </si>
  <si>
    <t>8728KbMl81MM</t>
  </si>
  <si>
    <t>8916LcNE83NN</t>
  </si>
  <si>
    <t>9118MdOF85OO</t>
  </si>
  <si>
    <t>8820NePG87PP</t>
  </si>
  <si>
    <t>9022OfQH89QQ</t>
  </si>
  <si>
    <t>9224PgRI91RR</t>
  </si>
  <si>
    <t>1626QhSJ93SS</t>
  </si>
  <si>
    <t>1828RRTK95TT</t>
  </si>
  <si>
    <t>2030SSUL97Ud</t>
  </si>
  <si>
    <t>2232TTVM61VV</t>
  </si>
  <si>
    <t>2434UUWN63WW</t>
  </si>
  <si>
    <t>26HwXO65XX</t>
  </si>
  <si>
    <t>28IxYP67MY</t>
  </si>
  <si>
    <t>16JbZQ69NZ</t>
  </si>
  <si>
    <t>18KcWR71OO</t>
  </si>
  <si>
    <t>20LLXS73PP</t>
  </si>
  <si>
    <t>22HwYT63QQ</t>
  </si>
  <si>
    <t>24IxZU65RR</t>
  </si>
  <si>
    <t>26JbAV67SS</t>
  </si>
  <si>
    <t>28KcBW69TT</t>
  </si>
  <si>
    <t>30LLCX71UU</t>
  </si>
  <si>
    <t>32MMDY73VV</t>
  </si>
  <si>
    <t>34CCEE75Wc</t>
  </si>
  <si>
    <t>36DDFF77Xd</t>
  </si>
  <si>
    <t>38EEGG88Ye</t>
  </si>
  <si>
    <t>40FFHH90Zf</t>
  </si>
  <si>
    <t>89GvII92I[</t>
  </si>
  <si>
    <t>91HwJJ16JJ</t>
  </si>
  <si>
    <t>88IxKK18KK</t>
  </si>
  <si>
    <t>90JbLL20LL</t>
  </si>
  <si>
    <t>92KcMM22MM</t>
  </si>
  <si>
    <t>16LLNN24NN</t>
  </si>
  <si>
    <t>18MMOd26OO</t>
  </si>
  <si>
    <t>20NNPe28PP</t>
  </si>
  <si>
    <t>22OOQf16QQ</t>
  </si>
  <si>
    <t>24PPRg18RR</t>
  </si>
  <si>
    <t>26QQSh20SS</t>
  </si>
  <si>
    <t>28RRTi22TT</t>
  </si>
  <si>
    <t>16SSUj24UU</t>
  </si>
  <si>
    <t>18TTVk26VV</t>
  </si>
  <si>
    <t>20UdWl28WH</t>
  </si>
  <si>
    <t>22VVXm30II</t>
  </si>
  <si>
    <t>24XXYn32JY</t>
  </si>
  <si>
    <t>26YAZo34KZ</t>
  </si>
  <si>
    <t>28ZBDp36LL</t>
  </si>
  <si>
    <t>30CCEq38MM</t>
  </si>
  <si>
    <t>97DDFr40NN</t>
  </si>
  <si>
    <t>61EEGs42OO</t>
  </si>
  <si>
    <t>63FFHt44Wt</t>
  </si>
  <si>
    <t>65GvIu46XQ</t>
  </si>
  <si>
    <t>67HwJa48YR</t>
  </si>
  <si>
    <t>69IxKb50ZZ</t>
  </si>
  <si>
    <t>71JbLc52cj</t>
  </si>
  <si>
    <t>73KcMd54dd</t>
  </si>
  <si>
    <t>69LLNe56XX</t>
  </si>
  <si>
    <t>71MMOf58YA</t>
  </si>
  <si>
    <t>73NNPg60ZB</t>
  </si>
  <si>
    <t>75OOQh62CC</t>
  </si>
  <si>
    <t>77PPRR64DD</t>
  </si>
  <si>
    <t>79QQSS66EE</t>
  </si>
  <si>
    <t>81RRTT68FF</t>
  </si>
  <si>
    <t>83SSUU70Gv</t>
  </si>
  <si>
    <t>85HwVV72Hw</t>
  </si>
  <si>
    <t>87IxWW74Ix</t>
  </si>
  <si>
    <t>89JbXX76Jb</t>
  </si>
  <si>
    <t>91KcYA78Kc</t>
  </si>
  <si>
    <t>88LLZB80LL</t>
  </si>
  <si>
    <t>90MMCC82MM</t>
  </si>
  <si>
    <t>92NNDD84NN</t>
  </si>
  <si>
    <t>16OOEE86OO</t>
  </si>
  <si>
    <t>18WtFF88PP</t>
  </si>
  <si>
    <t>20XQGv90QQ</t>
  </si>
  <si>
    <t>22YRHw92RR</t>
  </si>
  <si>
    <t>24ZZIx94SS</t>
  </si>
  <si>
    <t>26cjJb96TT</t>
  </si>
  <si>
    <t>28ddKc98Ud</t>
  </si>
  <si>
    <t>16eeLL62VV</t>
  </si>
  <si>
    <t>1865MM64</t>
  </si>
  <si>
    <t>2094NN66</t>
  </si>
  <si>
    <t>2296OO68NN</t>
  </si>
  <si>
    <t>2498PP70OO</t>
  </si>
  <si>
    <t>2662QQ72Wt</t>
  </si>
  <si>
    <t>2864RR74XQ</t>
  </si>
  <si>
    <t>3066SS76YR</t>
  </si>
  <si>
    <t>3268TT78ZZ</t>
  </si>
  <si>
    <t>3470Ud80cj</t>
  </si>
  <si>
    <t>3672VV82dd</t>
  </si>
  <si>
    <t>38XQWW84ee</t>
  </si>
  <si>
    <t>40YRXX8694</t>
  </si>
  <si>
    <t>90ZZMY8896</t>
  </si>
  <si>
    <t>92cjNZ9098</t>
  </si>
  <si>
    <t>16ddOO9262</t>
  </si>
  <si>
    <t>18eePP5964</t>
  </si>
  <si>
    <t>2065QQ6166</t>
  </si>
  <si>
    <t>22FDRR6368</t>
  </si>
  <si>
    <t>24HGSS6570</t>
  </si>
  <si>
    <t>2694TT6772</t>
  </si>
  <si>
    <t>2896UU69PX</t>
  </si>
  <si>
    <t>3098VV71QX</t>
  </si>
  <si>
    <t>3262Wc73RY</t>
  </si>
  <si>
    <t>3464Xd75SH</t>
  </si>
  <si>
    <t>3666Ye77TY</t>
  </si>
  <si>
    <t>3868Zf79UH</t>
  </si>
  <si>
    <t>4070I[81VG</t>
  </si>
  <si>
    <t>4272JJ83Wb</t>
  </si>
  <si>
    <t>44XXKK85Xc</t>
  </si>
  <si>
    <t>46YALL87Yd</t>
  </si>
  <si>
    <t>48ZBMM89Ze</t>
  </si>
  <si>
    <t>50CCNN91Of</t>
  </si>
  <si>
    <t>52DDOO93Tg</t>
  </si>
  <si>
    <t>54EEPP95Hh</t>
  </si>
  <si>
    <t>56FFQQ97Wt</t>
  </si>
  <si>
    <t>58GvRR61XQ</t>
  </si>
  <si>
    <t>60HwSS63YR</t>
  </si>
  <si>
    <t>62IxTT65ZZ</t>
  </si>
  <si>
    <t>64JbUU67cj</t>
  </si>
  <si>
    <t>66KcVV69dd</t>
  </si>
  <si>
    <t>68LLWH71ee</t>
  </si>
  <si>
    <t>70MMII7365</t>
  </si>
  <si>
    <t>72NNJY6994</t>
  </si>
  <si>
    <t>74OOKZ7196</t>
  </si>
  <si>
    <t>76PPLL7398</t>
  </si>
  <si>
    <t>78QQMM7562</t>
  </si>
  <si>
    <t>80RRNN7764</t>
  </si>
  <si>
    <t>82SSOO7966</t>
  </si>
  <si>
    <t>84TTWt8168</t>
  </si>
  <si>
    <t>86UdXQ8370</t>
  </si>
  <si>
    <t>88VVYR8572</t>
  </si>
  <si>
    <t>90HRZZ8794</t>
  </si>
  <si>
    <t>92IScj8996</t>
  </si>
  <si>
    <t>94JTdd9198</t>
  </si>
  <si>
    <t>44KU948862</t>
  </si>
  <si>
    <t>46LV969064</t>
  </si>
  <si>
    <t>48MW989266</t>
  </si>
  <si>
    <t>50NX621668</t>
  </si>
  <si>
    <t>52OY641870</t>
  </si>
  <si>
    <t>54PZ662072</t>
  </si>
  <si>
    <t>56QB6822NN</t>
  </si>
  <si>
    <t>58RC7024OO</t>
  </si>
  <si>
    <t>97SD7226Wt</t>
  </si>
  <si>
    <t>61TEFF28XQ</t>
  </si>
  <si>
    <t>63UFGv16YR</t>
  </si>
  <si>
    <t>65VGHw18ZZ</t>
  </si>
  <si>
    <t>67WHIx20cj</t>
  </si>
  <si>
    <t>69XIJb22PX</t>
  </si>
  <si>
    <t>71YHKc24QX</t>
  </si>
  <si>
    <t>73ZILL26RY</t>
  </si>
  <si>
    <t>69KJMM28SH</t>
  </si>
  <si>
    <t>71LKNN30TY</t>
  </si>
  <si>
    <t>73MLOO32UH</t>
  </si>
  <si>
    <t>75NMPP34VG</t>
  </si>
  <si>
    <t>77ONQQ36Wb</t>
  </si>
  <si>
    <t>79PORR38Xc</t>
  </si>
  <si>
    <t>81QPSS40Yd</t>
  </si>
  <si>
    <t>83RQTT42Ze</t>
  </si>
  <si>
    <t>85SRUd44Of</t>
  </si>
  <si>
    <t>87TS9446Tg</t>
  </si>
  <si>
    <t>89UT9648Hh</t>
  </si>
  <si>
    <t>91VU9850QQ</t>
  </si>
  <si>
    <t>88WV6252RR</t>
  </si>
  <si>
    <t>90XW6454SS</t>
  </si>
  <si>
    <t>92MX6656TT</t>
  </si>
  <si>
    <t>16NY6858OO</t>
  </si>
  <si>
    <t>18OK7060PP</t>
  </si>
  <si>
    <t>20PX7262QQ</t>
  </si>
  <si>
    <t>22QXNN64RR</t>
  </si>
  <si>
    <t>24RYOO66SS</t>
  </si>
  <si>
    <t>26SHWt68TT</t>
  </si>
  <si>
    <t>28TYXQ70Ud</t>
  </si>
  <si>
    <t>16UHYR72VV</t>
  </si>
  <si>
    <t>18VGZZ74WW</t>
  </si>
  <si>
    <t>20Wbcj76XX</t>
  </si>
  <si>
    <t>22Xcdd78MY</t>
  </si>
  <si>
    <t>24Ydee80NZ</t>
  </si>
  <si>
    <t>26Ze6582OO</t>
  </si>
  <si>
    <t>28Of84PP</t>
  </si>
  <si>
    <t>30TgXX86QQ</t>
  </si>
  <si>
    <t>32HhYA88RR</t>
  </si>
  <si>
    <t>34KiZB90SS</t>
  </si>
  <si>
    <t>36FjCC92TT</t>
  </si>
  <si>
    <t>38DkDD94UU</t>
  </si>
  <si>
    <t>40MlEE96VV</t>
  </si>
  <si>
    <t>42NEFF98Wc</t>
  </si>
  <si>
    <t>44OFGv62Xd</t>
  </si>
  <si>
    <t>46PGHw64Ye</t>
  </si>
  <si>
    <t>48QHIx66Zf</t>
  </si>
  <si>
    <t>50RIJb68I[</t>
  </si>
  <si>
    <t>52SJKc70JJ</t>
  </si>
  <si>
    <t>54TKLL72KK</t>
  </si>
  <si>
    <t>56ULMM74LL</t>
  </si>
  <si>
    <t>58VMNN76MM</t>
  </si>
  <si>
    <t>60WNOO78NN</t>
  </si>
  <si>
    <t>62XOPP80OO</t>
  </si>
  <si>
    <t>64YPQQ82PP</t>
  </si>
  <si>
    <t>66ZQRR84QQ</t>
  </si>
  <si>
    <t>68WR9486RR</t>
  </si>
  <si>
    <t>70XS9688SS</t>
  </si>
  <si>
    <t>72YTOO90TT</t>
  </si>
  <si>
    <t>74ZUWt92UU</t>
  </si>
  <si>
    <t>76AVXQ59VV</t>
  </si>
  <si>
    <t>78BWYR61WH</t>
  </si>
  <si>
    <t>80CXZZ63II</t>
  </si>
  <si>
    <t>82DYOO65JY</t>
  </si>
  <si>
    <t>84EEWt67KZ</t>
  </si>
  <si>
    <t>86FFXQ69LL</t>
  </si>
  <si>
    <t>88GGYR71MM</t>
  </si>
  <si>
    <t>90HHZZ73NN</t>
  </si>
  <si>
    <t>92IIcj75OO</t>
  </si>
  <si>
    <t>94JJdd77Wt</t>
  </si>
  <si>
    <t>71KKee79XQ</t>
  </si>
  <si>
    <t>73LLWt81YR</t>
  </si>
  <si>
    <t>69MMXQ83ZZ</t>
  </si>
  <si>
    <t>71NNYR85cj</t>
  </si>
  <si>
    <t>73OdZZ87dd</t>
  </si>
  <si>
    <t>75Pecj8994</t>
  </si>
  <si>
    <t>77Qfdd9196</t>
  </si>
  <si>
    <t>79RgL9398</t>
  </si>
  <si>
    <t>81ShM9562</t>
  </si>
  <si>
    <t>83TiN9764</t>
  </si>
  <si>
    <t>85UjO6166</t>
  </si>
  <si>
    <t>87VkW6368</t>
  </si>
  <si>
    <t>89WlX6570</t>
  </si>
  <si>
    <t>91XmY6772</t>
  </si>
  <si>
    <t>88YnZ69XQ</t>
  </si>
  <si>
    <t>90Zoc71YR</t>
  </si>
  <si>
    <t>92Dpd73ZZ</t>
  </si>
  <si>
    <t>16Eqe85cj</t>
  </si>
  <si>
    <t>18FrW87dd</t>
  </si>
  <si>
    <t>20GsEE89ee</t>
  </si>
  <si>
    <t>22HtFF9165</t>
  </si>
  <si>
    <t>24IuGv9394</t>
  </si>
  <si>
    <t>26JaHw9596</t>
  </si>
  <si>
    <t>28KbIx9798</t>
  </si>
  <si>
    <t>16LcJb6162</t>
  </si>
  <si>
    <t>18MdKc6364</t>
  </si>
  <si>
    <t>20NeLL6566</t>
  </si>
  <si>
    <t>22OfMM6768</t>
  </si>
  <si>
    <t>24PgNN69L</t>
  </si>
  <si>
    <t>26QhOO71M</t>
  </si>
  <si>
    <t>28RRPP73N</t>
  </si>
  <si>
    <t>30SSQQ96O</t>
  </si>
  <si>
    <t>32TTRR98W</t>
  </si>
  <si>
    <t>34UU9162X</t>
  </si>
  <si>
    <t>36VV9364Y</t>
  </si>
  <si>
    <t>65WW9566Z</t>
  </si>
  <si>
    <t>67XX6468c</t>
  </si>
  <si>
    <t>69YA6670d</t>
  </si>
  <si>
    <t>71ZB6872e</t>
  </si>
  <si>
    <t>73CC7074W</t>
  </si>
  <si>
    <t>75DD7276YR</t>
  </si>
  <si>
    <t>77EE7478ZZ</t>
  </si>
  <si>
    <t>79FF7680cj</t>
  </si>
  <si>
    <t>81Gv7882dd</t>
  </si>
  <si>
    <t>83Hw808494</t>
  </si>
  <si>
    <t>85Ix828696</t>
  </si>
  <si>
    <t>87Jb848898</t>
  </si>
  <si>
    <t>89Kc869062</t>
  </si>
  <si>
    <t>91LLdd9264</t>
  </si>
  <si>
    <t>93MMSS5966</t>
  </si>
  <si>
    <t>95NNTT6168</t>
  </si>
  <si>
    <t>97OOUd6370</t>
  </si>
  <si>
    <t>61PPVV6572</t>
  </si>
  <si>
    <t>63QQWW67LL</t>
  </si>
  <si>
    <t>65RRXX69MM</t>
  </si>
  <si>
    <t>67SSMY71NN</t>
  </si>
  <si>
    <t>69TTNZ73OO</t>
  </si>
  <si>
    <t>71UdOO75PP</t>
  </si>
  <si>
    <t>73VVPP77QQ</t>
  </si>
  <si>
    <t>85WWQQ79RR</t>
  </si>
  <si>
    <t>87XXRR81SS</t>
  </si>
  <si>
    <t>89MYSS83TT</t>
  </si>
  <si>
    <t>91NZTT85Ud</t>
  </si>
  <si>
    <t>93OOUU87VV</t>
  </si>
  <si>
    <t>95PPVV89WW</t>
  </si>
  <si>
    <t>97QQWc91XX</t>
  </si>
  <si>
    <t>61RREE93MY</t>
  </si>
  <si>
    <t>63SSFF95NZ</t>
  </si>
  <si>
    <t>65TTGv97OO</t>
  </si>
  <si>
    <t>67UUHw96PP</t>
  </si>
  <si>
    <t>69VVIx98QQ</t>
  </si>
  <si>
    <t>71WcJb62RR</t>
  </si>
  <si>
    <t>73XdKc64SS</t>
  </si>
  <si>
    <t>96YeLL66TT</t>
  </si>
  <si>
    <t>98ZfMM68UU</t>
  </si>
  <si>
    <t>62I[NN70VV</t>
  </si>
  <si>
    <t>64JJOO72Wc</t>
  </si>
  <si>
    <t>66KKPP74Xd</t>
  </si>
  <si>
    <t>68LLQQ76Ye</t>
  </si>
  <si>
    <t>70MMRR78Zf</t>
  </si>
  <si>
    <t>72NNSS80I[</t>
  </si>
  <si>
    <t>74OOTT82JJ</t>
  </si>
  <si>
    <t>76PPUd84KK</t>
  </si>
  <si>
    <t>78QQNN86LL</t>
  </si>
  <si>
    <t>80RROO88MM</t>
  </si>
  <si>
    <t>82SSWt90NN</t>
  </si>
  <si>
    <t>84TTXQ92OO</t>
  </si>
  <si>
    <t>86UUYR59PP</t>
  </si>
  <si>
    <t>88VVZZ61QQ</t>
  </si>
  <si>
    <t>90WHcj63RR</t>
  </si>
  <si>
    <t>92IISS65SS</t>
  </si>
  <si>
    <t>59JYTT67TT</t>
  </si>
  <si>
    <t>61KZUd69UU</t>
  </si>
  <si>
    <t>63LLVV71VV</t>
  </si>
  <si>
    <t>65MMWW73WH</t>
  </si>
  <si>
    <t>67NNXX75II</t>
  </si>
  <si>
    <t>69OOMY77JY</t>
  </si>
  <si>
    <t>71WtNZ79KZ</t>
  </si>
  <si>
    <t>73XQOO81LL</t>
  </si>
  <si>
    <t>75YRPP83MM</t>
  </si>
  <si>
    <t>77ZZQQ85NN</t>
  </si>
  <si>
    <t>79cjRR87OO</t>
  </si>
  <si>
    <t>81ddSS96Wt</t>
  </si>
  <si>
    <t>83eeTT98XQ</t>
  </si>
  <si>
    <t>85MlUU62YR</t>
  </si>
  <si>
    <t>87NEVV64ZZ</t>
  </si>
  <si>
    <t>89OFWc66cj</t>
  </si>
  <si>
    <t>91PG6891</t>
  </si>
  <si>
    <t>93QHNN7093</t>
  </si>
  <si>
    <t>LLRIOO7295</t>
  </si>
  <si>
    <t>MMSJWt7464</t>
  </si>
  <si>
    <t>NNTKXQ7666</t>
  </si>
  <si>
    <t>OOULYR7868</t>
  </si>
  <si>
    <t>PPVMZZ8070</t>
  </si>
  <si>
    <t>QQWNcj8272</t>
  </si>
  <si>
    <t>RRXO91LL74</t>
  </si>
  <si>
    <t>SSYP93MM76</t>
  </si>
  <si>
    <t>TTZQ95NN78</t>
  </si>
  <si>
    <t>UdWR64OO80</t>
  </si>
  <si>
    <t>VVXS66PP82</t>
  </si>
  <si>
    <t>WWYT68QQL</t>
  </si>
  <si>
    <t>XXZU70RRM</t>
  </si>
  <si>
    <t>MYAV72SSN</t>
  </si>
  <si>
    <t>NZBW74TTO</t>
  </si>
  <si>
    <t>OOCX76UdW</t>
  </si>
  <si>
    <t>PPDY78VVX</t>
  </si>
  <si>
    <t>QQEE80WWY</t>
  </si>
  <si>
    <t>RRFF82XXZ</t>
  </si>
  <si>
    <t>SSGG84MYc</t>
  </si>
  <si>
    <t>TTHH86NZd</t>
  </si>
  <si>
    <t>UUIIDDOOe</t>
  </si>
  <si>
    <t>VVJJEEPPW</t>
  </si>
  <si>
    <t>WcKKFFQQNZ</t>
  </si>
  <si>
    <t>XdLLGvRROO</t>
  </si>
  <si>
    <t>YeMMHwSSPP</t>
  </si>
  <si>
    <t>ZfNNIxTTQQ</t>
  </si>
  <si>
    <t>I[OdJbUURR</t>
  </si>
  <si>
    <t>JJPeKcVVSS</t>
  </si>
  <si>
    <t>KKQfLLWcTT</t>
  </si>
  <si>
    <t>LLRgMMXdUU</t>
  </si>
  <si>
    <t>MMShNNYeL</t>
  </si>
  <si>
    <t>NNTiOOZfM</t>
  </si>
  <si>
    <t>OOUjPPI[N</t>
  </si>
  <si>
    <t>PPVkQQJJO</t>
  </si>
  <si>
    <t>QQWlRRKKW</t>
  </si>
  <si>
    <t>RRDpSSLLX</t>
  </si>
  <si>
    <t>SSEqTTMMY</t>
  </si>
  <si>
    <t>TTFrUdNNZ</t>
  </si>
  <si>
    <t>UUGsVVOOc</t>
  </si>
  <si>
    <t>VVHtNNPPd</t>
  </si>
  <si>
    <t>WHIuOOQQe</t>
  </si>
  <si>
    <t>IIJaWtRRL</t>
  </si>
  <si>
    <t>JYKbXQSSM</t>
  </si>
  <si>
    <t>KZLcYRTTN</t>
  </si>
  <si>
    <t>LLMdZZUUO</t>
  </si>
  <si>
    <t>MMNecjVVW</t>
  </si>
  <si>
    <t>NNOfddWHX</t>
  </si>
  <si>
    <t>OOPgeeIIY</t>
  </si>
  <si>
    <t>WtQhLJYZ</t>
  </si>
  <si>
    <t>XQRRMKZc</t>
  </si>
  <si>
    <t>YRSSNLLd</t>
  </si>
  <si>
    <t>ZZTTOMMe</t>
  </si>
  <si>
    <t>cjUUWNNW</t>
  </si>
  <si>
    <t>ddVVXOOOO</t>
  </si>
  <si>
    <t>eeWWYWtPP</t>
  </si>
  <si>
    <t>65XXZXQQQ</t>
  </si>
  <si>
    <t>Trade</t>
  </si>
  <si>
    <t>Count</t>
  </si>
  <si>
    <t>P-1 PLAN (11,000)</t>
  </si>
  <si>
    <t>P2 PLAN (22000)</t>
  </si>
  <si>
    <t>P3 PLAN (33000)</t>
  </si>
  <si>
    <t>P4 PLAN (44000)</t>
  </si>
  <si>
    <t>P5 PLAN (55000)</t>
  </si>
  <si>
    <t>Trade Value</t>
  </si>
  <si>
    <t>Profit</t>
  </si>
  <si>
    <t>Compounding</t>
  </si>
  <si>
    <t xml:space="preserve">Market </t>
  </si>
  <si>
    <t>Position</t>
  </si>
  <si>
    <t>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</si>
</sst>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9" fontId="0" fillId="2" borderId="0" xfId="0" applyNumberFormat="1" applyFill="1"/>
    <xf numFmtId="0" fontId="3" fillId="0" borderId="0" xfId="0" applyFont="1" applyAlignment="1">
      <alignment wrapText="1"/>
    </xf>
    <xf numFmtId="10" fontId="0" fillId="0" borderId="0" xfId="0" applyNumberFormat="1"/>
    <xf numFmtId="9" fontId="0" fillId="0" borderId="0" xfId="0" applyNumberFormat="1"/>
    <xf numFmtId="0" fontId="2" fillId="3" borderId="0" xfId="0" applyFont="1" applyFill="1"/>
    <xf numFmtId="10" fontId="2" fillId="3" borderId="0" xfId="0" applyNumberFormat="1" applyFont="1" applyFill="1"/>
    <xf numFmtId="0" fontId="4" fillId="3" borderId="0" xfId="0" applyFont="1" applyFill="1"/>
    <xf numFmtId="0" fontId="2" fillId="2" borderId="0" xfId="0" applyFont="1" applyFill="1"/>
    <xf numFmtId="9" fontId="2" fillId="2" borderId="0" xfId="0" applyNumberFormat="1" applyFont="1" applyFill="1"/>
    <xf numFmtId="0" fontId="2" fillId="4" borderId="0" xfId="0" applyFont="1" applyFill="1"/>
    <xf numFmtId="9" fontId="2" fillId="4" borderId="0" xfId="0" applyNumberFormat="1" applyFont="1" applyFill="1"/>
    <xf numFmtId="0" fontId="5" fillId="5" borderId="0" xfId="0" applyFont="1" applyFill="1"/>
    <xf numFmtId="0" fontId="6" fillId="5" borderId="0" xfId="0" applyFont="1" applyFill="1"/>
    <xf numFmtId="0" fontId="7" fillId="0" borderId="0" xfId="0" applyFont="1"/>
    <xf numFmtId="9" fontId="0" fillId="0" borderId="0" xfId="1" applyFont="1"/>
    <xf numFmtId="0" fontId="7" fillId="0" borderId="0" xfId="0" applyFont="1" applyFill="1"/>
    <xf numFmtId="10" fontId="2" fillId="2" borderId="0" xfId="0" applyNumberFormat="1" applyFont="1" applyFill="1"/>
    <xf numFmtId="0" fontId="4" fillId="2" borderId="0" xfId="0" applyFont="1" applyFill="1"/>
    <xf numFmtId="0" fontId="8" fillId="0" borderId="0" xfId="0" applyFont="1"/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70"/>
  <sheetViews>
    <sheetView workbookViewId="0">
      <selection activeCell="C21" sqref="C21"/>
    </sheetView>
  </sheetViews>
  <sheetFormatPr defaultRowHeight="14.5" x14ac:dyDescent="0.35"/>
  <cols>
    <col min="15" max="15" width="11.81640625" bestFit="1" customWidth="1"/>
    <col min="16" max="16" width="12.54296875" bestFit="1" customWidth="1"/>
    <col min="18" max="18" width="13.7265625" bestFit="1" customWidth="1"/>
  </cols>
  <sheetData>
    <row r="2" spans="1:18" x14ac:dyDescent="0.35">
      <c r="B2" t="s">
        <v>2379</v>
      </c>
      <c r="D2" s="1"/>
      <c r="E2" s="1" t="s">
        <v>2</v>
      </c>
      <c r="F2" s="1" t="s">
        <v>2376</v>
      </c>
      <c r="G2" s="2" t="s">
        <v>2377</v>
      </c>
      <c r="H2" s="1" t="s">
        <v>2378</v>
      </c>
      <c r="I2" s="1"/>
      <c r="J2" s="1"/>
      <c r="K2" s="1" t="s">
        <v>2381</v>
      </c>
      <c r="L2" s="1"/>
      <c r="M2" s="1"/>
      <c r="N2" s="1" t="s">
        <v>2376</v>
      </c>
      <c r="O2" s="2" t="s">
        <v>2377</v>
      </c>
      <c r="P2" s="1" t="s">
        <v>2378</v>
      </c>
      <c r="Q2" s="1"/>
      <c r="R2" s="1"/>
    </row>
    <row r="3" spans="1:18" x14ac:dyDescent="0.35">
      <c r="B3" t="s">
        <v>2380</v>
      </c>
      <c r="C3" s="3" t="s">
        <v>1</v>
      </c>
      <c r="E3" t="s">
        <v>0</v>
      </c>
      <c r="F3" s="4" t="s">
        <v>0</v>
      </c>
      <c r="G3" s="5">
        <v>0.25119999999999998</v>
      </c>
      <c r="K3" t="s">
        <v>2380</v>
      </c>
      <c r="L3" s="3" t="s">
        <v>1</v>
      </c>
      <c r="N3" s="4" t="s">
        <v>0</v>
      </c>
      <c r="O3" s="4">
        <v>0.25059999999999999</v>
      </c>
      <c r="R3" t="s">
        <v>3</v>
      </c>
    </row>
    <row r="4" spans="1:18" s="6" customFormat="1" x14ac:dyDescent="0.35">
      <c r="A4" s="6" t="s">
        <v>4</v>
      </c>
      <c r="B4" s="6" t="s">
        <v>5</v>
      </c>
      <c r="C4" s="6">
        <v>1</v>
      </c>
      <c r="D4" s="7">
        <v>1.5E-3</v>
      </c>
      <c r="E4" s="6">
        <v>11000</v>
      </c>
      <c r="F4" s="8">
        <f>E4*0.15%</f>
        <v>16.5</v>
      </c>
      <c r="G4" s="9">
        <f>F4*25.2%</f>
        <v>4.1580000000000004</v>
      </c>
      <c r="H4" s="6">
        <f>G4+E4</f>
        <v>11004.157999999999</v>
      </c>
      <c r="I4" s="10">
        <v>0.27</v>
      </c>
      <c r="J4" s="10"/>
      <c r="K4" s="10" t="s">
        <v>6</v>
      </c>
      <c r="L4" s="6">
        <v>2</v>
      </c>
      <c r="M4" s="7">
        <v>1E-3</v>
      </c>
      <c r="N4" s="6">
        <f>H4*0.1%</f>
        <v>11.004158</v>
      </c>
      <c r="O4" s="11">
        <f>N4*25.2%</f>
        <v>2.7730478160000001</v>
      </c>
      <c r="P4" s="6">
        <f>O4+H4</f>
        <v>11006.931047815999</v>
      </c>
      <c r="Q4" s="12">
        <v>0.35</v>
      </c>
      <c r="R4" s="6">
        <f>O4+G4</f>
        <v>6.9310478160000004</v>
      </c>
    </row>
    <row r="5" spans="1:18" x14ac:dyDescent="0.35">
      <c r="A5" t="s">
        <v>7</v>
      </c>
      <c r="B5" t="s">
        <v>5</v>
      </c>
      <c r="C5">
        <v>3</v>
      </c>
      <c r="E5">
        <f>P4</f>
        <v>11006.931047815999</v>
      </c>
      <c r="F5" s="8">
        <f t="shared" ref="F5:F8" si="0">E5*0.15%</f>
        <v>16.510396571723998</v>
      </c>
      <c r="G5" s="9">
        <f t="shared" ref="G5:G68" si="1">F5*25.2%</f>
        <v>4.1606199360744478</v>
      </c>
      <c r="H5">
        <f t="shared" ref="H5:H68" si="2">G5+E5</f>
        <v>11011.091667752073</v>
      </c>
      <c r="K5" t="s">
        <v>6</v>
      </c>
      <c r="L5">
        <v>4</v>
      </c>
      <c r="N5" s="6">
        <f t="shared" ref="N5:N8" si="3">H5*0.1%</f>
        <v>11.011091667752073</v>
      </c>
      <c r="O5" s="11">
        <f t="shared" ref="O5:O68" si="4">N5*25.2%</f>
        <v>2.7747951002735225</v>
      </c>
      <c r="P5">
        <f t="shared" ref="P5:P68" si="5">O5+H5</f>
        <v>11013.866462852346</v>
      </c>
      <c r="R5">
        <f t="shared" ref="R5:R68" si="6">O5+G5</f>
        <v>6.9354150363479707</v>
      </c>
    </row>
    <row r="6" spans="1:18" x14ac:dyDescent="0.35">
      <c r="A6" t="s">
        <v>8</v>
      </c>
      <c r="B6" t="s">
        <v>5</v>
      </c>
      <c r="C6">
        <v>5</v>
      </c>
      <c r="E6">
        <f t="shared" ref="E6:E69" si="7">P5</f>
        <v>11013.866462852346</v>
      </c>
      <c r="F6" s="8">
        <f t="shared" si="0"/>
        <v>16.520799694278519</v>
      </c>
      <c r="G6" s="9">
        <f t="shared" si="1"/>
        <v>4.1632415229581872</v>
      </c>
      <c r="H6">
        <f t="shared" si="2"/>
        <v>11018.029704375303</v>
      </c>
      <c r="K6" t="s">
        <v>6</v>
      </c>
      <c r="L6">
        <v>6</v>
      </c>
      <c r="N6" s="6">
        <f t="shared" si="3"/>
        <v>11.018029704375303</v>
      </c>
      <c r="O6" s="11">
        <f t="shared" si="4"/>
        <v>2.7765434855025766</v>
      </c>
      <c r="P6">
        <f t="shared" si="5"/>
        <v>11020.806247860806</v>
      </c>
      <c r="R6">
        <f t="shared" si="6"/>
        <v>6.9397850084607633</v>
      </c>
    </row>
    <row r="7" spans="1:18" x14ac:dyDescent="0.35">
      <c r="A7" t="s">
        <v>9</v>
      </c>
      <c r="B7" t="s">
        <v>5</v>
      </c>
      <c r="C7">
        <v>7</v>
      </c>
      <c r="E7">
        <f t="shared" si="7"/>
        <v>11020.806247860806</v>
      </c>
      <c r="F7" s="8">
        <f t="shared" si="0"/>
        <v>16.53120937179121</v>
      </c>
      <c r="G7" s="9">
        <f t="shared" si="1"/>
        <v>4.1658647616913846</v>
      </c>
      <c r="H7">
        <f t="shared" si="2"/>
        <v>11024.972112622498</v>
      </c>
      <c r="K7" t="s">
        <v>6</v>
      </c>
      <c r="L7">
        <v>8</v>
      </c>
      <c r="N7" s="6">
        <f t="shared" si="3"/>
        <v>11.024972112622498</v>
      </c>
      <c r="O7" s="11">
        <f t="shared" si="4"/>
        <v>2.7782929723808696</v>
      </c>
      <c r="P7">
        <f t="shared" si="5"/>
        <v>11027.750405594879</v>
      </c>
      <c r="R7">
        <f t="shared" si="6"/>
        <v>6.9441577340722542</v>
      </c>
    </row>
    <row r="8" spans="1:18" x14ac:dyDescent="0.35">
      <c r="A8" t="s">
        <v>10</v>
      </c>
      <c r="B8" t="s">
        <v>5</v>
      </c>
      <c r="C8">
        <v>9</v>
      </c>
      <c r="E8">
        <f t="shared" si="7"/>
        <v>11027.750405594879</v>
      </c>
      <c r="F8" s="8">
        <f t="shared" si="0"/>
        <v>16.541625608392319</v>
      </c>
      <c r="G8" s="9">
        <f t="shared" si="1"/>
        <v>4.1684896533148645</v>
      </c>
      <c r="H8">
        <f t="shared" si="2"/>
        <v>11031.918895248195</v>
      </c>
      <c r="K8" t="s">
        <v>6</v>
      </c>
      <c r="L8">
        <v>10</v>
      </c>
      <c r="N8" s="6">
        <f t="shared" si="3"/>
        <v>11.031918895248195</v>
      </c>
      <c r="O8" s="11">
        <f t="shared" si="4"/>
        <v>2.780043561602545</v>
      </c>
      <c r="P8">
        <f t="shared" si="5"/>
        <v>11034.698938809797</v>
      </c>
      <c r="R8">
        <f t="shared" si="6"/>
        <v>6.9485332149174095</v>
      </c>
    </row>
    <row r="9" spans="1:18" s="6" customFormat="1" x14ac:dyDescent="0.35">
      <c r="A9" s="6" t="s">
        <v>11</v>
      </c>
      <c r="B9" s="6" t="s">
        <v>6</v>
      </c>
      <c r="C9" s="6">
        <v>11</v>
      </c>
      <c r="D9" s="7">
        <v>5.0000000000000001E-4</v>
      </c>
      <c r="E9" s="6">
        <f t="shared" si="7"/>
        <v>11034.698938809797</v>
      </c>
      <c r="F9" s="8">
        <f>E9*0.05%</f>
        <v>5.5173494694048983</v>
      </c>
      <c r="G9" s="9">
        <f t="shared" si="1"/>
        <v>1.3903720662900343</v>
      </c>
      <c r="H9" s="6">
        <f t="shared" si="2"/>
        <v>11036.089310876087</v>
      </c>
      <c r="K9" s="6" t="s">
        <v>12</v>
      </c>
      <c r="L9" s="6">
        <v>12</v>
      </c>
      <c r="M9" s="7">
        <v>2E-3</v>
      </c>
      <c r="N9" s="6">
        <f>H9*0.2%</f>
        <v>22.072178621752172</v>
      </c>
      <c r="O9" s="11">
        <f t="shared" si="4"/>
        <v>5.5621890126815474</v>
      </c>
      <c r="P9" s="6">
        <f t="shared" si="5"/>
        <v>11041.651499888769</v>
      </c>
      <c r="R9" s="6">
        <f t="shared" si="6"/>
        <v>6.9525610789715815</v>
      </c>
    </row>
    <row r="10" spans="1:18" x14ac:dyDescent="0.35">
      <c r="A10" t="s">
        <v>13</v>
      </c>
      <c r="B10" t="s">
        <v>6</v>
      </c>
      <c r="C10">
        <v>13</v>
      </c>
      <c r="E10">
        <f t="shared" si="7"/>
        <v>11041.651499888769</v>
      </c>
      <c r="F10" s="8">
        <f t="shared" ref="F10:F13" si="8">E10*0.05%</f>
        <v>5.5208257499443842</v>
      </c>
      <c r="G10" s="9">
        <f t="shared" si="1"/>
        <v>1.3912480889859848</v>
      </c>
      <c r="H10">
        <f t="shared" si="2"/>
        <v>11043.042747977755</v>
      </c>
      <c r="K10" t="s">
        <v>12</v>
      </c>
      <c r="L10">
        <v>14</v>
      </c>
      <c r="N10" s="6">
        <f t="shared" ref="N10:N13" si="9">H10*0.2%</f>
        <v>22.086085495955512</v>
      </c>
      <c r="O10" s="11">
        <f t="shared" si="4"/>
        <v>5.5656935449807889</v>
      </c>
      <c r="P10">
        <f t="shared" si="5"/>
        <v>11048.608441522736</v>
      </c>
      <c r="R10">
        <f t="shared" si="6"/>
        <v>6.9569416339667738</v>
      </c>
    </row>
    <row r="11" spans="1:18" x14ac:dyDescent="0.35">
      <c r="A11" t="s">
        <v>14</v>
      </c>
      <c r="B11" t="s">
        <v>6</v>
      </c>
      <c r="C11">
        <v>15</v>
      </c>
      <c r="E11">
        <f t="shared" si="7"/>
        <v>11048.608441522736</v>
      </c>
      <c r="F11" s="8">
        <f t="shared" si="8"/>
        <v>5.5243042207613682</v>
      </c>
      <c r="G11" s="9">
        <f t="shared" si="1"/>
        <v>1.3921246636318647</v>
      </c>
      <c r="H11">
        <f t="shared" si="2"/>
        <v>11050.000566186367</v>
      </c>
      <c r="K11" t="s">
        <v>12</v>
      </c>
      <c r="L11">
        <v>16</v>
      </c>
      <c r="N11" s="6">
        <f t="shared" si="9"/>
        <v>22.100001132372736</v>
      </c>
      <c r="O11" s="11">
        <f t="shared" si="4"/>
        <v>5.5692002853579297</v>
      </c>
      <c r="P11">
        <f t="shared" si="5"/>
        <v>11055.569766471725</v>
      </c>
      <c r="R11">
        <f t="shared" si="6"/>
        <v>6.9613249489897946</v>
      </c>
    </row>
    <row r="12" spans="1:18" x14ac:dyDescent="0.35">
      <c r="A12" t="s">
        <v>15</v>
      </c>
      <c r="B12" t="s">
        <v>6</v>
      </c>
      <c r="C12">
        <v>17</v>
      </c>
      <c r="E12">
        <f t="shared" si="7"/>
        <v>11055.569766471725</v>
      </c>
      <c r="F12" s="8">
        <f t="shared" si="8"/>
        <v>5.5277848832358627</v>
      </c>
      <c r="G12" s="9">
        <f t="shared" si="1"/>
        <v>1.3930017905754375</v>
      </c>
      <c r="H12">
        <f t="shared" si="2"/>
        <v>11056.9627682623</v>
      </c>
      <c r="K12" t="s">
        <v>12</v>
      </c>
      <c r="L12">
        <v>18</v>
      </c>
      <c r="N12" s="6">
        <f t="shared" si="9"/>
        <v>22.113925536524601</v>
      </c>
      <c r="O12" s="11">
        <f t="shared" si="4"/>
        <v>5.5727092352041998</v>
      </c>
      <c r="P12">
        <f t="shared" si="5"/>
        <v>11062.535477497504</v>
      </c>
      <c r="R12">
        <f t="shared" si="6"/>
        <v>6.9657110257796369</v>
      </c>
    </row>
    <row r="13" spans="1:18" x14ac:dyDescent="0.35">
      <c r="A13" t="s">
        <v>16</v>
      </c>
      <c r="B13" t="s">
        <v>6</v>
      </c>
      <c r="C13">
        <v>19</v>
      </c>
      <c r="E13">
        <f t="shared" si="7"/>
        <v>11062.535477497504</v>
      </c>
      <c r="F13" s="8">
        <f t="shared" si="8"/>
        <v>5.5312677387487517</v>
      </c>
      <c r="G13" s="9">
        <f t="shared" si="1"/>
        <v>1.3938794701646855</v>
      </c>
      <c r="H13">
        <f t="shared" si="2"/>
        <v>11063.929356967668</v>
      </c>
      <c r="K13" t="s">
        <v>12</v>
      </c>
      <c r="L13">
        <v>20</v>
      </c>
      <c r="N13" s="6">
        <f t="shared" si="9"/>
        <v>22.127858713935336</v>
      </c>
      <c r="O13" s="11">
        <f t="shared" si="4"/>
        <v>5.5762203959117045</v>
      </c>
      <c r="P13">
        <f t="shared" si="5"/>
        <v>11069.50557736358</v>
      </c>
      <c r="R13">
        <f t="shared" si="6"/>
        <v>6.9700998660763904</v>
      </c>
    </row>
    <row r="14" spans="1:18" s="6" customFormat="1" x14ac:dyDescent="0.35">
      <c r="A14" s="6" t="s">
        <v>17</v>
      </c>
      <c r="B14" s="6" t="s">
        <v>6</v>
      </c>
      <c r="C14" s="6">
        <v>21</v>
      </c>
      <c r="D14" s="7">
        <v>1.5E-3</v>
      </c>
      <c r="E14" s="6">
        <f t="shared" si="7"/>
        <v>11069.50557736358</v>
      </c>
      <c r="F14" s="8">
        <f>E14*0.15%</f>
        <v>16.604258366045368</v>
      </c>
      <c r="G14" s="9">
        <f t="shared" si="1"/>
        <v>4.184273108243433</v>
      </c>
      <c r="H14" s="6">
        <f t="shared" si="2"/>
        <v>11073.689850471823</v>
      </c>
      <c r="K14" s="6" t="s">
        <v>6</v>
      </c>
      <c r="L14" s="6">
        <v>22</v>
      </c>
      <c r="M14" s="7">
        <v>1E-3</v>
      </c>
      <c r="N14" s="6">
        <f>H14*0.1%</f>
        <v>11.073689850471823</v>
      </c>
      <c r="O14" s="11">
        <f t="shared" si="4"/>
        <v>2.7905698423188992</v>
      </c>
      <c r="P14" s="6">
        <f t="shared" si="5"/>
        <v>11076.480420314141</v>
      </c>
      <c r="R14" s="6">
        <f t="shared" si="6"/>
        <v>6.9748429505623317</v>
      </c>
    </row>
    <row r="15" spans="1:18" x14ac:dyDescent="0.35">
      <c r="A15" t="s">
        <v>18</v>
      </c>
      <c r="B15" t="s">
        <v>6</v>
      </c>
      <c r="C15">
        <v>23</v>
      </c>
      <c r="E15">
        <f t="shared" si="7"/>
        <v>11076.480420314141</v>
      </c>
      <c r="F15" s="8">
        <f t="shared" ref="F15:F18" si="10">E15*0.15%</f>
        <v>16.614720630471211</v>
      </c>
      <c r="G15" s="9">
        <f t="shared" si="1"/>
        <v>4.1869095988787457</v>
      </c>
      <c r="H15">
        <f t="shared" si="2"/>
        <v>11080.66732991302</v>
      </c>
      <c r="K15" t="s">
        <v>6</v>
      </c>
      <c r="L15">
        <v>24</v>
      </c>
      <c r="N15" s="6">
        <f t="shared" ref="N15:N18" si="11">H15*0.1%</f>
        <v>11.08066732991302</v>
      </c>
      <c r="O15" s="11">
        <f t="shared" si="4"/>
        <v>2.7923281671380811</v>
      </c>
      <c r="P15">
        <f t="shared" si="5"/>
        <v>11083.459658080157</v>
      </c>
      <c r="R15">
        <f t="shared" si="6"/>
        <v>6.9792377660168263</v>
      </c>
    </row>
    <row r="16" spans="1:18" x14ac:dyDescent="0.35">
      <c r="A16" t="s">
        <v>19</v>
      </c>
      <c r="B16" t="s">
        <v>6</v>
      </c>
      <c r="C16">
        <v>25</v>
      </c>
      <c r="E16">
        <f t="shared" si="7"/>
        <v>11083.459658080157</v>
      </c>
      <c r="F16" s="8">
        <f t="shared" si="10"/>
        <v>16.625189487120235</v>
      </c>
      <c r="G16" s="9">
        <f t="shared" si="1"/>
        <v>4.1895477507542989</v>
      </c>
      <c r="H16">
        <f t="shared" si="2"/>
        <v>11087.649205830912</v>
      </c>
      <c r="K16" t="s">
        <v>6</v>
      </c>
      <c r="L16">
        <v>26</v>
      </c>
      <c r="N16" s="6">
        <f t="shared" si="11"/>
        <v>11.087649205830912</v>
      </c>
      <c r="O16" s="11">
        <f t="shared" si="4"/>
        <v>2.7940875998693899</v>
      </c>
      <c r="P16">
        <f t="shared" si="5"/>
        <v>11090.443293430782</v>
      </c>
      <c r="R16">
        <f t="shared" si="6"/>
        <v>6.9836353506236888</v>
      </c>
    </row>
    <row r="17" spans="1:18" x14ac:dyDescent="0.35">
      <c r="A17" t="s">
        <v>20</v>
      </c>
      <c r="B17" t="s">
        <v>6</v>
      </c>
      <c r="C17">
        <v>27</v>
      </c>
      <c r="E17">
        <f t="shared" si="7"/>
        <v>11090.443293430782</v>
      </c>
      <c r="F17" s="8">
        <f t="shared" si="10"/>
        <v>16.635664940146174</v>
      </c>
      <c r="G17" s="9">
        <f t="shared" si="1"/>
        <v>4.1921875649168356</v>
      </c>
      <c r="H17">
        <f t="shared" si="2"/>
        <v>11094.635480995699</v>
      </c>
      <c r="K17" t="s">
        <v>6</v>
      </c>
      <c r="L17">
        <v>28</v>
      </c>
      <c r="N17" s="6">
        <f t="shared" si="11"/>
        <v>11.094635480995699</v>
      </c>
      <c r="O17" s="11">
        <f t="shared" si="4"/>
        <v>2.7958481412109162</v>
      </c>
      <c r="P17">
        <f t="shared" si="5"/>
        <v>11097.431329136911</v>
      </c>
      <c r="R17">
        <f t="shared" si="6"/>
        <v>6.9880357061277518</v>
      </c>
    </row>
    <row r="18" spans="1:18" x14ac:dyDescent="0.35">
      <c r="A18" t="s">
        <v>21</v>
      </c>
      <c r="B18" t="s">
        <v>6</v>
      </c>
      <c r="C18">
        <v>29</v>
      </c>
      <c r="E18">
        <f t="shared" si="7"/>
        <v>11097.431329136911</v>
      </c>
      <c r="F18" s="8">
        <f t="shared" si="10"/>
        <v>16.646146993705365</v>
      </c>
      <c r="G18" s="9">
        <f t="shared" si="1"/>
        <v>4.194829042413752</v>
      </c>
      <c r="H18">
        <f t="shared" si="2"/>
        <v>11101.626158179324</v>
      </c>
      <c r="K18" t="s">
        <v>6</v>
      </c>
      <c r="L18">
        <v>30</v>
      </c>
      <c r="N18" s="6">
        <f t="shared" si="11"/>
        <v>11.101626158179325</v>
      </c>
      <c r="O18" s="11">
        <f t="shared" si="4"/>
        <v>2.79760979186119</v>
      </c>
      <c r="P18">
        <f t="shared" si="5"/>
        <v>11104.423767971186</v>
      </c>
      <c r="R18">
        <f t="shared" si="6"/>
        <v>6.9924388342749424</v>
      </c>
    </row>
    <row r="19" spans="1:18" s="6" customFormat="1" x14ac:dyDescent="0.35">
      <c r="A19" s="6" t="s">
        <v>22</v>
      </c>
      <c r="B19" s="6" t="s">
        <v>5</v>
      </c>
      <c r="C19" s="6">
        <v>31</v>
      </c>
      <c r="D19" s="7">
        <v>2E-3</v>
      </c>
      <c r="E19" s="6">
        <f t="shared" si="7"/>
        <v>11104.423767971186</v>
      </c>
      <c r="F19" s="8">
        <f>E19*0.2%</f>
        <v>22.208847535942372</v>
      </c>
      <c r="G19" s="9">
        <f t="shared" si="1"/>
        <v>5.5966295790574776</v>
      </c>
      <c r="H19" s="6">
        <f t="shared" si="2"/>
        <v>11110.020397550243</v>
      </c>
      <c r="K19" s="6" t="s">
        <v>12</v>
      </c>
      <c r="L19" s="6">
        <v>32</v>
      </c>
      <c r="M19" s="7">
        <v>2.5000000000000001E-3</v>
      </c>
      <c r="N19" s="6">
        <f>H19*0.25%</f>
        <v>27.775050993875606</v>
      </c>
      <c r="O19" s="11">
        <f t="shared" si="4"/>
        <v>6.9993128504566524</v>
      </c>
      <c r="P19" s="6">
        <f t="shared" si="5"/>
        <v>11117.0197104007</v>
      </c>
      <c r="R19" s="6">
        <f t="shared" si="6"/>
        <v>12.59594242951413</v>
      </c>
    </row>
    <row r="20" spans="1:18" x14ac:dyDescent="0.35">
      <c r="A20" t="s">
        <v>23</v>
      </c>
      <c r="B20" t="s">
        <v>5</v>
      </c>
      <c r="C20">
        <v>33</v>
      </c>
      <c r="E20">
        <f t="shared" si="7"/>
        <v>11117.0197104007</v>
      </c>
      <c r="F20" s="8">
        <f t="shared" ref="F20:F23" si="12">E20*0.2%</f>
        <v>22.234039420801402</v>
      </c>
      <c r="G20" s="9">
        <f t="shared" si="1"/>
        <v>5.6029779340419532</v>
      </c>
      <c r="H20">
        <f t="shared" si="2"/>
        <v>11122.622688334743</v>
      </c>
      <c r="K20" t="s">
        <v>12</v>
      </c>
      <c r="L20">
        <v>34</v>
      </c>
      <c r="N20" s="6">
        <f t="shared" ref="N20:N23" si="13">H20*0.25%</f>
        <v>27.806556720836856</v>
      </c>
      <c r="O20" s="11">
        <f t="shared" si="4"/>
        <v>7.0072522936508879</v>
      </c>
      <c r="P20">
        <f t="shared" si="5"/>
        <v>11129.629940628394</v>
      </c>
      <c r="R20">
        <f t="shared" si="6"/>
        <v>12.610230227692842</v>
      </c>
    </row>
    <row r="21" spans="1:18" x14ac:dyDescent="0.35">
      <c r="A21" t="s">
        <v>24</v>
      </c>
      <c r="B21" t="s">
        <v>5</v>
      </c>
      <c r="C21">
        <v>35</v>
      </c>
      <c r="E21">
        <f t="shared" si="7"/>
        <v>11129.629940628394</v>
      </c>
      <c r="F21" s="8">
        <f t="shared" si="12"/>
        <v>22.259259881256789</v>
      </c>
      <c r="G21" s="9">
        <f t="shared" si="1"/>
        <v>5.6093334900767111</v>
      </c>
      <c r="H21">
        <f t="shared" si="2"/>
        <v>11135.23927411847</v>
      </c>
      <c r="K21" t="s">
        <v>12</v>
      </c>
      <c r="L21">
        <v>36</v>
      </c>
      <c r="N21" s="6">
        <f t="shared" si="13"/>
        <v>27.838098185296175</v>
      </c>
      <c r="O21" s="11">
        <f t="shared" si="4"/>
        <v>7.0152007426946366</v>
      </c>
      <c r="P21">
        <f t="shared" si="5"/>
        <v>11142.254474861165</v>
      </c>
      <c r="R21">
        <f t="shared" si="6"/>
        <v>12.624534232771348</v>
      </c>
    </row>
    <row r="22" spans="1:18" x14ac:dyDescent="0.35">
      <c r="A22" t="s">
        <v>25</v>
      </c>
      <c r="B22" t="s">
        <v>5</v>
      </c>
      <c r="C22">
        <v>37</v>
      </c>
      <c r="E22">
        <f t="shared" si="7"/>
        <v>11142.254474861165</v>
      </c>
      <c r="F22" s="8">
        <f t="shared" si="12"/>
        <v>22.28450894972233</v>
      </c>
      <c r="G22" s="9">
        <f t="shared" si="1"/>
        <v>5.6156962553300271</v>
      </c>
      <c r="H22">
        <f t="shared" si="2"/>
        <v>11147.870171116496</v>
      </c>
      <c r="K22" t="s">
        <v>12</v>
      </c>
      <c r="L22">
        <v>38</v>
      </c>
      <c r="N22" s="6">
        <f t="shared" si="13"/>
        <v>27.86967542779124</v>
      </c>
      <c r="O22" s="11">
        <f t="shared" si="4"/>
        <v>7.0231582078033927</v>
      </c>
      <c r="P22">
        <f t="shared" si="5"/>
        <v>11154.893329324299</v>
      </c>
      <c r="R22">
        <f t="shared" si="6"/>
        <v>12.63885446313342</v>
      </c>
    </row>
    <row r="23" spans="1:18" x14ac:dyDescent="0.35">
      <c r="A23" t="s">
        <v>26</v>
      </c>
      <c r="B23" t="s">
        <v>5</v>
      </c>
      <c r="C23">
        <v>39</v>
      </c>
      <c r="E23">
        <f t="shared" si="7"/>
        <v>11154.893329324299</v>
      </c>
      <c r="F23" s="8">
        <f t="shared" si="12"/>
        <v>22.309786658648598</v>
      </c>
      <c r="G23" s="9">
        <f t="shared" si="1"/>
        <v>5.622066237979447</v>
      </c>
      <c r="H23">
        <f t="shared" si="2"/>
        <v>11160.515395562279</v>
      </c>
      <c r="K23" t="s">
        <v>12</v>
      </c>
      <c r="L23">
        <v>40</v>
      </c>
      <c r="N23" s="6">
        <f t="shared" si="13"/>
        <v>27.901288488905699</v>
      </c>
      <c r="O23" s="11">
        <f t="shared" si="4"/>
        <v>7.031124699204236</v>
      </c>
      <c r="P23">
        <f t="shared" si="5"/>
        <v>11167.546520261483</v>
      </c>
      <c r="R23">
        <f t="shared" si="6"/>
        <v>12.653190937183684</v>
      </c>
    </row>
    <row r="24" spans="1:18" s="6" customFormat="1" x14ac:dyDescent="0.35">
      <c r="A24" s="6" t="s">
        <v>27</v>
      </c>
      <c r="B24" s="6" t="s">
        <v>5</v>
      </c>
      <c r="C24" s="6">
        <v>41</v>
      </c>
      <c r="D24" s="7">
        <v>2.5000000000000001E-3</v>
      </c>
      <c r="E24" s="6">
        <f t="shared" si="7"/>
        <v>11167.546520261483</v>
      </c>
      <c r="F24" s="8">
        <f>E24*0.25%</f>
        <v>27.918866300653708</v>
      </c>
      <c r="G24" s="9">
        <f t="shared" si="1"/>
        <v>7.035554307764734</v>
      </c>
      <c r="H24" s="6">
        <f t="shared" si="2"/>
        <v>11174.582074569247</v>
      </c>
      <c r="K24" s="6" t="s">
        <v>6</v>
      </c>
      <c r="L24" s="6">
        <v>42</v>
      </c>
      <c r="M24" s="7">
        <v>2E-3</v>
      </c>
      <c r="N24" s="6">
        <f>H24*0.2%</f>
        <v>22.349164149138495</v>
      </c>
      <c r="O24" s="11">
        <f t="shared" si="4"/>
        <v>5.6319893655829008</v>
      </c>
      <c r="P24" s="6">
        <f t="shared" si="5"/>
        <v>11180.214063934831</v>
      </c>
      <c r="R24" s="6">
        <f t="shared" si="6"/>
        <v>12.667543673347634</v>
      </c>
    </row>
    <row r="25" spans="1:18" x14ac:dyDescent="0.35">
      <c r="A25" t="s">
        <v>28</v>
      </c>
      <c r="B25" t="s">
        <v>5</v>
      </c>
      <c r="C25">
        <v>43</v>
      </c>
      <c r="E25">
        <f t="shared" si="7"/>
        <v>11180.214063934831</v>
      </c>
      <c r="F25" s="8">
        <f t="shared" ref="F25:F28" si="14">E25*0.25%</f>
        <v>27.950535159837077</v>
      </c>
      <c r="G25" s="9">
        <f t="shared" si="1"/>
        <v>7.0435348602789434</v>
      </c>
      <c r="H25">
        <f t="shared" si="2"/>
        <v>11187.25759879511</v>
      </c>
      <c r="K25" t="s">
        <v>6</v>
      </c>
      <c r="L25">
        <v>44</v>
      </c>
      <c r="N25" s="6">
        <f t="shared" ref="N25:N28" si="15">H25*0.2%</f>
        <v>22.37451519759022</v>
      </c>
      <c r="O25" s="11">
        <f t="shared" si="4"/>
        <v>5.6383778297927352</v>
      </c>
      <c r="P25">
        <f t="shared" si="5"/>
        <v>11192.895976624903</v>
      </c>
      <c r="R25">
        <f t="shared" si="6"/>
        <v>12.681912690071679</v>
      </c>
    </row>
    <row r="26" spans="1:18" x14ac:dyDescent="0.35">
      <c r="A26" t="s">
        <v>29</v>
      </c>
      <c r="B26" t="s">
        <v>5</v>
      </c>
      <c r="C26">
        <v>45</v>
      </c>
      <c r="E26">
        <f t="shared" si="7"/>
        <v>11192.895976624903</v>
      </c>
      <c r="F26" s="8">
        <f t="shared" si="14"/>
        <v>27.982239941562256</v>
      </c>
      <c r="G26" s="9">
        <f t="shared" si="1"/>
        <v>7.0515244652736886</v>
      </c>
      <c r="H26">
        <f t="shared" si="2"/>
        <v>11199.947501090177</v>
      </c>
      <c r="K26" t="s">
        <v>6</v>
      </c>
      <c r="L26">
        <v>46</v>
      </c>
      <c r="N26" s="6">
        <f t="shared" si="15"/>
        <v>22.399895002180354</v>
      </c>
      <c r="O26" s="11">
        <f t="shared" si="4"/>
        <v>5.6447735405494495</v>
      </c>
      <c r="P26">
        <f t="shared" si="5"/>
        <v>11205.592274630726</v>
      </c>
      <c r="R26">
        <f t="shared" si="6"/>
        <v>12.696298005823138</v>
      </c>
    </row>
    <row r="27" spans="1:18" x14ac:dyDescent="0.35">
      <c r="A27" t="s">
        <v>30</v>
      </c>
      <c r="B27" t="s">
        <v>5</v>
      </c>
      <c r="C27">
        <v>47</v>
      </c>
      <c r="E27">
        <f t="shared" si="7"/>
        <v>11205.592274630726</v>
      </c>
      <c r="F27" s="8">
        <f t="shared" si="14"/>
        <v>28.013980686576815</v>
      </c>
      <c r="G27" s="9">
        <f t="shared" si="1"/>
        <v>7.0595231330173576</v>
      </c>
      <c r="H27">
        <f t="shared" si="2"/>
        <v>11212.651797763743</v>
      </c>
      <c r="K27" t="s">
        <v>6</v>
      </c>
      <c r="L27">
        <v>48</v>
      </c>
      <c r="N27" s="6">
        <f t="shared" si="15"/>
        <v>22.425303595527488</v>
      </c>
      <c r="O27" s="11">
        <f t="shared" si="4"/>
        <v>5.6511765060729271</v>
      </c>
      <c r="P27">
        <f t="shared" si="5"/>
        <v>11218.302974269816</v>
      </c>
      <c r="R27">
        <f t="shared" si="6"/>
        <v>12.710699639090285</v>
      </c>
    </row>
    <row r="28" spans="1:18" x14ac:dyDescent="0.35">
      <c r="A28" t="s">
        <v>31</v>
      </c>
      <c r="B28" t="s">
        <v>5</v>
      </c>
      <c r="C28">
        <v>49</v>
      </c>
      <c r="E28">
        <f t="shared" si="7"/>
        <v>11218.302974269816</v>
      </c>
      <c r="F28" s="8">
        <f t="shared" si="14"/>
        <v>28.045757435674542</v>
      </c>
      <c r="G28" s="9">
        <f t="shared" si="1"/>
        <v>7.0675308737899849</v>
      </c>
      <c r="H28">
        <f t="shared" si="2"/>
        <v>11225.370505143606</v>
      </c>
      <c r="K28" t="s">
        <v>6</v>
      </c>
      <c r="L28">
        <v>50</v>
      </c>
      <c r="N28" s="6">
        <f t="shared" si="15"/>
        <v>22.450741010287214</v>
      </c>
      <c r="O28" s="11">
        <f t="shared" si="4"/>
        <v>5.6575867345923783</v>
      </c>
      <c r="P28">
        <f t="shared" si="5"/>
        <v>11231.028091878199</v>
      </c>
      <c r="R28">
        <f t="shared" si="6"/>
        <v>12.725117608382362</v>
      </c>
    </row>
    <row r="29" spans="1:18" s="6" customFormat="1" x14ac:dyDescent="0.35">
      <c r="A29" s="6" t="s">
        <v>32</v>
      </c>
      <c r="B29" s="6" t="s">
        <v>5</v>
      </c>
      <c r="C29" s="6">
        <v>51</v>
      </c>
      <c r="D29" s="7">
        <v>3.0000000000000001E-3</v>
      </c>
      <c r="E29" s="6">
        <f t="shared" si="7"/>
        <v>11231.028091878199</v>
      </c>
      <c r="F29" s="8">
        <f>E29*0.3%</f>
        <v>33.693084275634597</v>
      </c>
      <c r="G29" s="9">
        <f t="shared" si="1"/>
        <v>8.490657237459919</v>
      </c>
      <c r="H29" s="6">
        <f t="shared" si="2"/>
        <v>11239.518749115659</v>
      </c>
      <c r="K29" s="6" t="s">
        <v>12</v>
      </c>
      <c r="L29" s="6">
        <v>52</v>
      </c>
      <c r="M29" s="7">
        <v>3.5000000000000001E-3</v>
      </c>
      <c r="N29" s="6">
        <f>H29*0.35%</f>
        <v>39.338315621904805</v>
      </c>
      <c r="O29" s="11">
        <f t="shared" si="4"/>
        <v>9.9132555367200101</v>
      </c>
      <c r="P29" s="6">
        <f t="shared" si="5"/>
        <v>11249.432004652379</v>
      </c>
      <c r="R29" s="6">
        <f t="shared" si="6"/>
        <v>18.403912774179929</v>
      </c>
    </row>
    <row r="30" spans="1:18" x14ac:dyDescent="0.35">
      <c r="A30" t="s">
        <v>33</v>
      </c>
      <c r="B30" t="s">
        <v>5</v>
      </c>
      <c r="C30">
        <v>53</v>
      </c>
      <c r="E30">
        <f t="shared" si="7"/>
        <v>11249.432004652379</v>
      </c>
      <c r="F30" s="8">
        <f t="shared" ref="F30:F33" si="16">E30*0.3%</f>
        <v>33.748296013957138</v>
      </c>
      <c r="G30" s="9">
        <f t="shared" si="1"/>
        <v>8.5045705955171993</v>
      </c>
      <c r="H30">
        <f t="shared" si="2"/>
        <v>11257.936575247897</v>
      </c>
      <c r="K30" t="s">
        <v>12</v>
      </c>
      <c r="L30">
        <v>54</v>
      </c>
      <c r="N30" s="6">
        <f t="shared" ref="N30:N33" si="17">H30*0.35%</f>
        <v>39.402778013367637</v>
      </c>
      <c r="O30" s="11">
        <f t="shared" si="4"/>
        <v>9.9295000593686442</v>
      </c>
      <c r="P30">
        <f t="shared" si="5"/>
        <v>11267.866075307265</v>
      </c>
      <c r="R30">
        <f t="shared" si="6"/>
        <v>18.434070654885844</v>
      </c>
    </row>
    <row r="31" spans="1:18" x14ac:dyDescent="0.35">
      <c r="A31" t="s">
        <v>34</v>
      </c>
      <c r="B31" t="s">
        <v>5</v>
      </c>
      <c r="C31">
        <v>55</v>
      </c>
      <c r="E31">
        <f t="shared" si="7"/>
        <v>11267.866075307265</v>
      </c>
      <c r="F31" s="8">
        <f t="shared" si="16"/>
        <v>33.803598225921796</v>
      </c>
      <c r="G31" s="9">
        <f t="shared" si="1"/>
        <v>8.5185067529322929</v>
      </c>
      <c r="H31">
        <f t="shared" si="2"/>
        <v>11276.384582060198</v>
      </c>
      <c r="K31" t="s">
        <v>12</v>
      </c>
      <c r="L31">
        <v>56</v>
      </c>
      <c r="N31" s="6">
        <f t="shared" si="17"/>
        <v>39.467346037210689</v>
      </c>
      <c r="O31" s="11">
        <f t="shared" si="4"/>
        <v>9.9457712013770934</v>
      </c>
      <c r="P31">
        <f t="shared" si="5"/>
        <v>11286.330353261576</v>
      </c>
      <c r="R31">
        <f t="shared" si="6"/>
        <v>18.464277954309388</v>
      </c>
    </row>
    <row r="32" spans="1:18" x14ac:dyDescent="0.35">
      <c r="A32" t="s">
        <v>35</v>
      </c>
      <c r="B32" t="s">
        <v>5</v>
      </c>
      <c r="C32">
        <v>57</v>
      </c>
      <c r="E32">
        <f t="shared" si="7"/>
        <v>11286.330353261576</v>
      </c>
      <c r="F32" s="8">
        <f t="shared" si="16"/>
        <v>33.858991059784728</v>
      </c>
      <c r="G32" s="9">
        <f t="shared" si="1"/>
        <v>8.5324657470657517</v>
      </c>
      <c r="H32">
        <f t="shared" si="2"/>
        <v>11294.862819008642</v>
      </c>
      <c r="K32" t="s">
        <v>12</v>
      </c>
      <c r="L32">
        <v>58</v>
      </c>
      <c r="N32" s="6">
        <f t="shared" si="17"/>
        <v>39.532019866530241</v>
      </c>
      <c r="O32" s="11">
        <f t="shared" si="4"/>
        <v>9.9620690063656205</v>
      </c>
      <c r="P32">
        <f t="shared" si="5"/>
        <v>11304.824888015008</v>
      </c>
      <c r="R32">
        <f t="shared" si="6"/>
        <v>18.494534753431374</v>
      </c>
    </row>
    <row r="33" spans="1:18" s="13" customFormat="1" x14ac:dyDescent="0.35">
      <c r="A33" s="13" t="s">
        <v>36</v>
      </c>
      <c r="B33" s="13" t="s">
        <v>5</v>
      </c>
      <c r="C33" s="13">
        <v>59</v>
      </c>
      <c r="E33" s="13">
        <f t="shared" si="7"/>
        <v>11304.824888015008</v>
      </c>
      <c r="F33" s="14">
        <f t="shared" si="16"/>
        <v>33.914474664045024</v>
      </c>
      <c r="G33" s="9">
        <f t="shared" si="1"/>
        <v>8.5464476153393463</v>
      </c>
      <c r="H33" s="13">
        <f t="shared" si="2"/>
        <v>11313.371335630347</v>
      </c>
      <c r="K33" s="13" t="s">
        <v>12</v>
      </c>
      <c r="L33" s="13">
        <v>60</v>
      </c>
      <c r="N33" s="13">
        <f t="shared" si="17"/>
        <v>39.596799674706212</v>
      </c>
      <c r="O33" s="11">
        <f t="shared" si="4"/>
        <v>9.9783935180259657</v>
      </c>
      <c r="P33" s="13">
        <f t="shared" si="5"/>
        <v>11323.349729148373</v>
      </c>
      <c r="R33" s="13">
        <f t="shared" si="6"/>
        <v>18.524841133365314</v>
      </c>
    </row>
    <row r="34" spans="1:18" s="6" customFormat="1" x14ac:dyDescent="0.35">
      <c r="A34" s="6" t="s">
        <v>37</v>
      </c>
      <c r="B34" s="6" t="s">
        <v>6</v>
      </c>
      <c r="C34" s="6">
        <v>61</v>
      </c>
      <c r="D34" s="7">
        <v>2.5000000000000001E-3</v>
      </c>
      <c r="E34" s="6">
        <f t="shared" si="7"/>
        <v>11323.349729148373</v>
      </c>
      <c r="F34" s="8">
        <f>E34*0.25%</f>
        <v>28.308374322870932</v>
      </c>
      <c r="G34" s="9">
        <f t="shared" si="1"/>
        <v>7.1337103293634749</v>
      </c>
      <c r="H34" s="6">
        <f t="shared" si="2"/>
        <v>11330.483439477735</v>
      </c>
      <c r="I34" s="12">
        <v>0.3</v>
      </c>
      <c r="J34" s="12"/>
      <c r="K34" s="12" t="s">
        <v>12</v>
      </c>
      <c r="L34" s="6">
        <v>62</v>
      </c>
      <c r="M34" s="7">
        <v>4.0000000000000001E-3</v>
      </c>
      <c r="N34" s="6">
        <f>H34*0.3%</f>
        <v>33.991450318433209</v>
      </c>
      <c r="O34" s="11">
        <f t="shared" si="4"/>
        <v>8.5658454802451693</v>
      </c>
      <c r="P34" s="6">
        <f t="shared" si="5"/>
        <v>11339.04928495798</v>
      </c>
      <c r="Q34" s="10">
        <v>0.27</v>
      </c>
      <c r="R34" s="6">
        <f t="shared" si="6"/>
        <v>15.699555809608643</v>
      </c>
    </row>
    <row r="35" spans="1:18" x14ac:dyDescent="0.35">
      <c r="A35" t="s">
        <v>38</v>
      </c>
      <c r="B35" t="s">
        <v>6</v>
      </c>
      <c r="C35">
        <v>63</v>
      </c>
      <c r="E35">
        <f t="shared" si="7"/>
        <v>11339.04928495798</v>
      </c>
      <c r="F35" s="8">
        <f t="shared" ref="F35:F38" si="18">E35*0.25%</f>
        <v>28.34762321239495</v>
      </c>
      <c r="G35" s="9">
        <f t="shared" si="1"/>
        <v>7.1436010495235278</v>
      </c>
      <c r="H35">
        <f t="shared" si="2"/>
        <v>11346.192886007504</v>
      </c>
      <c r="K35" t="s">
        <v>12</v>
      </c>
      <c r="L35">
        <v>64</v>
      </c>
      <c r="N35" s="6">
        <f t="shared" ref="N35:N38" si="19">H35*0.3%</f>
        <v>34.038578658022516</v>
      </c>
      <c r="O35" s="11">
        <f t="shared" si="4"/>
        <v>8.5777218218216742</v>
      </c>
      <c r="P35">
        <f t="shared" si="5"/>
        <v>11354.770607829325</v>
      </c>
      <c r="R35">
        <f t="shared" si="6"/>
        <v>15.721322871345201</v>
      </c>
    </row>
    <row r="36" spans="1:18" x14ac:dyDescent="0.35">
      <c r="A36" t="s">
        <v>39</v>
      </c>
      <c r="B36" t="s">
        <v>6</v>
      </c>
      <c r="C36">
        <v>65</v>
      </c>
      <c r="E36">
        <f t="shared" si="7"/>
        <v>11354.770607829325</v>
      </c>
      <c r="F36" s="8">
        <f t="shared" si="18"/>
        <v>28.386926519573311</v>
      </c>
      <c r="G36" s="9">
        <f t="shared" si="1"/>
        <v>7.1535054829324745</v>
      </c>
      <c r="H36">
        <f t="shared" si="2"/>
        <v>11361.924113312258</v>
      </c>
      <c r="K36" t="s">
        <v>12</v>
      </c>
      <c r="L36">
        <v>66</v>
      </c>
      <c r="N36" s="6">
        <f t="shared" si="19"/>
        <v>34.085772339936774</v>
      </c>
      <c r="O36" s="11">
        <f t="shared" si="4"/>
        <v>8.5896146296640676</v>
      </c>
      <c r="P36">
        <f t="shared" si="5"/>
        <v>11370.513727941921</v>
      </c>
      <c r="R36">
        <f t="shared" si="6"/>
        <v>15.743120112596543</v>
      </c>
    </row>
    <row r="37" spans="1:18" x14ac:dyDescent="0.35">
      <c r="A37" t="s">
        <v>40</v>
      </c>
      <c r="B37" t="s">
        <v>6</v>
      </c>
      <c r="C37">
        <v>67</v>
      </c>
      <c r="E37">
        <f t="shared" si="7"/>
        <v>11370.513727941921</v>
      </c>
      <c r="F37" s="8">
        <f t="shared" si="18"/>
        <v>28.426284319854805</v>
      </c>
      <c r="G37" s="9">
        <f t="shared" si="1"/>
        <v>7.1634236486034109</v>
      </c>
      <c r="H37">
        <f t="shared" si="2"/>
        <v>11377.677151590526</v>
      </c>
      <c r="K37" t="s">
        <v>12</v>
      </c>
      <c r="L37">
        <v>68</v>
      </c>
      <c r="N37" s="6">
        <f t="shared" si="19"/>
        <v>34.133031454771576</v>
      </c>
      <c r="O37" s="11">
        <f t="shared" si="4"/>
        <v>8.6015239266024377</v>
      </c>
      <c r="P37">
        <f t="shared" si="5"/>
        <v>11386.278675517127</v>
      </c>
      <c r="R37">
        <f t="shared" si="6"/>
        <v>15.764947575205849</v>
      </c>
    </row>
    <row r="38" spans="1:18" x14ac:dyDescent="0.35">
      <c r="A38" t="s">
        <v>41</v>
      </c>
      <c r="B38" t="s">
        <v>6</v>
      </c>
      <c r="C38">
        <v>69</v>
      </c>
      <c r="E38">
        <f t="shared" si="7"/>
        <v>11386.278675517127</v>
      </c>
      <c r="F38" s="8">
        <f t="shared" si="18"/>
        <v>28.465696688792818</v>
      </c>
      <c r="G38" s="9">
        <f t="shared" si="1"/>
        <v>7.1733555655757906</v>
      </c>
      <c r="H38">
        <f t="shared" si="2"/>
        <v>11393.452031082703</v>
      </c>
      <c r="K38" t="s">
        <v>12</v>
      </c>
      <c r="L38">
        <v>70</v>
      </c>
      <c r="N38" s="6">
        <f t="shared" si="19"/>
        <v>34.180356093248108</v>
      </c>
      <c r="O38" s="11">
        <f t="shared" si="4"/>
        <v>8.6134497354985236</v>
      </c>
      <c r="P38">
        <f t="shared" si="5"/>
        <v>11402.065480818201</v>
      </c>
      <c r="R38">
        <f t="shared" si="6"/>
        <v>15.786805301074313</v>
      </c>
    </row>
    <row r="39" spans="1:18" s="6" customFormat="1" x14ac:dyDescent="0.35">
      <c r="A39" s="6" t="s">
        <v>42</v>
      </c>
      <c r="B39" s="6" t="s">
        <v>5</v>
      </c>
      <c r="C39" s="6">
        <v>71</v>
      </c>
      <c r="D39" s="7">
        <v>5.0000000000000001E-3</v>
      </c>
      <c r="E39" s="6">
        <f t="shared" si="7"/>
        <v>11402.065480818201</v>
      </c>
      <c r="F39" s="8">
        <f>E39*0.5%</f>
        <v>57.010327404091008</v>
      </c>
      <c r="G39" s="9">
        <f t="shared" si="1"/>
        <v>14.366602505830935</v>
      </c>
      <c r="H39" s="6">
        <f t="shared" si="2"/>
        <v>11416.432083324031</v>
      </c>
      <c r="K39" s="6" t="s">
        <v>6</v>
      </c>
      <c r="L39" s="6">
        <v>72</v>
      </c>
      <c r="M39" s="7">
        <v>4.4999999999999997E-3</v>
      </c>
      <c r="N39" s="6">
        <f>H39*0.45%</f>
        <v>51.373944374958143</v>
      </c>
      <c r="O39" s="11">
        <f t="shared" si="4"/>
        <v>12.946233982489453</v>
      </c>
      <c r="P39" s="6">
        <f t="shared" si="5"/>
        <v>11429.37831730652</v>
      </c>
      <c r="R39" s="6">
        <f t="shared" si="6"/>
        <v>27.312836488320386</v>
      </c>
    </row>
    <row r="40" spans="1:18" x14ac:dyDescent="0.35">
      <c r="A40" t="s">
        <v>43</v>
      </c>
      <c r="B40" t="s">
        <v>5</v>
      </c>
      <c r="C40">
        <v>73</v>
      </c>
      <c r="E40">
        <f t="shared" si="7"/>
        <v>11429.37831730652</v>
      </c>
      <c r="F40" s="8">
        <f t="shared" ref="F40:F43" si="20">E40*0.5%</f>
        <v>57.146891586532604</v>
      </c>
      <c r="G40" s="9">
        <f t="shared" si="1"/>
        <v>14.401016679806217</v>
      </c>
      <c r="H40">
        <f t="shared" si="2"/>
        <v>11443.779333986327</v>
      </c>
      <c r="K40" t="s">
        <v>6</v>
      </c>
      <c r="L40">
        <v>74</v>
      </c>
      <c r="N40" s="6">
        <f t="shared" ref="N40:N43" si="21">H40*0.45%</f>
        <v>51.497007002938481</v>
      </c>
      <c r="O40" s="11">
        <f t="shared" si="4"/>
        <v>12.977245764740497</v>
      </c>
      <c r="P40">
        <f t="shared" si="5"/>
        <v>11456.756579751069</v>
      </c>
      <c r="R40">
        <f t="shared" si="6"/>
        <v>27.378262444546714</v>
      </c>
    </row>
    <row r="41" spans="1:18" x14ac:dyDescent="0.35">
      <c r="A41" t="s">
        <v>44</v>
      </c>
      <c r="B41" t="s">
        <v>5</v>
      </c>
      <c r="C41">
        <v>75</v>
      </c>
      <c r="E41">
        <f t="shared" si="7"/>
        <v>11456.756579751069</v>
      </c>
      <c r="F41" s="8">
        <f t="shared" si="20"/>
        <v>57.283782898755348</v>
      </c>
      <c r="G41" s="9">
        <f t="shared" si="1"/>
        <v>14.435513290486348</v>
      </c>
      <c r="H41">
        <f t="shared" si="2"/>
        <v>11471.192093041554</v>
      </c>
      <c r="K41" t="s">
        <v>6</v>
      </c>
      <c r="L41">
        <v>76</v>
      </c>
      <c r="N41" s="6">
        <f t="shared" si="21"/>
        <v>51.620364418687004</v>
      </c>
      <c r="O41" s="11">
        <f t="shared" si="4"/>
        <v>13.008331833509125</v>
      </c>
      <c r="P41">
        <f t="shared" si="5"/>
        <v>11484.200424875064</v>
      </c>
      <c r="R41">
        <f t="shared" si="6"/>
        <v>27.443845123995473</v>
      </c>
    </row>
    <row r="42" spans="1:18" x14ac:dyDescent="0.35">
      <c r="A42" t="s">
        <v>45</v>
      </c>
      <c r="B42" t="s">
        <v>5</v>
      </c>
      <c r="C42">
        <v>77</v>
      </c>
      <c r="E42">
        <f t="shared" si="7"/>
        <v>11484.200424875064</v>
      </c>
      <c r="F42" s="8">
        <f t="shared" si="20"/>
        <v>57.42100212437532</v>
      </c>
      <c r="G42" s="9">
        <f t="shared" si="1"/>
        <v>14.47009253534258</v>
      </c>
      <c r="H42">
        <f t="shared" si="2"/>
        <v>11498.670517410406</v>
      </c>
      <c r="K42" t="s">
        <v>6</v>
      </c>
      <c r="L42">
        <v>78</v>
      </c>
      <c r="N42" s="6">
        <f t="shared" si="21"/>
        <v>51.744017328346835</v>
      </c>
      <c r="O42" s="11">
        <f t="shared" si="4"/>
        <v>13.039492366743403</v>
      </c>
      <c r="P42">
        <f t="shared" si="5"/>
        <v>11511.710009777149</v>
      </c>
      <c r="R42">
        <f t="shared" si="6"/>
        <v>27.509584902085983</v>
      </c>
    </row>
    <row r="43" spans="1:18" x14ac:dyDescent="0.35">
      <c r="A43" t="s">
        <v>46</v>
      </c>
      <c r="B43" t="s">
        <v>5</v>
      </c>
      <c r="C43">
        <v>79</v>
      </c>
      <c r="E43">
        <f t="shared" si="7"/>
        <v>11511.710009777149</v>
      </c>
      <c r="F43" s="8">
        <f t="shared" si="20"/>
        <v>57.558550048885749</v>
      </c>
      <c r="G43" s="9">
        <f t="shared" si="1"/>
        <v>14.504754612319209</v>
      </c>
      <c r="H43">
        <f t="shared" si="2"/>
        <v>11526.214764389468</v>
      </c>
      <c r="K43" t="s">
        <v>6</v>
      </c>
      <c r="L43">
        <v>80</v>
      </c>
      <c r="N43" s="6">
        <f t="shared" si="21"/>
        <v>51.867966439752614</v>
      </c>
      <c r="O43" s="11">
        <f t="shared" si="4"/>
        <v>13.070727542817659</v>
      </c>
      <c r="P43">
        <f t="shared" si="5"/>
        <v>11539.285491932285</v>
      </c>
      <c r="R43">
        <f t="shared" si="6"/>
        <v>27.575482155136868</v>
      </c>
    </row>
    <row r="44" spans="1:18" s="6" customFormat="1" x14ac:dyDescent="0.35">
      <c r="A44" s="6" t="s">
        <v>47</v>
      </c>
      <c r="B44" s="6" t="s">
        <v>6</v>
      </c>
      <c r="C44" s="6">
        <v>81</v>
      </c>
      <c r="D44" s="7">
        <v>4.4999999999999997E-3</v>
      </c>
      <c r="E44" s="6">
        <f t="shared" si="7"/>
        <v>11539.285491932285</v>
      </c>
      <c r="F44" s="8">
        <f>E44*0.45%</f>
        <v>51.926784713695291</v>
      </c>
      <c r="G44" s="9">
        <f t="shared" si="1"/>
        <v>13.085549747851214</v>
      </c>
      <c r="H44" s="6">
        <f t="shared" si="2"/>
        <v>11552.371041680137</v>
      </c>
      <c r="K44" s="6" t="s">
        <v>6</v>
      </c>
      <c r="L44" s="6">
        <v>82</v>
      </c>
      <c r="M44" s="7">
        <v>3.0000000000000001E-3</v>
      </c>
      <c r="N44" s="6">
        <f>H44*0.3%</f>
        <v>34.657113125040411</v>
      </c>
      <c r="O44" s="11">
        <f t="shared" si="4"/>
        <v>8.733592507510183</v>
      </c>
      <c r="P44" s="6">
        <f t="shared" si="5"/>
        <v>11561.104634187646</v>
      </c>
      <c r="R44" s="6">
        <f t="shared" si="6"/>
        <v>21.819142255361399</v>
      </c>
    </row>
    <row r="45" spans="1:18" x14ac:dyDescent="0.35">
      <c r="A45" t="s">
        <v>48</v>
      </c>
      <c r="B45" t="s">
        <v>6</v>
      </c>
      <c r="C45">
        <v>83</v>
      </c>
      <c r="E45">
        <f t="shared" si="7"/>
        <v>11561.104634187646</v>
      </c>
      <c r="F45" s="8">
        <f t="shared" ref="F45:F48" si="22">E45*0.45%</f>
        <v>52.024970853844415</v>
      </c>
      <c r="G45" s="9">
        <f t="shared" si="1"/>
        <v>13.110292655168793</v>
      </c>
      <c r="H45">
        <f t="shared" si="2"/>
        <v>11574.214926842815</v>
      </c>
      <c r="K45" t="s">
        <v>6</v>
      </c>
      <c r="L45">
        <v>84</v>
      </c>
      <c r="N45" s="6">
        <f t="shared" ref="N45:N48" si="23">H45*0.3%</f>
        <v>34.722644780528448</v>
      </c>
      <c r="O45" s="11">
        <f t="shared" si="4"/>
        <v>8.7501064846931698</v>
      </c>
      <c r="P45">
        <f t="shared" si="5"/>
        <v>11582.965033327508</v>
      </c>
      <c r="R45">
        <f t="shared" si="6"/>
        <v>21.860399139861961</v>
      </c>
    </row>
    <row r="46" spans="1:18" x14ac:dyDescent="0.35">
      <c r="A46" t="s">
        <v>49</v>
      </c>
      <c r="B46" t="s">
        <v>6</v>
      </c>
      <c r="C46">
        <v>85</v>
      </c>
      <c r="E46">
        <f t="shared" si="7"/>
        <v>11582.965033327508</v>
      </c>
      <c r="F46" s="8">
        <f t="shared" si="22"/>
        <v>52.123342649973793</v>
      </c>
      <c r="G46" s="9">
        <f t="shared" si="1"/>
        <v>13.135082347793396</v>
      </c>
      <c r="H46">
        <f t="shared" si="2"/>
        <v>11596.100115675301</v>
      </c>
      <c r="K46" t="s">
        <v>6</v>
      </c>
      <c r="L46">
        <v>86</v>
      </c>
      <c r="N46" s="6">
        <f t="shared" si="23"/>
        <v>34.788300347025903</v>
      </c>
      <c r="O46" s="11">
        <f t="shared" si="4"/>
        <v>8.766651687450528</v>
      </c>
      <c r="P46">
        <f t="shared" si="5"/>
        <v>11604.866767362751</v>
      </c>
      <c r="R46">
        <f t="shared" si="6"/>
        <v>21.901734035243926</v>
      </c>
    </row>
    <row r="47" spans="1:18" x14ac:dyDescent="0.35">
      <c r="A47" t="s">
        <v>50</v>
      </c>
      <c r="B47" t="s">
        <v>6</v>
      </c>
      <c r="C47">
        <v>87</v>
      </c>
      <c r="E47">
        <f t="shared" si="7"/>
        <v>11604.866767362751</v>
      </c>
      <c r="F47" s="8">
        <f t="shared" si="22"/>
        <v>52.221900453132385</v>
      </c>
      <c r="G47" s="9">
        <f t="shared" si="1"/>
        <v>13.159918914189362</v>
      </c>
      <c r="H47">
        <f t="shared" si="2"/>
        <v>11618.02668627694</v>
      </c>
      <c r="K47" t="s">
        <v>6</v>
      </c>
      <c r="L47">
        <v>88</v>
      </c>
      <c r="N47" s="6">
        <f t="shared" si="23"/>
        <v>34.854080058830824</v>
      </c>
      <c r="O47" s="11">
        <f t="shared" si="4"/>
        <v>8.7832281748253678</v>
      </c>
      <c r="P47">
        <f t="shared" si="5"/>
        <v>11626.809914451766</v>
      </c>
      <c r="R47">
        <f t="shared" si="6"/>
        <v>21.94314708901473</v>
      </c>
    </row>
    <row r="48" spans="1:18" x14ac:dyDescent="0.35">
      <c r="A48" t="s">
        <v>51</v>
      </c>
      <c r="B48" t="s">
        <v>6</v>
      </c>
      <c r="C48">
        <v>89</v>
      </c>
      <c r="E48">
        <f t="shared" si="7"/>
        <v>11626.809914451766</v>
      </c>
      <c r="F48" s="8">
        <f t="shared" si="22"/>
        <v>52.320644615032954</v>
      </c>
      <c r="G48" s="9">
        <f t="shared" si="1"/>
        <v>13.184802442988305</v>
      </c>
      <c r="H48">
        <f t="shared" si="2"/>
        <v>11639.994716894755</v>
      </c>
      <c r="K48" t="s">
        <v>6</v>
      </c>
      <c r="L48">
        <v>90</v>
      </c>
      <c r="N48" s="6">
        <f t="shared" si="23"/>
        <v>34.919984150684265</v>
      </c>
      <c r="O48" s="11">
        <f t="shared" si="4"/>
        <v>8.7998360059724341</v>
      </c>
      <c r="P48">
        <f t="shared" si="5"/>
        <v>11648.794552900727</v>
      </c>
      <c r="R48">
        <f t="shared" si="6"/>
        <v>21.984638448960737</v>
      </c>
    </row>
    <row r="49" spans="1:18" s="6" customFormat="1" x14ac:dyDescent="0.35">
      <c r="A49" s="6" t="s">
        <v>52</v>
      </c>
      <c r="B49" s="6" t="s">
        <v>5</v>
      </c>
      <c r="C49" s="6">
        <v>91</v>
      </c>
      <c r="D49" s="7">
        <v>5.0000000000000001E-3</v>
      </c>
      <c r="E49" s="6">
        <f t="shared" si="7"/>
        <v>11648.794552900727</v>
      </c>
      <c r="F49" s="8">
        <f>E49*0.5%</f>
        <v>58.243972764503631</v>
      </c>
      <c r="G49" s="9">
        <f t="shared" si="1"/>
        <v>14.677481136654915</v>
      </c>
      <c r="H49" s="6">
        <f t="shared" si="2"/>
        <v>11663.472034037381</v>
      </c>
      <c r="K49" s="6" t="s">
        <v>6</v>
      </c>
      <c r="L49" s="6">
        <v>92</v>
      </c>
      <c r="M49" s="7">
        <v>4.4999999999999997E-3</v>
      </c>
      <c r="N49" s="6">
        <f>H49*0.45%</f>
        <v>52.485624153168217</v>
      </c>
      <c r="O49" s="11">
        <f t="shared" si="4"/>
        <v>13.226377286598391</v>
      </c>
      <c r="P49" s="6">
        <f t="shared" si="5"/>
        <v>11676.69841132398</v>
      </c>
      <c r="R49" s="6">
        <f t="shared" si="6"/>
        <v>27.903858423253304</v>
      </c>
    </row>
    <row r="50" spans="1:18" x14ac:dyDescent="0.35">
      <c r="A50" t="s">
        <v>53</v>
      </c>
      <c r="B50" t="s">
        <v>5</v>
      </c>
      <c r="C50">
        <v>93</v>
      </c>
      <c r="E50">
        <f t="shared" si="7"/>
        <v>11676.69841132398</v>
      </c>
      <c r="F50" s="8">
        <f t="shared" ref="F50:F53" si="24">E50*0.5%</f>
        <v>58.3834920566199</v>
      </c>
      <c r="G50" s="9">
        <f t="shared" si="1"/>
        <v>14.712639998268214</v>
      </c>
      <c r="H50">
        <f t="shared" si="2"/>
        <v>11691.411051322248</v>
      </c>
      <c r="K50" t="s">
        <v>6</v>
      </c>
      <c r="L50">
        <v>94</v>
      </c>
      <c r="N50" s="6">
        <f t="shared" ref="N50:N53" si="25">H50*0.45%</f>
        <v>52.611349730950124</v>
      </c>
      <c r="O50" s="11">
        <f t="shared" si="4"/>
        <v>13.258060132199432</v>
      </c>
      <c r="P50">
        <f t="shared" si="5"/>
        <v>11704.669111454446</v>
      </c>
      <c r="R50">
        <f t="shared" si="6"/>
        <v>27.970700130467648</v>
      </c>
    </row>
    <row r="51" spans="1:18" x14ac:dyDescent="0.35">
      <c r="A51" t="s">
        <v>54</v>
      </c>
      <c r="B51" t="s">
        <v>5</v>
      </c>
      <c r="C51">
        <v>95</v>
      </c>
      <c r="E51">
        <f t="shared" si="7"/>
        <v>11704.669111454446</v>
      </c>
      <c r="F51" s="8">
        <f t="shared" si="24"/>
        <v>58.523345557272236</v>
      </c>
      <c r="G51" s="9">
        <f t="shared" si="1"/>
        <v>14.747883080432604</v>
      </c>
      <c r="H51">
        <f t="shared" si="2"/>
        <v>11719.416994534879</v>
      </c>
      <c r="K51" t="s">
        <v>6</v>
      </c>
      <c r="L51">
        <v>96</v>
      </c>
      <c r="N51" s="6">
        <f t="shared" si="25"/>
        <v>52.737376475406961</v>
      </c>
      <c r="O51" s="11">
        <f t="shared" si="4"/>
        <v>13.289818871802554</v>
      </c>
      <c r="P51">
        <f t="shared" si="5"/>
        <v>11732.706813406681</v>
      </c>
      <c r="R51">
        <f t="shared" si="6"/>
        <v>28.03770195223516</v>
      </c>
    </row>
    <row r="52" spans="1:18" x14ac:dyDescent="0.35">
      <c r="A52" t="s">
        <v>55</v>
      </c>
      <c r="B52" t="s">
        <v>5</v>
      </c>
      <c r="C52">
        <v>97</v>
      </c>
      <c r="E52">
        <f t="shared" si="7"/>
        <v>11732.706813406681</v>
      </c>
      <c r="F52" s="8">
        <f t="shared" si="24"/>
        <v>58.66353406703341</v>
      </c>
      <c r="G52" s="9">
        <f t="shared" si="1"/>
        <v>14.783210584892419</v>
      </c>
      <c r="H52">
        <f t="shared" si="2"/>
        <v>11747.490023991573</v>
      </c>
      <c r="K52" t="s">
        <v>6</v>
      </c>
      <c r="L52">
        <v>98</v>
      </c>
      <c r="N52" s="6">
        <f t="shared" si="25"/>
        <v>52.863705107962083</v>
      </c>
      <c r="O52" s="11">
        <f t="shared" si="4"/>
        <v>13.321653687206446</v>
      </c>
      <c r="P52">
        <f t="shared" si="5"/>
        <v>11760.811677678779</v>
      </c>
      <c r="R52">
        <f t="shared" si="6"/>
        <v>28.104864272098865</v>
      </c>
    </row>
    <row r="53" spans="1:18" x14ac:dyDescent="0.35">
      <c r="A53" t="s">
        <v>56</v>
      </c>
      <c r="B53" t="s">
        <v>5</v>
      </c>
      <c r="C53">
        <v>99</v>
      </c>
      <c r="E53">
        <f t="shared" si="7"/>
        <v>11760.811677678779</v>
      </c>
      <c r="F53" s="8">
        <f t="shared" si="24"/>
        <v>58.804058388393898</v>
      </c>
      <c r="G53" s="9">
        <f t="shared" si="1"/>
        <v>14.818622713875262</v>
      </c>
      <c r="H53">
        <f t="shared" si="2"/>
        <v>11775.630300392655</v>
      </c>
      <c r="K53" t="s">
        <v>6</v>
      </c>
      <c r="L53">
        <v>100</v>
      </c>
      <c r="N53" s="6">
        <f t="shared" si="25"/>
        <v>52.990336351766956</v>
      </c>
      <c r="O53" s="11">
        <f t="shared" si="4"/>
        <v>13.353564760645273</v>
      </c>
      <c r="P53">
        <f t="shared" si="5"/>
        <v>11788.983865153301</v>
      </c>
      <c r="R53">
        <f t="shared" si="6"/>
        <v>28.172187474520534</v>
      </c>
    </row>
    <row r="54" spans="1:18" s="6" customFormat="1" x14ac:dyDescent="0.35">
      <c r="A54" s="6" t="s">
        <v>57</v>
      </c>
      <c r="B54" s="6" t="s">
        <v>6</v>
      </c>
      <c r="C54" s="6">
        <v>101</v>
      </c>
      <c r="D54" s="7">
        <v>4.4999999999999997E-3</v>
      </c>
      <c r="E54" s="6">
        <f t="shared" si="7"/>
        <v>11788.983865153301</v>
      </c>
      <c r="F54" s="8">
        <f>E54*0.45%</f>
        <v>53.050427393189864</v>
      </c>
      <c r="G54" s="9">
        <f t="shared" si="1"/>
        <v>13.368707703083846</v>
      </c>
      <c r="H54" s="6">
        <f t="shared" si="2"/>
        <v>11802.352572856385</v>
      </c>
      <c r="K54" s="6" t="s">
        <v>12</v>
      </c>
      <c r="L54" s="6">
        <v>102</v>
      </c>
      <c r="M54" s="7">
        <v>4.5999999999999999E-3</v>
      </c>
      <c r="N54" s="6">
        <f>H54*0.46%</f>
        <v>54.290821835139376</v>
      </c>
      <c r="O54" s="11">
        <f t="shared" si="4"/>
        <v>13.681287102455123</v>
      </c>
      <c r="P54" s="6">
        <f t="shared" si="5"/>
        <v>11816.033859958841</v>
      </c>
      <c r="R54" s="6">
        <f t="shared" si="6"/>
        <v>27.049994805538969</v>
      </c>
    </row>
    <row r="55" spans="1:18" x14ac:dyDescent="0.35">
      <c r="A55" t="s">
        <v>58</v>
      </c>
      <c r="B55" t="s">
        <v>6</v>
      </c>
      <c r="C55">
        <v>103</v>
      </c>
      <c r="E55">
        <f t="shared" si="7"/>
        <v>11816.033859958841</v>
      </c>
      <c r="F55" s="8">
        <f t="shared" ref="F55:F58" si="26">E55*0.45%</f>
        <v>53.172152369814789</v>
      </c>
      <c r="G55" s="9">
        <f t="shared" si="1"/>
        <v>13.399382397193326</v>
      </c>
      <c r="H55">
        <f t="shared" si="2"/>
        <v>11829.433242356035</v>
      </c>
      <c r="K55" t="s">
        <v>12</v>
      </c>
      <c r="L55">
        <v>104</v>
      </c>
      <c r="N55" s="6">
        <f t="shared" ref="N55:N57" si="27">H55*0.46%</f>
        <v>54.41539291483776</v>
      </c>
      <c r="O55" s="11">
        <f t="shared" si="4"/>
        <v>13.712679014539116</v>
      </c>
      <c r="P55">
        <f t="shared" si="5"/>
        <v>11843.145921370575</v>
      </c>
      <c r="R55">
        <f t="shared" si="6"/>
        <v>27.112061411732441</v>
      </c>
    </row>
    <row r="56" spans="1:18" x14ac:dyDescent="0.35">
      <c r="A56" t="s">
        <v>59</v>
      </c>
      <c r="B56" t="s">
        <v>6</v>
      </c>
      <c r="C56">
        <v>105</v>
      </c>
      <c r="E56">
        <f t="shared" si="7"/>
        <v>11843.145921370575</v>
      </c>
      <c r="F56" s="8">
        <f t="shared" si="26"/>
        <v>53.294156646167593</v>
      </c>
      <c r="G56" s="9">
        <f t="shared" si="1"/>
        <v>13.430127474834233</v>
      </c>
      <c r="H56">
        <f t="shared" si="2"/>
        <v>11856.576048845409</v>
      </c>
      <c r="K56" t="s">
        <v>12</v>
      </c>
      <c r="L56">
        <v>106</v>
      </c>
      <c r="N56" s="6">
        <f t="shared" si="27"/>
        <v>54.540249824688878</v>
      </c>
      <c r="O56" s="11">
        <f t="shared" si="4"/>
        <v>13.744142955821598</v>
      </c>
      <c r="P56">
        <f t="shared" si="5"/>
        <v>11870.320191801231</v>
      </c>
      <c r="R56">
        <f t="shared" si="6"/>
        <v>27.174270430655831</v>
      </c>
    </row>
    <row r="57" spans="1:18" x14ac:dyDescent="0.35">
      <c r="A57" t="s">
        <v>60</v>
      </c>
      <c r="B57" t="s">
        <v>6</v>
      </c>
      <c r="C57">
        <v>107</v>
      </c>
      <c r="E57">
        <f t="shared" si="7"/>
        <v>11870.320191801231</v>
      </c>
      <c r="F57" s="8">
        <f t="shared" si="26"/>
        <v>53.416440863105542</v>
      </c>
      <c r="G57" s="9">
        <f t="shared" si="1"/>
        <v>13.460943097502597</v>
      </c>
      <c r="H57">
        <f t="shared" si="2"/>
        <v>11883.781134898734</v>
      </c>
      <c r="K57" t="s">
        <v>12</v>
      </c>
      <c r="L57">
        <v>108</v>
      </c>
      <c r="N57" s="6">
        <f t="shared" si="27"/>
        <v>54.665393220534177</v>
      </c>
      <c r="O57" s="11">
        <f t="shared" si="4"/>
        <v>13.775679091574613</v>
      </c>
      <c r="P57">
        <f t="shared" si="5"/>
        <v>11897.55681399031</v>
      </c>
      <c r="R57">
        <f t="shared" si="6"/>
        <v>27.23662218907721</v>
      </c>
    </row>
    <row r="58" spans="1:18" x14ac:dyDescent="0.35">
      <c r="A58" t="s">
        <v>61</v>
      </c>
      <c r="B58" t="s">
        <v>6</v>
      </c>
      <c r="C58">
        <v>109</v>
      </c>
      <c r="E58">
        <f t="shared" si="7"/>
        <v>11897.55681399031</v>
      </c>
      <c r="F58" s="8">
        <f t="shared" si="26"/>
        <v>53.539005662956399</v>
      </c>
      <c r="G58" s="9">
        <f t="shared" si="1"/>
        <v>13.491829427065012</v>
      </c>
      <c r="H58">
        <f t="shared" si="2"/>
        <v>11911.048643417374</v>
      </c>
      <c r="K58" t="s">
        <v>12</v>
      </c>
      <c r="L58">
        <v>110</v>
      </c>
      <c r="N58" s="6">
        <f>H58*0.46%</f>
        <v>54.79082375971992</v>
      </c>
      <c r="O58" s="11">
        <f t="shared" si="4"/>
        <v>13.807287587449419</v>
      </c>
      <c r="P58">
        <f t="shared" si="5"/>
        <v>11924.855931004824</v>
      </c>
      <c r="R58">
        <f t="shared" si="6"/>
        <v>27.29911701451443</v>
      </c>
    </row>
    <row r="59" spans="1:18" s="6" customFormat="1" x14ac:dyDescent="0.35">
      <c r="A59" s="6" t="s">
        <v>62</v>
      </c>
      <c r="B59" s="6" t="s">
        <v>6</v>
      </c>
      <c r="C59" s="6">
        <v>111</v>
      </c>
      <c r="D59" s="7">
        <v>4.0000000000000001E-3</v>
      </c>
      <c r="E59" s="6">
        <f t="shared" si="7"/>
        <v>11924.855931004824</v>
      </c>
      <c r="F59" s="8">
        <f>E59*0.4%</f>
        <v>47.699423724019297</v>
      </c>
      <c r="G59" s="9">
        <f t="shared" si="1"/>
        <v>12.020254778452863</v>
      </c>
      <c r="H59" s="6">
        <f t="shared" si="2"/>
        <v>11936.876185783276</v>
      </c>
      <c r="K59" s="6" t="s">
        <v>6</v>
      </c>
      <c r="L59" s="6">
        <v>112</v>
      </c>
      <c r="M59" s="7">
        <v>3.5000000000000001E-3</v>
      </c>
      <c r="N59" s="6">
        <f>H59*0.35%</f>
        <v>41.779066650241461</v>
      </c>
      <c r="O59" s="11">
        <f t="shared" si="4"/>
        <v>10.528324795860849</v>
      </c>
      <c r="P59" s="6">
        <f t="shared" si="5"/>
        <v>11947.404510579137</v>
      </c>
      <c r="R59" s="6">
        <f t="shared" si="6"/>
        <v>22.548579574313713</v>
      </c>
    </row>
    <row r="60" spans="1:18" x14ac:dyDescent="0.35">
      <c r="A60" t="s">
        <v>63</v>
      </c>
      <c r="B60" t="s">
        <v>6</v>
      </c>
      <c r="C60">
        <v>113</v>
      </c>
      <c r="E60">
        <f t="shared" si="7"/>
        <v>11947.404510579137</v>
      </c>
      <c r="F60" s="8">
        <f t="shared" ref="F60:F63" si="28">E60*0.4%</f>
        <v>47.789618042316548</v>
      </c>
      <c r="G60" s="9">
        <f t="shared" si="1"/>
        <v>12.04298374666377</v>
      </c>
      <c r="H60">
        <f t="shared" si="2"/>
        <v>11959.447494325801</v>
      </c>
      <c r="K60" t="s">
        <v>6</v>
      </c>
      <c r="L60">
        <v>114</v>
      </c>
      <c r="N60" s="6">
        <f t="shared" ref="N60:N63" si="29">H60*0.35%</f>
        <v>41.858066230140302</v>
      </c>
      <c r="O60" s="11">
        <f t="shared" si="4"/>
        <v>10.548232689995356</v>
      </c>
      <c r="P60">
        <f t="shared" si="5"/>
        <v>11969.995727015796</v>
      </c>
      <c r="R60">
        <f t="shared" si="6"/>
        <v>22.591216436659124</v>
      </c>
    </row>
    <row r="61" spans="1:18" x14ac:dyDescent="0.35">
      <c r="A61" t="s">
        <v>64</v>
      </c>
      <c r="B61" t="s">
        <v>6</v>
      </c>
      <c r="C61">
        <v>115</v>
      </c>
      <c r="E61">
        <f t="shared" si="7"/>
        <v>11969.995727015796</v>
      </c>
      <c r="F61" s="8">
        <f t="shared" si="28"/>
        <v>47.879982908063184</v>
      </c>
      <c r="G61" s="9">
        <f t="shared" si="1"/>
        <v>12.065755692831923</v>
      </c>
      <c r="H61">
        <f t="shared" si="2"/>
        <v>11982.061482708628</v>
      </c>
      <c r="K61" t="s">
        <v>6</v>
      </c>
      <c r="L61">
        <v>116</v>
      </c>
      <c r="N61" s="6">
        <f t="shared" si="29"/>
        <v>41.937215189480192</v>
      </c>
      <c r="O61" s="11">
        <f t="shared" si="4"/>
        <v>10.568178227749009</v>
      </c>
      <c r="P61">
        <f t="shared" si="5"/>
        <v>11992.629660936378</v>
      </c>
      <c r="R61">
        <f t="shared" si="6"/>
        <v>22.63393392058093</v>
      </c>
    </row>
    <row r="62" spans="1:18" x14ac:dyDescent="0.35">
      <c r="A62" t="s">
        <v>65</v>
      </c>
      <c r="B62" t="s">
        <v>6</v>
      </c>
      <c r="C62">
        <v>117</v>
      </c>
      <c r="E62">
        <f t="shared" si="7"/>
        <v>11992.629660936378</v>
      </c>
      <c r="F62" s="8">
        <f t="shared" si="28"/>
        <v>47.970518643745514</v>
      </c>
      <c r="G62" s="9">
        <f t="shared" si="1"/>
        <v>12.088570698223869</v>
      </c>
      <c r="H62">
        <f t="shared" si="2"/>
        <v>12004.718231634602</v>
      </c>
      <c r="K62" t="s">
        <v>6</v>
      </c>
      <c r="L62">
        <v>118</v>
      </c>
      <c r="N62" s="6">
        <f t="shared" si="29"/>
        <v>42.016513810721108</v>
      </c>
      <c r="O62" s="11">
        <f t="shared" si="4"/>
        <v>10.58816148030172</v>
      </c>
      <c r="P62">
        <f t="shared" si="5"/>
        <v>12015.306393114904</v>
      </c>
      <c r="R62">
        <f t="shared" si="6"/>
        <v>22.67673217852559</v>
      </c>
    </row>
    <row r="63" spans="1:18" s="13" customFormat="1" x14ac:dyDescent="0.35">
      <c r="A63" s="13" t="s">
        <v>66</v>
      </c>
      <c r="B63" s="13" t="s">
        <v>6</v>
      </c>
      <c r="C63" s="13">
        <v>119</v>
      </c>
      <c r="E63" s="13">
        <f t="shared" si="7"/>
        <v>12015.306393114904</v>
      </c>
      <c r="F63" s="14">
        <f t="shared" si="28"/>
        <v>48.06122557245962</v>
      </c>
      <c r="G63" s="9">
        <f t="shared" si="1"/>
        <v>12.111428844259825</v>
      </c>
      <c r="H63" s="13">
        <f t="shared" si="2"/>
        <v>12027.417821959165</v>
      </c>
      <c r="K63" s="13" t="s">
        <v>6</v>
      </c>
      <c r="L63" s="13">
        <v>120</v>
      </c>
      <c r="N63" s="13">
        <f t="shared" si="29"/>
        <v>42.095962376857074</v>
      </c>
      <c r="O63" s="11">
        <f t="shared" si="4"/>
        <v>10.608182518967983</v>
      </c>
      <c r="P63" s="13">
        <f t="shared" si="5"/>
        <v>12038.026004478133</v>
      </c>
      <c r="R63" s="13">
        <f t="shared" si="6"/>
        <v>22.719611363227806</v>
      </c>
    </row>
    <row r="64" spans="1:18" s="6" customFormat="1" x14ac:dyDescent="0.35">
      <c r="A64" s="6" t="s">
        <v>67</v>
      </c>
      <c r="B64" s="6" t="s">
        <v>5</v>
      </c>
      <c r="C64" s="6">
        <v>121</v>
      </c>
      <c r="D64" s="7">
        <v>3.7000000000000002E-3</v>
      </c>
      <c r="E64" s="6">
        <f t="shared" si="7"/>
        <v>12038.026004478133</v>
      </c>
      <c r="F64" s="8">
        <f>E64*0.37%</f>
        <v>44.540696216569096</v>
      </c>
      <c r="G64" s="9">
        <f t="shared" si="1"/>
        <v>11.224255446575413</v>
      </c>
      <c r="H64" s="6">
        <f t="shared" si="2"/>
        <v>12049.250259924709</v>
      </c>
      <c r="I64" s="10">
        <v>0.35</v>
      </c>
      <c r="J64" s="10"/>
      <c r="K64" s="10" t="s">
        <v>6</v>
      </c>
      <c r="L64" s="6">
        <v>122</v>
      </c>
      <c r="M64" s="7">
        <v>3.0000000000000001E-3</v>
      </c>
      <c r="N64" s="6">
        <f>H64*0.3%</f>
        <v>36.147750779774128</v>
      </c>
      <c r="O64" s="11">
        <f t="shared" si="4"/>
        <v>9.1092331965030802</v>
      </c>
      <c r="P64" s="6">
        <f t="shared" si="5"/>
        <v>12058.359493121212</v>
      </c>
      <c r="Q64" s="12">
        <v>0.4</v>
      </c>
      <c r="R64" s="6">
        <f t="shared" si="6"/>
        <v>20.333488643078493</v>
      </c>
    </row>
    <row r="65" spans="1:18" x14ac:dyDescent="0.35">
      <c r="A65" t="s">
        <v>68</v>
      </c>
      <c r="B65" t="s">
        <v>5</v>
      </c>
      <c r="C65">
        <v>123</v>
      </c>
      <c r="E65">
        <f t="shared" si="7"/>
        <v>12058.359493121212</v>
      </c>
      <c r="F65" s="8">
        <f t="shared" ref="F65:F68" si="30">E65*0.37%</f>
        <v>44.615930124548484</v>
      </c>
      <c r="G65" s="9">
        <f t="shared" si="1"/>
        <v>11.243214391386218</v>
      </c>
      <c r="H65">
        <f t="shared" si="2"/>
        <v>12069.602707512598</v>
      </c>
      <c r="K65" t="s">
        <v>6</v>
      </c>
      <c r="L65">
        <v>124</v>
      </c>
      <c r="N65" s="6">
        <f t="shared" ref="N65:N68" si="31">H65*0.3%</f>
        <v>36.208808122537796</v>
      </c>
      <c r="O65" s="11">
        <f t="shared" si="4"/>
        <v>9.1246196468795251</v>
      </c>
      <c r="P65">
        <f t="shared" si="5"/>
        <v>12078.727327159479</v>
      </c>
      <c r="R65">
        <f t="shared" si="6"/>
        <v>20.367834038265741</v>
      </c>
    </row>
    <row r="66" spans="1:18" x14ac:dyDescent="0.35">
      <c r="A66" t="s">
        <v>69</v>
      </c>
      <c r="B66" t="s">
        <v>5</v>
      </c>
      <c r="C66">
        <v>125</v>
      </c>
      <c r="E66">
        <f t="shared" si="7"/>
        <v>12078.727327159479</v>
      </c>
      <c r="F66" s="8">
        <f t="shared" si="30"/>
        <v>44.69129111049007</v>
      </c>
      <c r="G66" s="9">
        <f t="shared" si="1"/>
        <v>11.262205359843497</v>
      </c>
      <c r="H66">
        <f t="shared" si="2"/>
        <v>12089.989532519323</v>
      </c>
      <c r="K66" t="s">
        <v>6</v>
      </c>
      <c r="L66">
        <v>126</v>
      </c>
      <c r="N66" s="6">
        <f t="shared" si="31"/>
        <v>36.26996859755797</v>
      </c>
      <c r="O66" s="11">
        <f t="shared" si="4"/>
        <v>9.1400320865846076</v>
      </c>
      <c r="P66">
        <f t="shared" si="5"/>
        <v>12099.129564605908</v>
      </c>
      <c r="R66">
        <f t="shared" si="6"/>
        <v>20.402237446428103</v>
      </c>
    </row>
    <row r="67" spans="1:18" x14ac:dyDescent="0.35">
      <c r="A67" t="s">
        <v>70</v>
      </c>
      <c r="B67" t="s">
        <v>5</v>
      </c>
      <c r="C67">
        <v>127</v>
      </c>
      <c r="E67">
        <f t="shared" si="7"/>
        <v>12099.129564605908</v>
      </c>
      <c r="F67" s="8">
        <f t="shared" si="30"/>
        <v>44.766779389041858</v>
      </c>
      <c r="G67" s="9">
        <f t="shared" si="1"/>
        <v>11.281228406038549</v>
      </c>
      <c r="H67">
        <f t="shared" si="2"/>
        <v>12110.410793011946</v>
      </c>
      <c r="K67" t="s">
        <v>6</v>
      </c>
      <c r="L67">
        <v>128</v>
      </c>
      <c r="N67" s="6">
        <f t="shared" si="31"/>
        <v>36.331232379035839</v>
      </c>
      <c r="O67" s="11">
        <f t="shared" si="4"/>
        <v>9.1554705595170311</v>
      </c>
      <c r="P67">
        <f t="shared" si="5"/>
        <v>12119.566263571463</v>
      </c>
      <c r="R67">
        <f t="shared" si="6"/>
        <v>20.436698965555578</v>
      </c>
    </row>
    <row r="68" spans="1:18" x14ac:dyDescent="0.35">
      <c r="A68" t="s">
        <v>71</v>
      </c>
      <c r="B68" t="s">
        <v>5</v>
      </c>
      <c r="C68">
        <v>129</v>
      </c>
      <c r="E68">
        <f t="shared" si="7"/>
        <v>12119.566263571463</v>
      </c>
      <c r="F68" s="8">
        <f t="shared" si="30"/>
        <v>44.842395175214413</v>
      </c>
      <c r="G68" s="9">
        <f t="shared" si="1"/>
        <v>11.300283584154032</v>
      </c>
      <c r="H68">
        <f t="shared" si="2"/>
        <v>12130.866547155618</v>
      </c>
      <c r="K68" t="s">
        <v>6</v>
      </c>
      <c r="L68">
        <v>130</v>
      </c>
      <c r="N68" s="6">
        <f t="shared" si="31"/>
        <v>36.392599641466852</v>
      </c>
      <c r="O68" s="11">
        <f t="shared" si="4"/>
        <v>9.1709351096496459</v>
      </c>
      <c r="P68">
        <f t="shared" si="5"/>
        <v>12140.037482265267</v>
      </c>
      <c r="R68">
        <f t="shared" si="6"/>
        <v>20.471218693803678</v>
      </c>
    </row>
    <row r="69" spans="1:18" s="6" customFormat="1" x14ac:dyDescent="0.35">
      <c r="A69" s="6" t="s">
        <v>72</v>
      </c>
      <c r="B69" s="6" t="s">
        <v>6</v>
      </c>
      <c r="C69" s="6">
        <v>131</v>
      </c>
      <c r="D69" s="7">
        <v>3.0000000000000001E-3</v>
      </c>
      <c r="E69" s="6">
        <f t="shared" si="7"/>
        <v>12140.037482265267</v>
      </c>
      <c r="F69" s="8">
        <f t="shared" ref="F69:F73" si="32">E69*0.3%</f>
        <v>36.420112446795798</v>
      </c>
      <c r="G69" s="9">
        <f t="shared" ref="G69:G132" si="33">F69*25.2%</f>
        <v>9.1778683365925406</v>
      </c>
      <c r="H69" s="6">
        <f t="shared" ref="H69:H132" si="34">G69+E69</f>
        <v>12149.215350601859</v>
      </c>
      <c r="K69" s="6" t="s">
        <v>12</v>
      </c>
      <c r="L69" s="6">
        <v>132</v>
      </c>
      <c r="M69" s="7">
        <v>4.0000000000000001E-3</v>
      </c>
      <c r="N69" s="6">
        <f t="shared" ref="N69:N73" si="35">H69*0.4%</f>
        <v>48.596861402407434</v>
      </c>
      <c r="O69" s="11">
        <f t="shared" ref="O69:O132" si="36">N69*25.2%</f>
        <v>12.246409073406673</v>
      </c>
      <c r="P69" s="6">
        <f t="shared" ref="P69:P132" si="37">O69+H69</f>
        <v>12161.461759675265</v>
      </c>
      <c r="R69" s="6">
        <f t="shared" ref="R69:R132" si="38">O69+G69</f>
        <v>21.424277409999213</v>
      </c>
    </row>
    <row r="70" spans="1:18" x14ac:dyDescent="0.35">
      <c r="A70" t="s">
        <v>73</v>
      </c>
      <c r="B70" t="s">
        <v>6</v>
      </c>
      <c r="C70">
        <v>133</v>
      </c>
      <c r="E70">
        <f t="shared" ref="E70:E133" si="39">P69</f>
        <v>12161.461759675265</v>
      </c>
      <c r="F70" s="8">
        <f t="shared" si="32"/>
        <v>36.484385279025794</v>
      </c>
      <c r="G70" s="9">
        <f t="shared" si="33"/>
        <v>9.1940650903145009</v>
      </c>
      <c r="H70">
        <f t="shared" si="34"/>
        <v>12170.655824765579</v>
      </c>
      <c r="K70" t="s">
        <v>12</v>
      </c>
      <c r="L70">
        <v>134</v>
      </c>
      <c r="N70" s="6">
        <f t="shared" si="35"/>
        <v>48.682623299062321</v>
      </c>
      <c r="O70" s="11">
        <f t="shared" si="36"/>
        <v>12.268021071363705</v>
      </c>
      <c r="P70">
        <f t="shared" si="37"/>
        <v>12182.923845836944</v>
      </c>
      <c r="R70">
        <f t="shared" si="38"/>
        <v>21.462086161678208</v>
      </c>
    </row>
    <row r="71" spans="1:18" x14ac:dyDescent="0.35">
      <c r="A71" t="s">
        <v>74</v>
      </c>
      <c r="B71" t="s">
        <v>6</v>
      </c>
      <c r="C71">
        <v>135</v>
      </c>
      <c r="E71">
        <f t="shared" si="39"/>
        <v>12182.923845836944</v>
      </c>
      <c r="F71" s="8">
        <f t="shared" si="32"/>
        <v>36.548771537510831</v>
      </c>
      <c r="G71" s="9">
        <f t="shared" si="33"/>
        <v>9.2102904274527297</v>
      </c>
      <c r="H71">
        <f t="shared" si="34"/>
        <v>12192.134136264396</v>
      </c>
      <c r="K71" t="s">
        <v>12</v>
      </c>
      <c r="L71">
        <v>136</v>
      </c>
      <c r="N71" s="6">
        <f t="shared" si="35"/>
        <v>48.768536545057586</v>
      </c>
      <c r="O71" s="11">
        <f t="shared" si="36"/>
        <v>12.289671209354511</v>
      </c>
      <c r="P71">
        <f t="shared" si="37"/>
        <v>12204.423807473751</v>
      </c>
      <c r="R71">
        <f t="shared" si="38"/>
        <v>21.499961636807242</v>
      </c>
    </row>
    <row r="72" spans="1:18" x14ac:dyDescent="0.35">
      <c r="A72" t="s">
        <v>75</v>
      </c>
      <c r="B72" t="s">
        <v>6</v>
      </c>
      <c r="C72">
        <v>137</v>
      </c>
      <c r="E72">
        <f t="shared" si="39"/>
        <v>12204.423807473751</v>
      </c>
      <c r="F72" s="8">
        <f t="shared" si="32"/>
        <v>36.613271422421256</v>
      </c>
      <c r="G72" s="9">
        <f t="shared" si="33"/>
        <v>9.2265443984501569</v>
      </c>
      <c r="H72">
        <f t="shared" si="34"/>
        <v>12213.650351872202</v>
      </c>
      <c r="K72" t="s">
        <v>12</v>
      </c>
      <c r="L72">
        <v>138</v>
      </c>
      <c r="N72" s="6">
        <f t="shared" si="35"/>
        <v>48.854601407488808</v>
      </c>
      <c r="O72" s="11">
        <f t="shared" si="36"/>
        <v>12.311359554687179</v>
      </c>
      <c r="P72">
        <f t="shared" si="37"/>
        <v>12225.961711426889</v>
      </c>
      <c r="R72">
        <f t="shared" si="38"/>
        <v>21.537903953137338</v>
      </c>
    </row>
    <row r="73" spans="1:18" x14ac:dyDescent="0.35">
      <c r="A73" t="s">
        <v>76</v>
      </c>
      <c r="B73" t="s">
        <v>6</v>
      </c>
      <c r="C73">
        <v>139</v>
      </c>
      <c r="E73">
        <f t="shared" si="39"/>
        <v>12225.961711426889</v>
      </c>
      <c r="F73" s="8">
        <f t="shared" si="32"/>
        <v>36.677885134280672</v>
      </c>
      <c r="G73" s="9">
        <f t="shared" si="33"/>
        <v>9.2428270538387292</v>
      </c>
      <c r="H73">
        <f t="shared" si="34"/>
        <v>12235.204538480728</v>
      </c>
      <c r="K73" t="s">
        <v>12</v>
      </c>
      <c r="L73">
        <v>140</v>
      </c>
      <c r="N73" s="6">
        <f t="shared" si="35"/>
        <v>48.940818153922912</v>
      </c>
      <c r="O73" s="11">
        <f t="shared" si="36"/>
        <v>12.333086174788574</v>
      </c>
      <c r="P73">
        <f t="shared" si="37"/>
        <v>12247.537624655517</v>
      </c>
      <c r="R73">
        <f t="shared" si="38"/>
        <v>21.575913228627304</v>
      </c>
    </row>
    <row r="74" spans="1:18" s="6" customFormat="1" x14ac:dyDescent="0.35">
      <c r="A74" s="6" t="s">
        <v>77</v>
      </c>
      <c r="B74" s="6" t="s">
        <v>5</v>
      </c>
      <c r="C74" s="6">
        <v>141</v>
      </c>
      <c r="D74" s="7">
        <v>4.0000000000000001E-3</v>
      </c>
      <c r="E74" s="6">
        <f t="shared" si="39"/>
        <v>12247.537624655517</v>
      </c>
      <c r="F74" s="8">
        <f>E74*0.4%</f>
        <v>48.990150498622071</v>
      </c>
      <c r="G74" s="9">
        <f t="shared" si="33"/>
        <v>12.345517925652763</v>
      </c>
      <c r="H74" s="6">
        <f t="shared" si="34"/>
        <v>12259.88314258117</v>
      </c>
      <c r="K74" s="6" t="s">
        <v>12</v>
      </c>
      <c r="L74" s="6">
        <v>142</v>
      </c>
      <c r="M74" s="7">
        <v>5.0000000000000001E-3</v>
      </c>
      <c r="N74" s="6">
        <f>H74*0.5%</f>
        <v>61.299415712905848</v>
      </c>
      <c r="O74" s="11">
        <f t="shared" si="36"/>
        <v>15.447452759652274</v>
      </c>
      <c r="P74" s="6">
        <f t="shared" si="37"/>
        <v>12275.330595340822</v>
      </c>
      <c r="R74" s="6">
        <f t="shared" si="38"/>
        <v>27.792970685305036</v>
      </c>
    </row>
    <row r="75" spans="1:18" x14ac:dyDescent="0.35">
      <c r="A75" t="s">
        <v>78</v>
      </c>
      <c r="B75" t="s">
        <v>5</v>
      </c>
      <c r="C75">
        <v>143</v>
      </c>
      <c r="E75">
        <f t="shared" si="39"/>
        <v>12275.330595340822</v>
      </c>
      <c r="F75" s="8">
        <f t="shared" ref="F75:F78" si="40">E75*0.4%</f>
        <v>49.101322381363289</v>
      </c>
      <c r="G75" s="9">
        <f t="shared" si="33"/>
        <v>12.37353324010355</v>
      </c>
      <c r="H75">
        <f t="shared" si="34"/>
        <v>12287.704128580925</v>
      </c>
      <c r="K75" t="s">
        <v>12</v>
      </c>
      <c r="L75">
        <v>144</v>
      </c>
      <c r="N75" s="6">
        <f t="shared" ref="N75:N78" si="41">H75*0.5%</f>
        <v>61.438520642904621</v>
      </c>
      <c r="O75" s="11">
        <f t="shared" si="36"/>
        <v>15.482507202011965</v>
      </c>
      <c r="P75">
        <f t="shared" si="37"/>
        <v>12303.186635782937</v>
      </c>
      <c r="R75">
        <f t="shared" si="38"/>
        <v>27.856040442115514</v>
      </c>
    </row>
    <row r="76" spans="1:18" x14ac:dyDescent="0.35">
      <c r="A76" t="s">
        <v>79</v>
      </c>
      <c r="B76" t="s">
        <v>5</v>
      </c>
      <c r="C76">
        <v>145</v>
      </c>
      <c r="E76">
        <f t="shared" si="39"/>
        <v>12303.186635782937</v>
      </c>
      <c r="F76" s="8">
        <f t="shared" si="40"/>
        <v>49.21274654313175</v>
      </c>
      <c r="G76" s="9">
        <f t="shared" si="33"/>
        <v>12.401612128869202</v>
      </c>
      <c r="H76">
        <f t="shared" si="34"/>
        <v>12315.588247911806</v>
      </c>
      <c r="K76" t="s">
        <v>12</v>
      </c>
      <c r="L76">
        <v>146</v>
      </c>
      <c r="N76" s="6">
        <f t="shared" si="41"/>
        <v>61.577941239559031</v>
      </c>
      <c r="O76" s="11">
        <f t="shared" si="36"/>
        <v>15.517641192368876</v>
      </c>
      <c r="P76">
        <f t="shared" si="37"/>
        <v>12331.105889104176</v>
      </c>
      <c r="R76">
        <f t="shared" si="38"/>
        <v>27.919253321238077</v>
      </c>
    </row>
    <row r="77" spans="1:18" x14ac:dyDescent="0.35">
      <c r="A77" t="s">
        <v>80</v>
      </c>
      <c r="B77" t="s">
        <v>5</v>
      </c>
      <c r="C77">
        <v>147</v>
      </c>
      <c r="E77">
        <f t="shared" si="39"/>
        <v>12331.105889104176</v>
      </c>
      <c r="F77" s="8">
        <f t="shared" si="40"/>
        <v>49.324423556416704</v>
      </c>
      <c r="G77" s="9">
        <f t="shared" si="33"/>
        <v>12.42975473621701</v>
      </c>
      <c r="H77">
        <f t="shared" si="34"/>
        <v>12343.535643840392</v>
      </c>
      <c r="K77" t="s">
        <v>12</v>
      </c>
      <c r="L77">
        <v>148</v>
      </c>
      <c r="N77" s="6">
        <f t="shared" si="41"/>
        <v>61.717678219201964</v>
      </c>
      <c r="O77" s="11">
        <f t="shared" si="36"/>
        <v>15.552854911238896</v>
      </c>
      <c r="P77">
        <f t="shared" si="37"/>
        <v>12359.088498751631</v>
      </c>
      <c r="R77">
        <f t="shared" si="38"/>
        <v>27.982609647455906</v>
      </c>
    </row>
    <row r="78" spans="1:18" x14ac:dyDescent="0.35">
      <c r="A78" t="s">
        <v>81</v>
      </c>
      <c r="B78" t="s">
        <v>5</v>
      </c>
      <c r="C78">
        <v>149</v>
      </c>
      <c r="E78">
        <f t="shared" si="39"/>
        <v>12359.088498751631</v>
      </c>
      <c r="F78" s="8">
        <f t="shared" si="40"/>
        <v>49.436353995006527</v>
      </c>
      <c r="G78" s="9">
        <f t="shared" si="33"/>
        <v>12.457961206741645</v>
      </c>
      <c r="H78">
        <f t="shared" si="34"/>
        <v>12371.546459958372</v>
      </c>
      <c r="K78" t="s">
        <v>12</v>
      </c>
      <c r="L78">
        <v>150</v>
      </c>
      <c r="N78" s="6">
        <f t="shared" si="41"/>
        <v>61.857732299791863</v>
      </c>
      <c r="O78" s="11">
        <f t="shared" si="36"/>
        <v>15.58814853954755</v>
      </c>
      <c r="P78">
        <f t="shared" si="37"/>
        <v>12387.13460849792</v>
      </c>
      <c r="R78">
        <f t="shared" si="38"/>
        <v>28.046109746289197</v>
      </c>
    </row>
    <row r="79" spans="1:18" s="6" customFormat="1" x14ac:dyDescent="0.35">
      <c r="A79" s="6" t="s">
        <v>82</v>
      </c>
      <c r="B79" s="6" t="s">
        <v>5</v>
      </c>
      <c r="C79" s="6">
        <v>151</v>
      </c>
      <c r="D79" s="7">
        <v>5.0000000000000001E-3</v>
      </c>
      <c r="E79" s="6">
        <f t="shared" si="39"/>
        <v>12387.13460849792</v>
      </c>
      <c r="F79" s="8">
        <f>E79*0.5%</f>
        <v>61.935673042489597</v>
      </c>
      <c r="G79" s="9">
        <f t="shared" si="33"/>
        <v>15.607789606707378</v>
      </c>
      <c r="H79" s="6">
        <f t="shared" si="34"/>
        <v>12402.742398104627</v>
      </c>
      <c r="K79" s="6" t="s">
        <v>6</v>
      </c>
      <c r="L79" s="6">
        <v>152</v>
      </c>
      <c r="M79" s="7">
        <v>4.4999999999999997E-3</v>
      </c>
      <c r="N79" s="6">
        <f>H79*0.45%</f>
        <v>55.812340791470824</v>
      </c>
      <c r="O79" s="11">
        <f t="shared" si="36"/>
        <v>14.064709879450648</v>
      </c>
      <c r="P79" s="6">
        <f t="shared" si="37"/>
        <v>12416.807107984077</v>
      </c>
      <c r="R79" s="6">
        <f t="shared" si="38"/>
        <v>29.672499486158024</v>
      </c>
    </row>
    <row r="80" spans="1:18" x14ac:dyDescent="0.35">
      <c r="A80" t="s">
        <v>83</v>
      </c>
      <c r="B80" t="s">
        <v>5</v>
      </c>
      <c r="C80">
        <v>153</v>
      </c>
      <c r="E80">
        <f t="shared" si="39"/>
        <v>12416.807107984077</v>
      </c>
      <c r="F80" s="8">
        <f t="shared" ref="F80:F83" si="42">E80*0.5%</f>
        <v>62.084035539920386</v>
      </c>
      <c r="G80" s="9">
        <f t="shared" si="33"/>
        <v>15.645176956059938</v>
      </c>
      <c r="H80">
        <f t="shared" si="34"/>
        <v>12432.452284940138</v>
      </c>
      <c r="K80" t="s">
        <v>6</v>
      </c>
      <c r="L80">
        <v>154</v>
      </c>
      <c r="N80" s="6">
        <f t="shared" ref="N80:N83" si="43">H80*0.45%</f>
        <v>55.946035282230632</v>
      </c>
      <c r="O80" s="11">
        <f t="shared" si="36"/>
        <v>14.09840089112212</v>
      </c>
      <c r="P80">
        <f t="shared" si="37"/>
        <v>12446.55068583126</v>
      </c>
      <c r="R80">
        <f t="shared" si="38"/>
        <v>29.74357784718206</v>
      </c>
    </row>
    <row r="81" spans="1:18" x14ac:dyDescent="0.35">
      <c r="A81" t="s">
        <v>84</v>
      </c>
      <c r="B81" t="s">
        <v>5</v>
      </c>
      <c r="C81">
        <v>155</v>
      </c>
      <c r="E81">
        <f t="shared" si="39"/>
        <v>12446.55068583126</v>
      </c>
      <c r="F81" s="8">
        <f t="shared" si="42"/>
        <v>62.232753429156304</v>
      </c>
      <c r="G81" s="9">
        <f t="shared" si="33"/>
        <v>15.682653864147388</v>
      </c>
      <c r="H81">
        <f t="shared" si="34"/>
        <v>12462.233339695407</v>
      </c>
      <c r="K81" t="s">
        <v>6</v>
      </c>
      <c r="L81">
        <v>156</v>
      </c>
      <c r="N81" s="6">
        <f t="shared" si="43"/>
        <v>56.080050028629337</v>
      </c>
      <c r="O81" s="11">
        <f t="shared" si="36"/>
        <v>14.132172607214594</v>
      </c>
      <c r="P81">
        <f t="shared" si="37"/>
        <v>12476.365512302622</v>
      </c>
      <c r="R81">
        <f t="shared" si="38"/>
        <v>29.814826471361982</v>
      </c>
    </row>
    <row r="82" spans="1:18" x14ac:dyDescent="0.35">
      <c r="A82" t="s">
        <v>85</v>
      </c>
      <c r="B82" t="s">
        <v>5</v>
      </c>
      <c r="C82">
        <v>157</v>
      </c>
      <c r="E82">
        <f t="shared" si="39"/>
        <v>12476.365512302622</v>
      </c>
      <c r="F82" s="8">
        <f t="shared" si="42"/>
        <v>62.381827561513113</v>
      </c>
      <c r="G82" s="9">
        <f t="shared" si="33"/>
        <v>15.720220545501304</v>
      </c>
      <c r="H82">
        <f t="shared" si="34"/>
        <v>12492.085732848123</v>
      </c>
      <c r="K82" t="s">
        <v>6</v>
      </c>
      <c r="L82">
        <v>158</v>
      </c>
      <c r="N82" s="6">
        <f t="shared" si="43"/>
        <v>56.214385797816561</v>
      </c>
      <c r="O82" s="11">
        <f t="shared" si="36"/>
        <v>14.166025221049773</v>
      </c>
      <c r="P82">
        <f t="shared" si="37"/>
        <v>12506.251758069173</v>
      </c>
      <c r="R82">
        <f t="shared" si="38"/>
        <v>29.886245766551077</v>
      </c>
    </row>
    <row r="83" spans="1:18" x14ac:dyDescent="0.35">
      <c r="A83" t="s">
        <v>86</v>
      </c>
      <c r="B83" t="s">
        <v>5</v>
      </c>
      <c r="C83">
        <v>159</v>
      </c>
      <c r="E83">
        <f t="shared" si="39"/>
        <v>12506.251758069173</v>
      </c>
      <c r="F83" s="8">
        <f t="shared" si="42"/>
        <v>62.531258790345866</v>
      </c>
      <c r="G83" s="9">
        <f t="shared" si="33"/>
        <v>15.757877215167158</v>
      </c>
      <c r="H83">
        <f t="shared" si="34"/>
        <v>12522.009635284339</v>
      </c>
      <c r="K83" t="s">
        <v>6</v>
      </c>
      <c r="L83">
        <v>160</v>
      </c>
      <c r="N83" s="6">
        <f t="shared" si="43"/>
        <v>56.349043358779532</v>
      </c>
      <c r="O83" s="11">
        <f t="shared" si="36"/>
        <v>14.199958926412442</v>
      </c>
      <c r="P83">
        <f t="shared" si="37"/>
        <v>12536.209594210752</v>
      </c>
      <c r="R83">
        <f t="shared" si="38"/>
        <v>29.957836141579598</v>
      </c>
    </row>
    <row r="84" spans="1:18" s="6" customFormat="1" x14ac:dyDescent="0.35">
      <c r="A84" s="6" t="s">
        <v>87</v>
      </c>
      <c r="B84" s="6" t="s">
        <v>5</v>
      </c>
      <c r="C84" s="6">
        <v>161</v>
      </c>
      <c r="D84" s="7">
        <v>6.0000000000000001E-3</v>
      </c>
      <c r="E84" s="6">
        <f t="shared" si="39"/>
        <v>12536.209594210752</v>
      </c>
      <c r="F84" s="8">
        <f>E84*0.6%</f>
        <v>75.217257565264518</v>
      </c>
      <c r="G84" s="9">
        <f t="shared" si="33"/>
        <v>18.95474890644666</v>
      </c>
      <c r="H84" s="6">
        <f t="shared" si="34"/>
        <v>12555.164343117198</v>
      </c>
      <c r="K84" s="6" t="s">
        <v>12</v>
      </c>
      <c r="L84" s="6">
        <v>162</v>
      </c>
      <c r="M84" s="7">
        <v>7.0000000000000001E-3</v>
      </c>
      <c r="N84" s="6">
        <f>H84*0.7%</f>
        <v>87.886150401820373</v>
      </c>
      <c r="O84" s="11">
        <f t="shared" si="36"/>
        <v>22.147309901258733</v>
      </c>
      <c r="P84" s="6">
        <f t="shared" si="37"/>
        <v>12577.311653018456</v>
      </c>
      <c r="R84" s="6">
        <f t="shared" si="38"/>
        <v>41.10205880770539</v>
      </c>
    </row>
    <row r="85" spans="1:18" x14ac:dyDescent="0.35">
      <c r="A85" t="s">
        <v>88</v>
      </c>
      <c r="B85" t="s">
        <v>5</v>
      </c>
      <c r="C85">
        <v>163</v>
      </c>
      <c r="E85">
        <f t="shared" si="39"/>
        <v>12577.311653018456</v>
      </c>
      <c r="F85" s="8">
        <f t="shared" ref="F85:F88" si="44">E85*0.6%</f>
        <v>75.463869918110731</v>
      </c>
      <c r="G85" s="9">
        <f t="shared" si="33"/>
        <v>19.016895219363903</v>
      </c>
      <c r="H85">
        <f t="shared" si="34"/>
        <v>12596.32854823782</v>
      </c>
      <c r="K85" t="s">
        <v>12</v>
      </c>
      <c r="L85">
        <v>164</v>
      </c>
      <c r="N85" s="6">
        <f t="shared" ref="N85:N88" si="45">H85*0.7%</f>
        <v>88.174299837664734</v>
      </c>
      <c r="O85" s="11">
        <f t="shared" si="36"/>
        <v>22.219923559091512</v>
      </c>
      <c r="P85">
        <f t="shared" si="37"/>
        <v>12618.548471796912</v>
      </c>
      <c r="R85">
        <f t="shared" si="38"/>
        <v>41.236818778455415</v>
      </c>
    </row>
    <row r="86" spans="1:18" x14ac:dyDescent="0.35">
      <c r="A86" t="s">
        <v>89</v>
      </c>
      <c r="B86" t="s">
        <v>5</v>
      </c>
      <c r="C86">
        <v>165</v>
      </c>
      <c r="E86">
        <f t="shared" si="39"/>
        <v>12618.548471796912</v>
      </c>
      <c r="F86" s="8">
        <f t="shared" si="44"/>
        <v>75.711290830781479</v>
      </c>
      <c r="G86" s="9">
        <f t="shared" si="33"/>
        <v>19.079245289356933</v>
      </c>
      <c r="H86">
        <f t="shared" si="34"/>
        <v>12637.627717086269</v>
      </c>
      <c r="K86" t="s">
        <v>12</v>
      </c>
      <c r="L86">
        <v>166</v>
      </c>
      <c r="N86" s="6">
        <f t="shared" si="45"/>
        <v>88.463394019603868</v>
      </c>
      <c r="O86" s="11">
        <f t="shared" si="36"/>
        <v>22.292775292940174</v>
      </c>
      <c r="P86">
        <f t="shared" si="37"/>
        <v>12659.920492379209</v>
      </c>
      <c r="R86">
        <f t="shared" si="38"/>
        <v>41.372020582297111</v>
      </c>
    </row>
    <row r="87" spans="1:18" x14ac:dyDescent="0.35">
      <c r="A87" t="s">
        <v>90</v>
      </c>
      <c r="B87" t="s">
        <v>5</v>
      </c>
      <c r="C87">
        <v>167</v>
      </c>
      <c r="E87">
        <f t="shared" si="39"/>
        <v>12659.920492379209</v>
      </c>
      <c r="F87" s="8">
        <f t="shared" si="44"/>
        <v>75.959522954275258</v>
      </c>
      <c r="G87" s="9">
        <f t="shared" si="33"/>
        <v>19.141799784477364</v>
      </c>
      <c r="H87">
        <f t="shared" si="34"/>
        <v>12679.062292163686</v>
      </c>
      <c r="K87" t="s">
        <v>12</v>
      </c>
      <c r="L87">
        <v>168</v>
      </c>
      <c r="N87" s="6">
        <f t="shared" si="45"/>
        <v>88.75343604514579</v>
      </c>
      <c r="O87" s="11">
        <f t="shared" si="36"/>
        <v>22.365865883376738</v>
      </c>
      <c r="P87">
        <f t="shared" si="37"/>
        <v>12701.428158047063</v>
      </c>
      <c r="R87">
        <f t="shared" si="38"/>
        <v>41.507665667854099</v>
      </c>
    </row>
    <row r="88" spans="1:18" x14ac:dyDescent="0.35">
      <c r="A88" t="s">
        <v>91</v>
      </c>
      <c r="B88" t="s">
        <v>5</v>
      </c>
      <c r="C88">
        <v>169</v>
      </c>
      <c r="E88">
        <f t="shared" si="39"/>
        <v>12701.428158047063</v>
      </c>
      <c r="F88" s="8">
        <f t="shared" si="44"/>
        <v>76.208568948282377</v>
      </c>
      <c r="G88" s="9">
        <f t="shared" si="33"/>
        <v>19.204559374967157</v>
      </c>
      <c r="H88">
        <f t="shared" si="34"/>
        <v>12720.63271742203</v>
      </c>
      <c r="K88" t="s">
        <v>12</v>
      </c>
      <c r="L88">
        <v>170</v>
      </c>
      <c r="N88" s="6">
        <f t="shared" si="45"/>
        <v>89.044429021954201</v>
      </c>
      <c r="O88" s="11">
        <f t="shared" si="36"/>
        <v>22.439196113532457</v>
      </c>
      <c r="P88">
        <f t="shared" si="37"/>
        <v>12743.071913535561</v>
      </c>
      <c r="R88">
        <f t="shared" si="38"/>
        <v>41.643755488499615</v>
      </c>
    </row>
    <row r="89" spans="1:18" s="6" customFormat="1" x14ac:dyDescent="0.35">
      <c r="A89" s="6" t="s">
        <v>92</v>
      </c>
      <c r="B89" s="6" t="s">
        <v>5</v>
      </c>
      <c r="C89" s="6">
        <v>171</v>
      </c>
      <c r="D89" s="7">
        <v>7.0000000000000001E-3</v>
      </c>
      <c r="E89" s="6">
        <f t="shared" si="39"/>
        <v>12743.071913535561</v>
      </c>
      <c r="F89" s="8">
        <f>E89*0.7%</f>
        <v>89.201503394748926</v>
      </c>
      <c r="G89" s="9">
        <f t="shared" si="33"/>
        <v>22.47877885547673</v>
      </c>
      <c r="H89" s="6">
        <f t="shared" si="34"/>
        <v>12765.550692391038</v>
      </c>
      <c r="K89" s="6" t="s">
        <v>12</v>
      </c>
      <c r="L89" s="6">
        <v>172</v>
      </c>
      <c r="M89" s="7">
        <v>8.0000000000000002E-3</v>
      </c>
      <c r="N89" s="6">
        <f>H89*0.8%</f>
        <v>102.1244055391283</v>
      </c>
      <c r="O89" s="11">
        <f t="shared" si="36"/>
        <v>25.735350195860335</v>
      </c>
      <c r="P89" s="6">
        <f t="shared" si="37"/>
        <v>12791.286042586898</v>
      </c>
      <c r="R89" s="6">
        <f t="shared" si="38"/>
        <v>48.214129051337068</v>
      </c>
    </row>
    <row r="90" spans="1:18" x14ac:dyDescent="0.35">
      <c r="A90" t="s">
        <v>93</v>
      </c>
      <c r="B90" t="s">
        <v>5</v>
      </c>
      <c r="C90">
        <v>173</v>
      </c>
      <c r="E90">
        <f t="shared" si="39"/>
        <v>12791.286042586898</v>
      </c>
      <c r="F90" s="8">
        <f t="shared" ref="F90:F93" si="46">E90*0.7%</f>
        <v>89.539002298108286</v>
      </c>
      <c r="G90" s="9">
        <f t="shared" si="33"/>
        <v>22.563828579123289</v>
      </c>
      <c r="H90">
        <f t="shared" si="34"/>
        <v>12813.849871166021</v>
      </c>
      <c r="K90" t="s">
        <v>12</v>
      </c>
      <c r="L90">
        <v>174</v>
      </c>
      <c r="N90" s="6">
        <f t="shared" ref="N90:N93" si="47">H90*0.8%</f>
        <v>102.51079896932818</v>
      </c>
      <c r="O90" s="11">
        <f t="shared" si="36"/>
        <v>25.832721340270702</v>
      </c>
      <c r="P90">
        <f t="shared" si="37"/>
        <v>12839.682592506291</v>
      </c>
      <c r="R90">
        <f t="shared" si="38"/>
        <v>48.396549919393991</v>
      </c>
    </row>
    <row r="91" spans="1:18" x14ac:dyDescent="0.35">
      <c r="A91" t="s">
        <v>94</v>
      </c>
      <c r="B91" t="s">
        <v>5</v>
      </c>
      <c r="C91">
        <v>175</v>
      </c>
      <c r="E91">
        <f t="shared" si="39"/>
        <v>12839.682592506291</v>
      </c>
      <c r="F91" s="8">
        <f t="shared" si="46"/>
        <v>89.877778147544035</v>
      </c>
      <c r="G91" s="9">
        <f t="shared" si="33"/>
        <v>22.649200093181097</v>
      </c>
      <c r="H91">
        <f t="shared" si="34"/>
        <v>12862.331792599472</v>
      </c>
      <c r="K91" t="s">
        <v>12</v>
      </c>
      <c r="L91">
        <v>176</v>
      </c>
      <c r="N91" s="6">
        <f t="shared" si="47"/>
        <v>102.89865434079579</v>
      </c>
      <c r="O91" s="11">
        <f t="shared" si="36"/>
        <v>25.930460893880539</v>
      </c>
      <c r="P91">
        <f t="shared" si="37"/>
        <v>12888.262253493353</v>
      </c>
      <c r="R91">
        <f t="shared" si="38"/>
        <v>48.579660987061636</v>
      </c>
    </row>
    <row r="92" spans="1:18" x14ac:dyDescent="0.35">
      <c r="A92" t="s">
        <v>95</v>
      </c>
      <c r="B92" t="s">
        <v>5</v>
      </c>
      <c r="C92">
        <v>177</v>
      </c>
      <c r="E92">
        <f t="shared" si="39"/>
        <v>12888.262253493353</v>
      </c>
      <c r="F92" s="8">
        <f t="shared" si="46"/>
        <v>90.217835774453462</v>
      </c>
      <c r="G92" s="9">
        <f t="shared" si="33"/>
        <v>22.734894615162272</v>
      </c>
      <c r="H92">
        <f t="shared" si="34"/>
        <v>12910.997148108514</v>
      </c>
      <c r="K92" t="s">
        <v>12</v>
      </c>
      <c r="L92">
        <v>178</v>
      </c>
      <c r="N92" s="6">
        <f t="shared" si="47"/>
        <v>103.28797718486811</v>
      </c>
      <c r="O92" s="11">
        <f t="shared" si="36"/>
        <v>26.028570250586764</v>
      </c>
      <c r="P92">
        <f t="shared" si="37"/>
        <v>12937.0257183591</v>
      </c>
      <c r="R92">
        <f t="shared" si="38"/>
        <v>48.763464865749036</v>
      </c>
    </row>
    <row r="93" spans="1:18" s="13" customFormat="1" x14ac:dyDescent="0.35">
      <c r="A93" s="13" t="s">
        <v>96</v>
      </c>
      <c r="B93" s="13" t="s">
        <v>5</v>
      </c>
      <c r="C93" s="13">
        <v>179</v>
      </c>
      <c r="E93" s="13">
        <f t="shared" si="39"/>
        <v>12937.0257183591</v>
      </c>
      <c r="F93" s="14">
        <f t="shared" si="46"/>
        <v>90.559180028513694</v>
      </c>
      <c r="G93" s="9">
        <f t="shared" si="33"/>
        <v>22.820913367185451</v>
      </c>
      <c r="H93" s="13">
        <f t="shared" si="34"/>
        <v>12959.846631726286</v>
      </c>
      <c r="K93" s="13" t="s">
        <v>12</v>
      </c>
      <c r="L93" s="13">
        <v>180</v>
      </c>
      <c r="N93" s="13">
        <f t="shared" si="47"/>
        <v>103.67877305381029</v>
      </c>
      <c r="O93" s="11">
        <f t="shared" si="36"/>
        <v>26.127050809560192</v>
      </c>
      <c r="P93" s="13">
        <f t="shared" si="37"/>
        <v>12985.973682535847</v>
      </c>
      <c r="R93" s="13">
        <f t="shared" si="38"/>
        <v>48.947964176745643</v>
      </c>
    </row>
    <row r="94" spans="1:18" s="6" customFormat="1" x14ac:dyDescent="0.35">
      <c r="A94" s="6" t="s">
        <v>97</v>
      </c>
      <c r="B94" s="6" t="s">
        <v>6</v>
      </c>
      <c r="C94" s="6">
        <v>181</v>
      </c>
      <c r="D94" s="7">
        <v>6.4999999999999997E-3</v>
      </c>
      <c r="E94" s="6">
        <f t="shared" si="39"/>
        <v>12985.973682535847</v>
      </c>
      <c r="F94" s="8">
        <f>E94*0.65%</f>
        <v>84.408828936483005</v>
      </c>
      <c r="G94" s="9">
        <f t="shared" si="33"/>
        <v>21.271024891993719</v>
      </c>
      <c r="H94" s="6">
        <f t="shared" si="34"/>
        <v>13007.244707427841</v>
      </c>
      <c r="I94" s="12">
        <v>0.45</v>
      </c>
      <c r="J94" s="12"/>
      <c r="K94" s="12" t="s">
        <v>12</v>
      </c>
      <c r="L94" s="6">
        <v>182</v>
      </c>
      <c r="M94" s="7">
        <v>8.9999999999999993E-3</v>
      </c>
      <c r="N94" s="6">
        <f>H94*0.9%</f>
        <v>117.06520236685058</v>
      </c>
      <c r="O94" s="11">
        <f t="shared" si="36"/>
        <v>29.500430996446347</v>
      </c>
      <c r="P94" s="6">
        <f t="shared" si="37"/>
        <v>13036.745138424287</v>
      </c>
      <c r="R94" s="6">
        <f t="shared" si="38"/>
        <v>50.771455888440066</v>
      </c>
    </row>
    <row r="95" spans="1:18" x14ac:dyDescent="0.35">
      <c r="A95" t="s">
        <v>98</v>
      </c>
      <c r="B95" t="s">
        <v>6</v>
      </c>
      <c r="C95">
        <v>183</v>
      </c>
      <c r="E95">
        <f t="shared" si="39"/>
        <v>13036.745138424287</v>
      </c>
      <c r="F95" s="8">
        <f t="shared" ref="F95:F98" si="48">E95*0.65%</f>
        <v>84.738843399757869</v>
      </c>
      <c r="G95" s="9">
        <f t="shared" si="33"/>
        <v>21.354188536738985</v>
      </c>
      <c r="H95">
        <f t="shared" si="34"/>
        <v>13058.099326961026</v>
      </c>
      <c r="K95" t="s">
        <v>12</v>
      </c>
      <c r="L95">
        <v>184</v>
      </c>
      <c r="N95" s="6">
        <f t="shared" ref="N95:N98" si="49">H95*0.9%</f>
        <v>117.52289394264925</v>
      </c>
      <c r="O95" s="11">
        <f t="shared" si="36"/>
        <v>29.61576927354761</v>
      </c>
      <c r="P95">
        <f t="shared" si="37"/>
        <v>13087.715096234573</v>
      </c>
      <c r="R95">
        <f t="shared" si="38"/>
        <v>50.969957810286594</v>
      </c>
    </row>
    <row r="96" spans="1:18" x14ac:dyDescent="0.35">
      <c r="A96" t="s">
        <v>99</v>
      </c>
      <c r="B96" t="s">
        <v>6</v>
      </c>
      <c r="C96">
        <v>185</v>
      </c>
      <c r="E96">
        <f t="shared" si="39"/>
        <v>13087.715096234573</v>
      </c>
      <c r="F96" s="8">
        <f t="shared" si="48"/>
        <v>85.070148125524739</v>
      </c>
      <c r="G96" s="9">
        <f t="shared" si="33"/>
        <v>21.437677327632233</v>
      </c>
      <c r="H96">
        <f t="shared" si="34"/>
        <v>13109.152773562206</v>
      </c>
      <c r="K96" t="s">
        <v>12</v>
      </c>
      <c r="L96">
        <v>186</v>
      </c>
      <c r="N96" s="6">
        <f t="shared" si="49"/>
        <v>117.98237496205986</v>
      </c>
      <c r="O96" s="11">
        <f t="shared" si="36"/>
        <v>29.731558490439085</v>
      </c>
      <c r="P96">
        <f t="shared" si="37"/>
        <v>13138.884332052645</v>
      </c>
      <c r="R96">
        <f t="shared" si="38"/>
        <v>51.169235818071314</v>
      </c>
    </row>
    <row r="97" spans="1:18" x14ac:dyDescent="0.35">
      <c r="A97" t="s">
        <v>100</v>
      </c>
      <c r="B97" t="s">
        <v>6</v>
      </c>
      <c r="C97">
        <v>187</v>
      </c>
      <c r="E97">
        <f t="shared" si="39"/>
        <v>13138.884332052645</v>
      </c>
      <c r="F97" s="8">
        <f t="shared" si="48"/>
        <v>85.402748158342206</v>
      </c>
      <c r="G97" s="9">
        <f t="shared" si="33"/>
        <v>21.521492535902237</v>
      </c>
      <c r="H97">
        <f t="shared" si="34"/>
        <v>13160.405824588546</v>
      </c>
      <c r="K97" t="s">
        <v>12</v>
      </c>
      <c r="L97">
        <v>188</v>
      </c>
      <c r="N97" s="6">
        <f t="shared" si="49"/>
        <v>118.44365242129693</v>
      </c>
      <c r="O97" s="11">
        <f t="shared" si="36"/>
        <v>29.847800410166826</v>
      </c>
      <c r="P97">
        <f t="shared" si="37"/>
        <v>13190.253624998713</v>
      </c>
      <c r="R97">
        <f t="shared" si="38"/>
        <v>51.369292946069066</v>
      </c>
    </row>
    <row r="98" spans="1:18" x14ac:dyDescent="0.35">
      <c r="A98" t="s">
        <v>101</v>
      </c>
      <c r="B98" t="s">
        <v>6</v>
      </c>
      <c r="C98">
        <v>189</v>
      </c>
      <c r="E98">
        <f t="shared" si="39"/>
        <v>13190.253624998713</v>
      </c>
      <c r="F98" s="8">
        <f t="shared" si="48"/>
        <v>85.736648562491638</v>
      </c>
      <c r="G98" s="9">
        <f t="shared" si="33"/>
        <v>21.605635437747893</v>
      </c>
      <c r="H98">
        <f t="shared" si="34"/>
        <v>13211.859260436462</v>
      </c>
      <c r="K98" t="s">
        <v>12</v>
      </c>
      <c r="L98">
        <v>190</v>
      </c>
      <c r="N98" s="6">
        <f t="shared" si="49"/>
        <v>118.90673334392817</v>
      </c>
      <c r="O98" s="11">
        <f t="shared" si="36"/>
        <v>29.964496802669899</v>
      </c>
      <c r="P98">
        <f t="shared" si="37"/>
        <v>13241.823757239132</v>
      </c>
      <c r="R98">
        <f t="shared" si="38"/>
        <v>51.570132240417792</v>
      </c>
    </row>
    <row r="99" spans="1:18" s="6" customFormat="1" x14ac:dyDescent="0.35">
      <c r="A99" s="6" t="s">
        <v>102</v>
      </c>
      <c r="B99" s="6" t="s">
        <v>6</v>
      </c>
      <c r="C99" s="6">
        <v>191</v>
      </c>
      <c r="D99" s="7">
        <v>6.0000000000000001E-3</v>
      </c>
      <c r="E99" s="6">
        <f t="shared" si="39"/>
        <v>13241.823757239132</v>
      </c>
      <c r="F99" s="8">
        <f>E99*0.6%</f>
        <v>79.450942543434792</v>
      </c>
      <c r="G99" s="9">
        <f t="shared" si="33"/>
        <v>20.021637520945568</v>
      </c>
      <c r="H99" s="6">
        <f t="shared" si="34"/>
        <v>13261.845394760077</v>
      </c>
      <c r="K99" s="6" t="s">
        <v>12</v>
      </c>
      <c r="L99" s="6">
        <v>192</v>
      </c>
      <c r="M99" s="7">
        <v>8.5000000000000006E-3</v>
      </c>
      <c r="N99" s="6">
        <f>H99*0.85%</f>
        <v>112.72568585546067</v>
      </c>
      <c r="O99" s="11">
        <f t="shared" si="36"/>
        <v>28.406872835576088</v>
      </c>
      <c r="P99" s="6">
        <f t="shared" si="37"/>
        <v>13290.252267595653</v>
      </c>
      <c r="R99" s="6">
        <f t="shared" si="38"/>
        <v>48.428510356521656</v>
      </c>
    </row>
    <row r="100" spans="1:18" x14ac:dyDescent="0.35">
      <c r="A100" t="s">
        <v>103</v>
      </c>
      <c r="B100" t="s">
        <v>6</v>
      </c>
      <c r="C100">
        <v>193</v>
      </c>
      <c r="E100">
        <f t="shared" si="39"/>
        <v>13290.252267595653</v>
      </c>
      <c r="F100" s="8">
        <f t="shared" ref="F100:F103" si="50">E100*0.6%</f>
        <v>79.741513605573928</v>
      </c>
      <c r="G100" s="9">
        <f t="shared" si="33"/>
        <v>20.094861428604631</v>
      </c>
      <c r="H100">
        <f t="shared" si="34"/>
        <v>13310.347129024258</v>
      </c>
      <c r="K100" t="s">
        <v>12</v>
      </c>
      <c r="L100">
        <v>194</v>
      </c>
      <c r="N100" s="6">
        <f t="shared" ref="N100:N103" si="51">H100*0.85%</f>
        <v>113.1379505967062</v>
      </c>
      <c r="O100" s="11">
        <f t="shared" si="36"/>
        <v>28.510763550369965</v>
      </c>
      <c r="P100">
        <f t="shared" si="37"/>
        <v>13338.857892574628</v>
      </c>
      <c r="R100">
        <f t="shared" si="38"/>
        <v>48.605624978974596</v>
      </c>
    </row>
    <row r="101" spans="1:18" x14ac:dyDescent="0.35">
      <c r="A101" t="s">
        <v>104</v>
      </c>
      <c r="B101" t="s">
        <v>6</v>
      </c>
      <c r="C101">
        <v>195</v>
      </c>
      <c r="E101">
        <f t="shared" si="39"/>
        <v>13338.857892574628</v>
      </c>
      <c r="F101" s="8">
        <f t="shared" si="50"/>
        <v>80.033147355447767</v>
      </c>
      <c r="G101" s="9">
        <f t="shared" si="33"/>
        <v>20.168353133572836</v>
      </c>
      <c r="H101">
        <f t="shared" si="34"/>
        <v>13359.026245708201</v>
      </c>
      <c r="K101" t="s">
        <v>12</v>
      </c>
      <c r="L101">
        <v>196</v>
      </c>
      <c r="N101" s="6">
        <f t="shared" si="51"/>
        <v>113.55172308851971</v>
      </c>
      <c r="O101" s="11">
        <f t="shared" si="36"/>
        <v>28.615034218306967</v>
      </c>
      <c r="P101">
        <f t="shared" si="37"/>
        <v>13387.641279926507</v>
      </c>
      <c r="R101">
        <f t="shared" si="38"/>
        <v>48.783387351879803</v>
      </c>
    </row>
    <row r="102" spans="1:18" x14ac:dyDescent="0.35">
      <c r="A102" t="s">
        <v>105</v>
      </c>
      <c r="B102" t="s">
        <v>6</v>
      </c>
      <c r="C102">
        <v>197</v>
      </c>
      <c r="E102">
        <f t="shared" si="39"/>
        <v>13387.641279926507</v>
      </c>
      <c r="F102" s="8">
        <f t="shared" si="50"/>
        <v>80.325847679559047</v>
      </c>
      <c r="G102" s="9">
        <f t="shared" si="33"/>
        <v>20.242113615248879</v>
      </c>
      <c r="H102">
        <f t="shared" si="34"/>
        <v>13407.883393541757</v>
      </c>
      <c r="K102" t="s">
        <v>12</v>
      </c>
      <c r="L102">
        <v>198</v>
      </c>
      <c r="N102" s="6">
        <f t="shared" si="51"/>
        <v>113.96700884510494</v>
      </c>
      <c r="O102" s="11">
        <f t="shared" si="36"/>
        <v>28.719686228966445</v>
      </c>
      <c r="P102">
        <f t="shared" si="37"/>
        <v>13436.603079770723</v>
      </c>
      <c r="R102">
        <f t="shared" si="38"/>
        <v>48.961799844215321</v>
      </c>
    </row>
    <row r="103" spans="1:18" x14ac:dyDescent="0.35">
      <c r="A103" t="s">
        <v>106</v>
      </c>
      <c r="B103" t="s">
        <v>6</v>
      </c>
      <c r="C103">
        <v>199</v>
      </c>
      <c r="E103">
        <f t="shared" si="39"/>
        <v>13436.603079770723</v>
      </c>
      <c r="F103" s="8">
        <f t="shared" si="50"/>
        <v>80.619618478624332</v>
      </c>
      <c r="G103" s="9">
        <f t="shared" si="33"/>
        <v>20.316143856613333</v>
      </c>
      <c r="H103">
        <f t="shared" si="34"/>
        <v>13456.919223627336</v>
      </c>
      <c r="K103" t="s">
        <v>12</v>
      </c>
      <c r="L103">
        <v>200</v>
      </c>
      <c r="N103" s="6">
        <f t="shared" si="51"/>
        <v>114.38381340083237</v>
      </c>
      <c r="O103" s="11">
        <f t="shared" si="36"/>
        <v>28.824720977009758</v>
      </c>
      <c r="P103">
        <f t="shared" si="37"/>
        <v>13485.743944604346</v>
      </c>
      <c r="R103">
        <f t="shared" si="38"/>
        <v>49.140864833623091</v>
      </c>
    </row>
    <row r="104" spans="1:18" s="6" customFormat="1" x14ac:dyDescent="0.35">
      <c r="A104" s="6" t="s">
        <v>107</v>
      </c>
      <c r="B104" s="6" t="s">
        <v>6</v>
      </c>
      <c r="C104" s="6">
        <v>201</v>
      </c>
      <c r="D104" s="7">
        <v>5.4999999999999997E-3</v>
      </c>
      <c r="E104" s="6">
        <f t="shared" si="39"/>
        <v>13485.743944604346</v>
      </c>
      <c r="F104" s="8">
        <f>E104*0.55%</f>
        <v>74.171591695323912</v>
      </c>
      <c r="G104" s="9">
        <f t="shared" si="33"/>
        <v>18.691241107221625</v>
      </c>
      <c r="H104" s="6">
        <f t="shared" si="34"/>
        <v>13504.435185711567</v>
      </c>
      <c r="K104" s="6" t="s">
        <v>12</v>
      </c>
      <c r="L104" s="6">
        <v>202</v>
      </c>
      <c r="M104" s="7">
        <v>8.0000000000000002E-3</v>
      </c>
      <c r="N104" s="6">
        <f>H104*0.8%</f>
        <v>108.03548148569254</v>
      </c>
      <c r="O104" s="11">
        <f t="shared" si="36"/>
        <v>27.224941334394522</v>
      </c>
      <c r="P104" s="6">
        <f t="shared" si="37"/>
        <v>13531.660127045961</v>
      </c>
      <c r="R104" s="6">
        <f t="shared" si="38"/>
        <v>45.916182441616144</v>
      </c>
    </row>
    <row r="105" spans="1:18" x14ac:dyDescent="0.35">
      <c r="A105" t="s">
        <v>108</v>
      </c>
      <c r="B105" t="s">
        <v>6</v>
      </c>
      <c r="C105">
        <v>203</v>
      </c>
      <c r="E105">
        <f t="shared" si="39"/>
        <v>13531.660127045961</v>
      </c>
      <c r="F105" s="8">
        <f t="shared" ref="F105:F108" si="52">E105*0.55%</f>
        <v>74.424130698752791</v>
      </c>
      <c r="G105" s="9">
        <f t="shared" si="33"/>
        <v>18.754880936085705</v>
      </c>
      <c r="H105">
        <f t="shared" si="34"/>
        <v>13550.415007982047</v>
      </c>
      <c r="K105" t="s">
        <v>12</v>
      </c>
      <c r="L105">
        <v>204</v>
      </c>
      <c r="N105" s="6">
        <f t="shared" ref="N105:N108" si="53">H105*0.8%</f>
        <v>108.40332006385637</v>
      </c>
      <c r="O105" s="11">
        <f t="shared" si="36"/>
        <v>27.317636656091807</v>
      </c>
      <c r="P105">
        <f t="shared" si="37"/>
        <v>13577.732644638138</v>
      </c>
      <c r="R105">
        <f t="shared" si="38"/>
        <v>46.072517592177512</v>
      </c>
    </row>
    <row r="106" spans="1:18" x14ac:dyDescent="0.35">
      <c r="A106" t="s">
        <v>109</v>
      </c>
      <c r="B106" t="s">
        <v>6</v>
      </c>
      <c r="C106">
        <v>205</v>
      </c>
      <c r="E106">
        <f t="shared" si="39"/>
        <v>13577.732644638138</v>
      </c>
      <c r="F106" s="8">
        <f t="shared" si="52"/>
        <v>74.677529545509771</v>
      </c>
      <c r="G106" s="9">
        <f t="shared" si="33"/>
        <v>18.818737445468461</v>
      </c>
      <c r="H106">
        <f t="shared" si="34"/>
        <v>13596.551382083606</v>
      </c>
      <c r="K106" t="s">
        <v>12</v>
      </c>
      <c r="L106">
        <v>206</v>
      </c>
      <c r="N106" s="6">
        <f t="shared" si="53"/>
        <v>108.77241105666884</v>
      </c>
      <c r="O106" s="11">
        <f t="shared" si="36"/>
        <v>27.41064758628055</v>
      </c>
      <c r="P106">
        <f t="shared" si="37"/>
        <v>13623.962029669887</v>
      </c>
      <c r="R106">
        <f t="shared" si="38"/>
        <v>46.229385031749011</v>
      </c>
    </row>
    <row r="107" spans="1:18" x14ac:dyDescent="0.35">
      <c r="A107" t="s">
        <v>110</v>
      </c>
      <c r="B107" t="s">
        <v>6</v>
      </c>
      <c r="C107">
        <v>207</v>
      </c>
      <c r="E107">
        <f t="shared" si="39"/>
        <v>13623.962029669887</v>
      </c>
      <c r="F107" s="8">
        <f t="shared" si="52"/>
        <v>74.931791163184386</v>
      </c>
      <c r="G107" s="9">
        <f t="shared" si="33"/>
        <v>18.882811373122465</v>
      </c>
      <c r="H107">
        <f t="shared" si="34"/>
        <v>13642.84484104301</v>
      </c>
      <c r="K107" t="s">
        <v>12</v>
      </c>
      <c r="L107">
        <v>208</v>
      </c>
      <c r="N107" s="6">
        <f t="shared" si="53"/>
        <v>109.14275872834408</v>
      </c>
      <c r="O107" s="11">
        <f t="shared" si="36"/>
        <v>27.503975199542708</v>
      </c>
      <c r="P107">
        <f t="shared" si="37"/>
        <v>13670.348816242553</v>
      </c>
      <c r="R107">
        <f t="shared" si="38"/>
        <v>46.386786572665173</v>
      </c>
    </row>
    <row r="108" spans="1:18" x14ac:dyDescent="0.35">
      <c r="A108" t="s">
        <v>111</v>
      </c>
      <c r="B108" t="s">
        <v>6</v>
      </c>
      <c r="C108">
        <v>209</v>
      </c>
      <c r="D108" s="15"/>
      <c r="E108">
        <f t="shared" si="39"/>
        <v>13670.348816242553</v>
      </c>
      <c r="F108" s="8">
        <f t="shared" si="52"/>
        <v>75.186918489334047</v>
      </c>
      <c r="G108" s="9">
        <f t="shared" si="33"/>
        <v>18.947103459312181</v>
      </c>
      <c r="H108">
        <f t="shared" si="34"/>
        <v>13689.295919701864</v>
      </c>
      <c r="K108" t="s">
        <v>12</v>
      </c>
      <c r="L108">
        <v>210</v>
      </c>
      <c r="N108" s="6">
        <f t="shared" si="53"/>
        <v>109.51436735761492</v>
      </c>
      <c r="O108" s="11">
        <f t="shared" si="36"/>
        <v>27.59762057411896</v>
      </c>
      <c r="P108">
        <f t="shared" si="37"/>
        <v>13716.893540275983</v>
      </c>
      <c r="R108">
        <f t="shared" si="38"/>
        <v>46.544724033431137</v>
      </c>
    </row>
    <row r="109" spans="1:18" s="6" customFormat="1" x14ac:dyDescent="0.35">
      <c r="A109" s="6" t="s">
        <v>112</v>
      </c>
      <c r="B109" s="6" t="s">
        <v>6</v>
      </c>
      <c r="C109" s="6">
        <v>211</v>
      </c>
      <c r="D109" s="7">
        <v>5.0000000000000001E-3</v>
      </c>
      <c r="E109" s="6">
        <f t="shared" si="39"/>
        <v>13716.893540275983</v>
      </c>
      <c r="F109" s="8">
        <f>E109*0.5%</f>
        <v>68.584467701379921</v>
      </c>
      <c r="G109" s="9">
        <f t="shared" si="33"/>
        <v>17.283285860747739</v>
      </c>
      <c r="H109" s="6">
        <f t="shared" si="34"/>
        <v>13734.176826136731</v>
      </c>
      <c r="K109" s="6" t="s">
        <v>12</v>
      </c>
      <c r="L109" s="6">
        <v>212</v>
      </c>
      <c r="M109" s="7">
        <v>7.4999999999999997E-3</v>
      </c>
      <c r="N109" s="6">
        <f>H109*0.75%</f>
        <v>103.00632619602547</v>
      </c>
      <c r="O109" s="11">
        <f t="shared" si="36"/>
        <v>25.957594201398418</v>
      </c>
      <c r="P109" s="6">
        <f t="shared" si="37"/>
        <v>13760.134420338129</v>
      </c>
      <c r="R109" s="6">
        <f t="shared" si="38"/>
        <v>43.240880062146161</v>
      </c>
    </row>
    <row r="110" spans="1:18" x14ac:dyDescent="0.35">
      <c r="A110" t="s">
        <v>113</v>
      </c>
      <c r="B110" t="s">
        <v>6</v>
      </c>
      <c r="C110">
        <v>213</v>
      </c>
      <c r="E110">
        <f t="shared" si="39"/>
        <v>13760.134420338129</v>
      </c>
      <c r="F110" s="8">
        <f t="shared" ref="F110:F113" si="54">E110*0.5%</f>
        <v>68.800672101690651</v>
      </c>
      <c r="G110" s="9">
        <f t="shared" si="33"/>
        <v>17.337769369626045</v>
      </c>
      <c r="H110">
        <f t="shared" si="34"/>
        <v>13777.472189707754</v>
      </c>
      <c r="K110" t="s">
        <v>12</v>
      </c>
      <c r="L110">
        <v>214</v>
      </c>
      <c r="N110" s="6">
        <f t="shared" ref="N110:N113" si="55">H110*0.75%</f>
        <v>103.33104142280816</v>
      </c>
      <c r="O110" s="11">
        <f t="shared" si="36"/>
        <v>26.039422438547657</v>
      </c>
      <c r="P110">
        <f t="shared" si="37"/>
        <v>13803.511612146302</v>
      </c>
      <c r="R110">
        <f t="shared" si="38"/>
        <v>43.377191808173706</v>
      </c>
    </row>
    <row r="111" spans="1:18" x14ac:dyDescent="0.35">
      <c r="A111" t="s">
        <v>114</v>
      </c>
      <c r="B111" t="s">
        <v>6</v>
      </c>
      <c r="C111">
        <v>215</v>
      </c>
      <c r="E111">
        <f t="shared" si="39"/>
        <v>13803.511612146302</v>
      </c>
      <c r="F111" s="8">
        <f t="shared" si="54"/>
        <v>69.017558060731503</v>
      </c>
      <c r="G111" s="9">
        <f t="shared" si="33"/>
        <v>17.39242463130434</v>
      </c>
      <c r="H111">
        <f t="shared" si="34"/>
        <v>13820.904036777605</v>
      </c>
      <c r="K111" t="s">
        <v>12</v>
      </c>
      <c r="L111">
        <v>216</v>
      </c>
      <c r="N111" s="6">
        <f t="shared" si="55"/>
        <v>103.65678027583203</v>
      </c>
      <c r="O111" s="11">
        <f t="shared" si="36"/>
        <v>26.121508629509673</v>
      </c>
      <c r="P111">
        <f t="shared" si="37"/>
        <v>13847.025545407116</v>
      </c>
      <c r="R111">
        <f t="shared" si="38"/>
        <v>43.513933260814014</v>
      </c>
    </row>
    <row r="112" spans="1:18" x14ac:dyDescent="0.35">
      <c r="A112" t="s">
        <v>115</v>
      </c>
      <c r="B112" t="s">
        <v>6</v>
      </c>
      <c r="C112">
        <v>217</v>
      </c>
      <c r="E112">
        <f t="shared" si="39"/>
        <v>13847.025545407116</v>
      </c>
      <c r="F112" s="8">
        <f t="shared" si="54"/>
        <v>69.235127727035575</v>
      </c>
      <c r="G112" s="9">
        <f t="shared" si="33"/>
        <v>17.447252187212964</v>
      </c>
      <c r="H112">
        <f t="shared" si="34"/>
        <v>13864.472797594328</v>
      </c>
      <c r="K112" t="s">
        <v>12</v>
      </c>
      <c r="L112">
        <v>218</v>
      </c>
      <c r="N112" s="6">
        <f t="shared" si="55"/>
        <v>103.98354598195745</v>
      </c>
      <c r="O112" s="11">
        <f t="shared" si="36"/>
        <v>26.203853587453278</v>
      </c>
      <c r="P112">
        <f t="shared" si="37"/>
        <v>13890.67665118178</v>
      </c>
      <c r="R112">
        <f t="shared" si="38"/>
        <v>43.651105774666242</v>
      </c>
    </row>
    <row r="113" spans="1:18" x14ac:dyDescent="0.35">
      <c r="A113" t="s">
        <v>116</v>
      </c>
      <c r="B113" t="s">
        <v>6</v>
      </c>
      <c r="C113">
        <v>219</v>
      </c>
      <c r="E113">
        <f t="shared" si="39"/>
        <v>13890.67665118178</v>
      </c>
      <c r="F113" s="8">
        <f t="shared" si="54"/>
        <v>69.453383255908903</v>
      </c>
      <c r="G113" s="9">
        <f t="shared" si="33"/>
        <v>17.502252580489042</v>
      </c>
      <c r="H113">
        <f t="shared" si="34"/>
        <v>13908.178903762269</v>
      </c>
      <c r="K113" t="s">
        <v>12</v>
      </c>
      <c r="L113">
        <v>220</v>
      </c>
      <c r="N113" s="6">
        <f t="shared" si="55"/>
        <v>104.31134177821701</v>
      </c>
      <c r="O113" s="11">
        <f t="shared" si="36"/>
        <v>26.286458128110688</v>
      </c>
      <c r="P113">
        <f t="shared" si="37"/>
        <v>13934.465361890379</v>
      </c>
      <c r="R113">
        <f t="shared" si="38"/>
        <v>43.78871070859973</v>
      </c>
    </row>
    <row r="114" spans="1:18" s="6" customFormat="1" x14ac:dyDescent="0.35">
      <c r="A114" s="6" t="s">
        <v>117</v>
      </c>
      <c r="B114" s="6" t="s">
        <v>6</v>
      </c>
      <c r="C114" s="6">
        <v>221</v>
      </c>
      <c r="D114" s="7">
        <v>4.4999999999999997E-3</v>
      </c>
      <c r="E114" s="6">
        <f t="shared" si="39"/>
        <v>13934.465361890379</v>
      </c>
      <c r="F114" s="8">
        <f>E114*0.45%</f>
        <v>62.705094128506715</v>
      </c>
      <c r="G114" s="9">
        <f t="shared" si="33"/>
        <v>15.801683720383693</v>
      </c>
      <c r="H114" s="6">
        <f t="shared" si="34"/>
        <v>13950.267045610763</v>
      </c>
      <c r="K114" s="6" t="s">
        <v>12</v>
      </c>
      <c r="L114" s="6">
        <v>222</v>
      </c>
      <c r="M114" s="7">
        <v>7.0000000000000097E-3</v>
      </c>
      <c r="N114" s="6">
        <f>H114*0.7%</f>
        <v>97.651869319275335</v>
      </c>
      <c r="O114" s="11">
        <f t="shared" si="36"/>
        <v>24.608271068457384</v>
      </c>
      <c r="P114" s="6">
        <f t="shared" si="37"/>
        <v>13974.875316679219</v>
      </c>
      <c r="R114" s="6">
        <f t="shared" si="38"/>
        <v>40.409954788841077</v>
      </c>
    </row>
    <row r="115" spans="1:18" x14ac:dyDescent="0.35">
      <c r="A115" t="s">
        <v>118</v>
      </c>
      <c r="B115" t="s">
        <v>6</v>
      </c>
      <c r="C115">
        <v>223</v>
      </c>
      <c r="E115">
        <f t="shared" si="39"/>
        <v>13974.875316679219</v>
      </c>
      <c r="F115" s="8">
        <f t="shared" ref="F115:F118" si="56">E115*0.45%</f>
        <v>62.886938925056498</v>
      </c>
      <c r="G115" s="9">
        <f t="shared" si="33"/>
        <v>15.847508609114238</v>
      </c>
      <c r="H115">
        <f t="shared" si="34"/>
        <v>13990.722825288334</v>
      </c>
      <c r="K115" t="s">
        <v>12</v>
      </c>
      <c r="L115">
        <v>224</v>
      </c>
      <c r="N115" s="6">
        <f t="shared" ref="N115:N118" si="57">H115*0.7%</f>
        <v>97.935059777018324</v>
      </c>
      <c r="O115" s="11">
        <f t="shared" si="36"/>
        <v>24.679635063808618</v>
      </c>
      <c r="P115">
        <f t="shared" si="37"/>
        <v>14015.402460352143</v>
      </c>
      <c r="R115">
        <f t="shared" si="38"/>
        <v>40.527143672922854</v>
      </c>
    </row>
    <row r="116" spans="1:18" x14ac:dyDescent="0.35">
      <c r="A116" t="s">
        <v>119</v>
      </c>
      <c r="B116" t="s">
        <v>6</v>
      </c>
      <c r="C116">
        <v>225</v>
      </c>
      <c r="E116">
        <f t="shared" si="39"/>
        <v>14015.402460352143</v>
      </c>
      <c r="F116" s="8">
        <f t="shared" si="56"/>
        <v>63.06931107158465</v>
      </c>
      <c r="G116" s="9">
        <f t="shared" si="33"/>
        <v>15.893466390039332</v>
      </c>
      <c r="H116">
        <f t="shared" si="34"/>
        <v>14031.295926742183</v>
      </c>
      <c r="K116" t="s">
        <v>12</v>
      </c>
      <c r="L116">
        <v>226</v>
      </c>
      <c r="N116" s="6">
        <f t="shared" si="57"/>
        <v>98.219071487195265</v>
      </c>
      <c r="O116" s="11">
        <f t="shared" si="36"/>
        <v>24.751206014773206</v>
      </c>
      <c r="P116">
        <f t="shared" si="37"/>
        <v>14056.047132756956</v>
      </c>
      <c r="R116">
        <f t="shared" si="38"/>
        <v>40.644672404812539</v>
      </c>
    </row>
    <row r="117" spans="1:18" x14ac:dyDescent="0.35">
      <c r="A117" t="s">
        <v>120</v>
      </c>
      <c r="B117" t="s">
        <v>6</v>
      </c>
      <c r="C117">
        <v>227</v>
      </c>
      <c r="E117">
        <f t="shared" si="39"/>
        <v>14056.047132756956</v>
      </c>
      <c r="F117" s="8">
        <f t="shared" si="56"/>
        <v>63.252212097406307</v>
      </c>
      <c r="G117" s="9">
        <f t="shared" si="33"/>
        <v>15.93955744854639</v>
      </c>
      <c r="H117">
        <f t="shared" si="34"/>
        <v>14071.986690205502</v>
      </c>
      <c r="K117" t="s">
        <v>12</v>
      </c>
      <c r="L117">
        <v>228</v>
      </c>
      <c r="N117" s="6">
        <f t="shared" si="57"/>
        <v>98.503906831438499</v>
      </c>
      <c r="O117" s="11">
        <f t="shared" si="36"/>
        <v>24.822984521522503</v>
      </c>
      <c r="P117">
        <f t="shared" si="37"/>
        <v>14096.809674727025</v>
      </c>
      <c r="R117">
        <f t="shared" si="38"/>
        <v>40.762541970068895</v>
      </c>
    </row>
    <row r="118" spans="1:18" x14ac:dyDescent="0.35">
      <c r="A118" t="s">
        <v>121</v>
      </c>
      <c r="B118" t="s">
        <v>6</v>
      </c>
      <c r="C118">
        <v>229</v>
      </c>
      <c r="E118">
        <f t="shared" si="39"/>
        <v>14096.809674727025</v>
      </c>
      <c r="F118" s="8">
        <f t="shared" si="56"/>
        <v>63.43564353627162</v>
      </c>
      <c r="G118" s="9">
        <f t="shared" si="33"/>
        <v>15.985782171140448</v>
      </c>
      <c r="H118">
        <f t="shared" si="34"/>
        <v>14112.795456898166</v>
      </c>
      <c r="K118" t="s">
        <v>12</v>
      </c>
      <c r="L118">
        <v>230</v>
      </c>
      <c r="N118" s="6">
        <f t="shared" si="57"/>
        <v>98.789568198287157</v>
      </c>
      <c r="O118" s="11">
        <f t="shared" si="36"/>
        <v>24.894971185968362</v>
      </c>
      <c r="P118">
        <f t="shared" si="37"/>
        <v>14137.690428084134</v>
      </c>
      <c r="R118">
        <f t="shared" si="38"/>
        <v>40.880753357108809</v>
      </c>
    </row>
    <row r="119" spans="1:18" s="6" customFormat="1" x14ac:dyDescent="0.35">
      <c r="A119" s="6" t="s">
        <v>122</v>
      </c>
      <c r="B119" s="6" t="s">
        <v>6</v>
      </c>
      <c r="C119" s="6">
        <v>231</v>
      </c>
      <c r="D119" s="7">
        <v>4.0000000000000001E-3</v>
      </c>
      <c r="E119" s="6">
        <f t="shared" si="39"/>
        <v>14137.690428084134</v>
      </c>
      <c r="F119" s="8">
        <f>E119*0.4%</f>
        <v>56.550761712336538</v>
      </c>
      <c r="G119" s="9">
        <f t="shared" si="33"/>
        <v>14.250791951508807</v>
      </c>
      <c r="H119" s="6">
        <f t="shared" si="34"/>
        <v>14151.941220035642</v>
      </c>
      <c r="K119" s="6" t="s">
        <v>12</v>
      </c>
      <c r="L119" s="6">
        <v>232</v>
      </c>
      <c r="M119" s="7">
        <v>6.5000000000000101E-3</v>
      </c>
      <c r="N119" s="6">
        <f>H119*0.65%</f>
        <v>91.987617930231679</v>
      </c>
      <c r="O119" s="11">
        <f t="shared" si="36"/>
        <v>23.180879718418382</v>
      </c>
      <c r="P119" s="6">
        <f t="shared" si="37"/>
        <v>14175.12209975406</v>
      </c>
      <c r="R119" s="6">
        <f t="shared" si="38"/>
        <v>37.431671669927191</v>
      </c>
    </row>
    <row r="120" spans="1:18" x14ac:dyDescent="0.35">
      <c r="A120" t="s">
        <v>123</v>
      </c>
      <c r="B120" t="s">
        <v>6</v>
      </c>
      <c r="C120">
        <v>233</v>
      </c>
      <c r="E120">
        <f t="shared" si="39"/>
        <v>14175.12209975406</v>
      </c>
      <c r="F120" s="8">
        <f t="shared" ref="F120:F123" si="58">E120*0.4%</f>
        <v>56.700488399016244</v>
      </c>
      <c r="G120" s="9">
        <f t="shared" si="33"/>
        <v>14.288523076552094</v>
      </c>
      <c r="H120">
        <f t="shared" si="34"/>
        <v>14189.410622830612</v>
      </c>
      <c r="K120" t="s">
        <v>12</v>
      </c>
      <c r="L120">
        <v>234</v>
      </c>
      <c r="N120" s="6">
        <f t="shared" ref="N120:N123" si="59">H120*0.65%</f>
        <v>92.231169048398982</v>
      </c>
      <c r="O120" s="11">
        <f t="shared" si="36"/>
        <v>23.242254600196542</v>
      </c>
      <c r="P120">
        <f t="shared" si="37"/>
        <v>14212.652877430808</v>
      </c>
      <c r="R120">
        <f t="shared" si="38"/>
        <v>37.530777676748635</v>
      </c>
    </row>
    <row r="121" spans="1:18" x14ac:dyDescent="0.35">
      <c r="A121" t="s">
        <v>124</v>
      </c>
      <c r="B121" t="s">
        <v>6</v>
      </c>
      <c r="C121">
        <v>235</v>
      </c>
      <c r="E121">
        <f t="shared" si="39"/>
        <v>14212.652877430808</v>
      </c>
      <c r="F121" s="8">
        <f t="shared" si="58"/>
        <v>56.850611509723237</v>
      </c>
      <c r="G121" s="9">
        <f t="shared" si="33"/>
        <v>14.326354100450256</v>
      </c>
      <c r="H121">
        <f t="shared" si="34"/>
        <v>14226.979231531259</v>
      </c>
      <c r="K121" t="s">
        <v>12</v>
      </c>
      <c r="L121">
        <v>236</v>
      </c>
      <c r="N121" s="6">
        <f t="shared" si="59"/>
        <v>92.47536500495319</v>
      </c>
      <c r="O121" s="11">
        <f t="shared" si="36"/>
        <v>23.303791981248203</v>
      </c>
      <c r="P121">
        <f t="shared" si="37"/>
        <v>14250.283023512507</v>
      </c>
      <c r="R121">
        <f t="shared" si="38"/>
        <v>37.630146081698456</v>
      </c>
    </row>
    <row r="122" spans="1:18" x14ac:dyDescent="0.35">
      <c r="A122" t="s">
        <v>125</v>
      </c>
      <c r="B122" t="s">
        <v>6</v>
      </c>
      <c r="C122">
        <v>237</v>
      </c>
      <c r="E122">
        <f t="shared" si="39"/>
        <v>14250.283023512507</v>
      </c>
      <c r="F122" s="8">
        <f t="shared" si="58"/>
        <v>57.001132094050028</v>
      </c>
      <c r="G122" s="9">
        <f t="shared" si="33"/>
        <v>14.364285287700607</v>
      </c>
      <c r="H122">
        <f t="shared" si="34"/>
        <v>14264.647308800208</v>
      </c>
      <c r="K122" t="s">
        <v>12</v>
      </c>
      <c r="L122">
        <v>238</v>
      </c>
      <c r="N122" s="6">
        <f t="shared" si="59"/>
        <v>92.720207507201351</v>
      </c>
      <c r="O122" s="11">
        <f t="shared" si="36"/>
        <v>23.365492291814739</v>
      </c>
      <c r="P122">
        <f t="shared" si="37"/>
        <v>14288.012801092022</v>
      </c>
      <c r="R122">
        <f t="shared" si="38"/>
        <v>37.729777579515343</v>
      </c>
    </row>
    <row r="123" spans="1:18" s="13" customFormat="1" x14ac:dyDescent="0.35">
      <c r="A123" s="13" t="s">
        <v>126</v>
      </c>
      <c r="B123" s="13" t="s">
        <v>6</v>
      </c>
      <c r="C123" s="13">
        <v>239</v>
      </c>
      <c r="E123" s="13">
        <f t="shared" si="39"/>
        <v>14288.012801092022</v>
      </c>
      <c r="F123" s="14">
        <f t="shared" si="58"/>
        <v>57.152051204368085</v>
      </c>
      <c r="G123" s="9">
        <f t="shared" si="33"/>
        <v>14.402316903500758</v>
      </c>
      <c r="H123" s="13">
        <f t="shared" si="34"/>
        <v>14302.415117995522</v>
      </c>
      <c r="K123" s="13" t="s">
        <v>12</v>
      </c>
      <c r="L123" s="13">
        <v>240</v>
      </c>
      <c r="N123" s="13">
        <f t="shared" si="59"/>
        <v>92.965698266970904</v>
      </c>
      <c r="O123" s="11">
        <f t="shared" si="36"/>
        <v>23.427355963276668</v>
      </c>
      <c r="P123" s="13">
        <f t="shared" si="37"/>
        <v>14325.842473958799</v>
      </c>
      <c r="R123" s="13">
        <f t="shared" si="38"/>
        <v>37.829672866777429</v>
      </c>
    </row>
    <row r="124" spans="1:18" s="6" customFormat="1" x14ac:dyDescent="0.35">
      <c r="A124" s="6" t="s">
        <v>127</v>
      </c>
      <c r="B124" s="6" t="s">
        <v>6</v>
      </c>
      <c r="C124" s="6">
        <v>241</v>
      </c>
      <c r="D124" s="7">
        <v>5.0000000000000001E-3</v>
      </c>
      <c r="E124" s="6">
        <f t="shared" si="39"/>
        <v>14325.842473958799</v>
      </c>
      <c r="F124" s="8">
        <f>E124*0.5%</f>
        <v>71.62921236979399</v>
      </c>
      <c r="G124" s="9">
        <f t="shared" si="33"/>
        <v>18.050561517188086</v>
      </c>
      <c r="H124" s="6">
        <f t="shared" si="34"/>
        <v>14343.893035475987</v>
      </c>
      <c r="K124" s="6" t="s">
        <v>12</v>
      </c>
      <c r="L124" s="6">
        <v>242</v>
      </c>
      <c r="M124" s="7">
        <v>6.0000000000000097E-3</v>
      </c>
      <c r="N124" s="6">
        <f>H124*0.6%</f>
        <v>86.063358212855917</v>
      </c>
      <c r="O124" s="11">
        <f t="shared" si="36"/>
        <v>21.687966269639691</v>
      </c>
      <c r="P124" s="6">
        <f t="shared" si="37"/>
        <v>14365.581001745626</v>
      </c>
      <c r="R124" s="6">
        <f t="shared" si="38"/>
        <v>39.738527786827774</v>
      </c>
    </row>
    <row r="125" spans="1:18" x14ac:dyDescent="0.35">
      <c r="A125" t="s">
        <v>128</v>
      </c>
      <c r="B125" t="s">
        <v>6</v>
      </c>
      <c r="C125">
        <v>243</v>
      </c>
      <c r="E125">
        <f t="shared" si="39"/>
        <v>14365.581001745626</v>
      </c>
      <c r="F125" s="8">
        <f t="shared" ref="F125:F128" si="60">E125*0.5%</f>
        <v>71.827905008728138</v>
      </c>
      <c r="G125" s="9">
        <f t="shared" si="33"/>
        <v>18.100632062199491</v>
      </c>
      <c r="H125">
        <f t="shared" si="34"/>
        <v>14383.681633807826</v>
      </c>
      <c r="K125" t="s">
        <v>12</v>
      </c>
      <c r="L125">
        <v>244</v>
      </c>
      <c r="N125" s="6">
        <f t="shared" ref="N125:N128" si="61">H125*0.6%</f>
        <v>86.302089802846965</v>
      </c>
      <c r="O125" s="11">
        <f t="shared" si="36"/>
        <v>21.748126630317437</v>
      </c>
      <c r="P125">
        <f t="shared" si="37"/>
        <v>14405.429760438143</v>
      </c>
      <c r="R125">
        <f t="shared" si="38"/>
        <v>39.848758692516924</v>
      </c>
    </row>
    <row r="126" spans="1:18" x14ac:dyDescent="0.35">
      <c r="A126" t="s">
        <v>129</v>
      </c>
      <c r="B126" t="s">
        <v>6</v>
      </c>
      <c r="C126">
        <v>245</v>
      </c>
      <c r="E126">
        <f t="shared" si="39"/>
        <v>14405.429760438143</v>
      </c>
      <c r="F126" s="8">
        <f t="shared" si="60"/>
        <v>72.027148802190709</v>
      </c>
      <c r="G126" s="9">
        <f t="shared" si="33"/>
        <v>18.150841498152058</v>
      </c>
      <c r="H126">
        <f t="shared" si="34"/>
        <v>14423.580601936295</v>
      </c>
      <c r="K126" t="s">
        <v>12</v>
      </c>
      <c r="L126">
        <v>246</v>
      </c>
      <c r="N126" s="6">
        <f t="shared" si="61"/>
        <v>86.541483611617778</v>
      </c>
      <c r="O126" s="11">
        <f t="shared" si="36"/>
        <v>21.808453870127682</v>
      </c>
      <c r="P126">
        <f t="shared" si="37"/>
        <v>14445.389055806423</v>
      </c>
      <c r="R126">
        <f t="shared" si="38"/>
        <v>39.95929536827974</v>
      </c>
    </row>
    <row r="127" spans="1:18" x14ac:dyDescent="0.35">
      <c r="A127" t="s">
        <v>130</v>
      </c>
      <c r="B127" t="s">
        <v>6</v>
      </c>
      <c r="C127">
        <v>247</v>
      </c>
      <c r="E127">
        <f t="shared" si="39"/>
        <v>14445.389055806423</v>
      </c>
      <c r="F127" s="8">
        <f t="shared" si="60"/>
        <v>72.226945279032122</v>
      </c>
      <c r="G127" s="9">
        <f t="shared" si="33"/>
        <v>18.201190210316096</v>
      </c>
      <c r="H127">
        <f t="shared" si="34"/>
        <v>14463.59024601674</v>
      </c>
      <c r="K127" t="s">
        <v>12</v>
      </c>
      <c r="L127">
        <v>248</v>
      </c>
      <c r="N127" s="6">
        <f t="shared" si="61"/>
        <v>86.781541476100443</v>
      </c>
      <c r="O127" s="11">
        <f t="shared" si="36"/>
        <v>21.86894845197731</v>
      </c>
      <c r="P127">
        <f t="shared" si="37"/>
        <v>14485.459194468718</v>
      </c>
      <c r="R127">
        <f t="shared" si="38"/>
        <v>40.070138662293402</v>
      </c>
    </row>
    <row r="128" spans="1:18" x14ac:dyDescent="0.35">
      <c r="A128" t="s">
        <v>131</v>
      </c>
      <c r="B128" t="s">
        <v>6</v>
      </c>
      <c r="C128">
        <v>249</v>
      </c>
      <c r="E128">
        <f t="shared" si="39"/>
        <v>14485.459194468718</v>
      </c>
      <c r="F128" s="8">
        <f t="shared" si="60"/>
        <v>72.427295972343586</v>
      </c>
      <c r="G128" s="9">
        <f t="shared" si="33"/>
        <v>18.251678585030582</v>
      </c>
      <c r="H128">
        <f t="shared" si="34"/>
        <v>14503.710873053749</v>
      </c>
      <c r="K128" t="s">
        <v>12</v>
      </c>
      <c r="L128">
        <v>250</v>
      </c>
      <c r="N128" s="6">
        <f t="shared" si="61"/>
        <v>87.022265238322504</v>
      </c>
      <c r="O128" s="11">
        <f t="shared" si="36"/>
        <v>21.929610840057272</v>
      </c>
      <c r="P128">
        <f t="shared" si="37"/>
        <v>14525.640483893807</v>
      </c>
      <c r="R128">
        <f t="shared" si="38"/>
        <v>40.181289425087854</v>
      </c>
    </row>
    <row r="129" spans="1:18" s="6" customFormat="1" x14ac:dyDescent="0.35">
      <c r="A129" s="6" t="s">
        <v>132</v>
      </c>
      <c r="B129" s="6" t="s">
        <v>5</v>
      </c>
      <c r="C129" s="6">
        <v>251</v>
      </c>
      <c r="D129" s="7">
        <v>6.0000000000000001E-3</v>
      </c>
      <c r="E129" s="6">
        <f t="shared" si="39"/>
        <v>14525.640483893807</v>
      </c>
      <c r="F129" s="8">
        <f>E129*0.6%</f>
        <v>87.153842903362843</v>
      </c>
      <c r="G129" s="9">
        <f t="shared" si="33"/>
        <v>21.962768411647435</v>
      </c>
      <c r="H129" s="6">
        <f t="shared" si="34"/>
        <v>14547.603252305455</v>
      </c>
      <c r="K129" s="6" t="s">
        <v>6</v>
      </c>
      <c r="L129" s="6">
        <v>252</v>
      </c>
      <c r="M129" s="7">
        <v>5.5000000000000101E-3</v>
      </c>
      <c r="N129" s="6">
        <f>H129*0.55%</f>
        <v>80.01181788768001</v>
      </c>
      <c r="O129" s="11">
        <f t="shared" si="36"/>
        <v>20.162978107695363</v>
      </c>
      <c r="P129" s="6">
        <f t="shared" si="37"/>
        <v>14567.76623041315</v>
      </c>
      <c r="R129" s="6">
        <f t="shared" si="38"/>
        <v>42.125746519342798</v>
      </c>
    </row>
    <row r="130" spans="1:18" x14ac:dyDescent="0.35">
      <c r="A130" t="s">
        <v>133</v>
      </c>
      <c r="B130" t="s">
        <v>5</v>
      </c>
      <c r="C130">
        <v>253</v>
      </c>
      <c r="E130">
        <f t="shared" si="39"/>
        <v>14567.76623041315</v>
      </c>
      <c r="F130" s="8">
        <f t="shared" ref="F130:F133" si="62">E130*0.6%</f>
        <v>87.406597382478907</v>
      </c>
      <c r="G130" s="9">
        <f t="shared" si="33"/>
        <v>22.026462540384685</v>
      </c>
      <c r="H130">
        <f t="shared" si="34"/>
        <v>14589.792692953535</v>
      </c>
      <c r="K130" t="s">
        <v>6</v>
      </c>
      <c r="L130">
        <v>254</v>
      </c>
      <c r="N130" s="6">
        <f t="shared" ref="N130:N133" si="63">H130*0.55%</f>
        <v>80.243859811244448</v>
      </c>
      <c r="O130" s="11">
        <f t="shared" si="36"/>
        <v>20.2214526724336</v>
      </c>
      <c r="P130">
        <f t="shared" si="37"/>
        <v>14610.014145625968</v>
      </c>
      <c r="R130">
        <f t="shared" si="38"/>
        <v>42.247915212818285</v>
      </c>
    </row>
    <row r="131" spans="1:18" x14ac:dyDescent="0.35">
      <c r="A131" t="s">
        <v>134</v>
      </c>
      <c r="B131" t="s">
        <v>5</v>
      </c>
      <c r="C131">
        <v>255</v>
      </c>
      <c r="E131">
        <f t="shared" si="39"/>
        <v>14610.014145625968</v>
      </c>
      <c r="F131" s="8">
        <f t="shared" si="62"/>
        <v>87.660084873755807</v>
      </c>
      <c r="G131" s="9">
        <f t="shared" si="33"/>
        <v>22.090341388186463</v>
      </c>
      <c r="H131">
        <f t="shared" si="34"/>
        <v>14632.104487014154</v>
      </c>
      <c r="K131" t="s">
        <v>6</v>
      </c>
      <c r="L131">
        <v>256</v>
      </c>
      <c r="N131" s="6">
        <f t="shared" si="63"/>
        <v>80.476574678577862</v>
      </c>
      <c r="O131" s="11">
        <f t="shared" si="36"/>
        <v>20.280096819001621</v>
      </c>
      <c r="P131">
        <f t="shared" si="37"/>
        <v>14652.384583833156</v>
      </c>
      <c r="R131">
        <f t="shared" si="38"/>
        <v>42.370438207188087</v>
      </c>
    </row>
    <row r="132" spans="1:18" x14ac:dyDescent="0.35">
      <c r="A132" t="s">
        <v>135</v>
      </c>
      <c r="B132" t="s">
        <v>5</v>
      </c>
      <c r="C132">
        <v>257</v>
      </c>
      <c r="E132">
        <f t="shared" si="39"/>
        <v>14652.384583833156</v>
      </c>
      <c r="F132" s="8">
        <f t="shared" si="62"/>
        <v>87.914307502998938</v>
      </c>
      <c r="G132" s="9">
        <f t="shared" si="33"/>
        <v>22.154405490755732</v>
      </c>
      <c r="H132">
        <f t="shared" si="34"/>
        <v>14674.538989323912</v>
      </c>
      <c r="K132" t="s">
        <v>6</v>
      </c>
      <c r="L132">
        <v>258</v>
      </c>
      <c r="N132" s="6">
        <f t="shared" si="63"/>
        <v>80.709964441281528</v>
      </c>
      <c r="O132" s="11">
        <f t="shared" si="36"/>
        <v>20.338911039202944</v>
      </c>
      <c r="P132">
        <f t="shared" si="37"/>
        <v>14694.877900363115</v>
      </c>
      <c r="R132">
        <f t="shared" si="38"/>
        <v>42.493316529958676</v>
      </c>
    </row>
    <row r="133" spans="1:18" x14ac:dyDescent="0.35">
      <c r="A133" t="s">
        <v>136</v>
      </c>
      <c r="B133" t="s">
        <v>5</v>
      </c>
      <c r="C133">
        <v>259</v>
      </c>
      <c r="D133" s="15"/>
      <c r="E133">
        <f t="shared" si="39"/>
        <v>14694.877900363115</v>
      </c>
      <c r="F133" s="8">
        <f t="shared" si="62"/>
        <v>88.16926740217869</v>
      </c>
      <c r="G133" s="9">
        <f t="shared" ref="G133:G196" si="64">F133*25.2%</f>
        <v>22.218655385349031</v>
      </c>
      <c r="H133">
        <f t="shared" ref="H133:H196" si="65">G133+E133</f>
        <v>14717.096555748465</v>
      </c>
      <c r="K133" t="s">
        <v>6</v>
      </c>
      <c r="L133">
        <v>260</v>
      </c>
      <c r="N133" s="6">
        <f t="shared" si="63"/>
        <v>80.944031056616566</v>
      </c>
      <c r="O133" s="11">
        <f t="shared" ref="O133:O196" si="66">N133*25.2%</f>
        <v>20.397895826267376</v>
      </c>
      <c r="P133">
        <f t="shared" ref="P133:P196" si="67">O133+H133</f>
        <v>14737.494451574732</v>
      </c>
      <c r="R133">
        <f t="shared" ref="R133:R196" si="68">O133+G133</f>
        <v>42.616551211616411</v>
      </c>
    </row>
    <row r="134" spans="1:18" s="6" customFormat="1" x14ac:dyDescent="0.35">
      <c r="A134" s="6" t="s">
        <v>137</v>
      </c>
      <c r="B134" s="6" t="s">
        <v>5</v>
      </c>
      <c r="C134" s="6">
        <v>261</v>
      </c>
      <c r="D134" s="7">
        <v>7.0000000000000001E-3</v>
      </c>
      <c r="E134" s="6">
        <f t="shared" ref="E134:E197" si="69">P133</f>
        <v>14737.494451574732</v>
      </c>
      <c r="F134" s="8">
        <f>E134*0.7%</f>
        <v>103.16246116102312</v>
      </c>
      <c r="G134" s="9">
        <f t="shared" si="64"/>
        <v>25.996940212577826</v>
      </c>
      <c r="H134" s="6">
        <f t="shared" si="65"/>
        <v>14763.491391787309</v>
      </c>
      <c r="K134" s="6" t="s">
        <v>6</v>
      </c>
      <c r="L134" s="6">
        <v>262</v>
      </c>
      <c r="M134" s="7">
        <v>5.0000000000000096E-3</v>
      </c>
      <c r="N134" s="6">
        <f>H134*0.5%</f>
        <v>73.817456958936546</v>
      </c>
      <c r="O134" s="11">
        <f t="shared" si="66"/>
        <v>18.60199915365201</v>
      </c>
      <c r="P134" s="6">
        <f t="shared" si="67"/>
        <v>14782.093390940961</v>
      </c>
      <c r="R134" s="6">
        <f t="shared" si="68"/>
        <v>44.598939366229835</v>
      </c>
    </row>
    <row r="135" spans="1:18" x14ac:dyDescent="0.35">
      <c r="A135" t="s">
        <v>138</v>
      </c>
      <c r="B135" t="s">
        <v>5</v>
      </c>
      <c r="C135">
        <v>263</v>
      </c>
      <c r="E135">
        <f t="shared" si="69"/>
        <v>14782.093390940961</v>
      </c>
      <c r="F135" s="8">
        <f t="shared" ref="F135:F138" si="70">E135*0.7%</f>
        <v>103.47465373658672</v>
      </c>
      <c r="G135" s="9">
        <f t="shared" si="64"/>
        <v>26.075612741619853</v>
      </c>
      <c r="H135">
        <f t="shared" si="65"/>
        <v>14808.169003682582</v>
      </c>
      <c r="K135" t="s">
        <v>6</v>
      </c>
      <c r="L135">
        <v>264</v>
      </c>
      <c r="N135" s="6">
        <f t="shared" ref="N135:N138" si="71">H135*0.5%</f>
        <v>74.040845018412909</v>
      </c>
      <c r="O135" s="11">
        <f t="shared" si="66"/>
        <v>18.658292944640053</v>
      </c>
      <c r="P135">
        <f t="shared" si="67"/>
        <v>14826.827296627222</v>
      </c>
      <c r="R135">
        <f t="shared" si="68"/>
        <v>44.733905686259902</v>
      </c>
    </row>
    <row r="136" spans="1:18" x14ac:dyDescent="0.35">
      <c r="A136" t="s">
        <v>139</v>
      </c>
      <c r="B136" t="s">
        <v>5</v>
      </c>
      <c r="C136">
        <v>265</v>
      </c>
      <c r="E136">
        <f t="shared" si="69"/>
        <v>14826.827296627222</v>
      </c>
      <c r="F136" s="8">
        <f t="shared" si="70"/>
        <v>103.78779107639053</v>
      </c>
      <c r="G136" s="9">
        <f t="shared" si="64"/>
        <v>26.154523351250415</v>
      </c>
      <c r="H136">
        <f t="shared" si="65"/>
        <v>14852.981819978471</v>
      </c>
      <c r="K136" t="s">
        <v>6</v>
      </c>
      <c r="L136">
        <v>266</v>
      </c>
      <c r="N136" s="6">
        <f t="shared" si="71"/>
        <v>74.264909099892364</v>
      </c>
      <c r="O136" s="11">
        <f t="shared" si="66"/>
        <v>18.714757093172874</v>
      </c>
      <c r="P136">
        <f t="shared" si="67"/>
        <v>14871.696577071643</v>
      </c>
      <c r="R136">
        <f t="shared" si="68"/>
        <v>44.869280444423289</v>
      </c>
    </row>
    <row r="137" spans="1:18" x14ac:dyDescent="0.35">
      <c r="A137" t="s">
        <v>140</v>
      </c>
      <c r="B137" t="s">
        <v>5</v>
      </c>
      <c r="C137">
        <v>267</v>
      </c>
      <c r="E137">
        <f t="shared" si="69"/>
        <v>14871.696577071643</v>
      </c>
      <c r="F137" s="8">
        <f t="shared" si="70"/>
        <v>104.10187603950149</v>
      </c>
      <c r="G137" s="9">
        <f t="shared" si="64"/>
        <v>26.233672761954377</v>
      </c>
      <c r="H137">
        <f t="shared" si="65"/>
        <v>14897.930249833598</v>
      </c>
      <c r="K137" t="s">
        <v>6</v>
      </c>
      <c r="L137">
        <v>268</v>
      </c>
      <c r="N137" s="6">
        <f t="shared" si="71"/>
        <v>74.489651249167991</v>
      </c>
      <c r="O137" s="11">
        <f t="shared" si="66"/>
        <v>18.771392114790334</v>
      </c>
      <c r="P137">
        <f t="shared" si="67"/>
        <v>14916.701641948388</v>
      </c>
      <c r="R137">
        <f t="shared" si="68"/>
        <v>45.005064876744711</v>
      </c>
    </row>
    <row r="138" spans="1:18" x14ac:dyDescent="0.35">
      <c r="A138" t="s">
        <v>141</v>
      </c>
      <c r="B138" t="s">
        <v>5</v>
      </c>
      <c r="C138">
        <v>269</v>
      </c>
      <c r="E138">
        <f t="shared" si="69"/>
        <v>14916.701641948388</v>
      </c>
      <c r="F138" s="8">
        <f t="shared" si="70"/>
        <v>104.41691149363871</v>
      </c>
      <c r="G138" s="9">
        <f t="shared" si="64"/>
        <v>26.313061696396954</v>
      </c>
      <c r="H138">
        <f t="shared" si="65"/>
        <v>14943.014703644785</v>
      </c>
      <c r="K138" t="s">
        <v>6</v>
      </c>
      <c r="L138">
        <v>270</v>
      </c>
      <c r="N138" s="6">
        <f t="shared" si="71"/>
        <v>74.715073518223932</v>
      </c>
      <c r="O138" s="11">
        <f t="shared" si="66"/>
        <v>18.828198526592431</v>
      </c>
      <c r="P138">
        <f t="shared" si="67"/>
        <v>14961.842902171378</v>
      </c>
      <c r="R138">
        <f t="shared" si="68"/>
        <v>45.141260222989388</v>
      </c>
    </row>
    <row r="139" spans="1:18" s="6" customFormat="1" x14ac:dyDescent="0.35">
      <c r="A139" s="6" t="s">
        <v>142</v>
      </c>
      <c r="B139" s="6" t="s">
        <v>5</v>
      </c>
      <c r="C139" s="6">
        <v>271</v>
      </c>
      <c r="D139" s="7">
        <v>8.0000000000000002E-3</v>
      </c>
      <c r="E139" s="6">
        <f t="shared" si="69"/>
        <v>14961.842902171378</v>
      </c>
      <c r="F139" s="8">
        <f>E139*0.8%</f>
        <v>119.69474321737103</v>
      </c>
      <c r="G139" s="9">
        <f t="shared" si="64"/>
        <v>30.163075290777499</v>
      </c>
      <c r="H139" s="6">
        <f t="shared" si="65"/>
        <v>14992.005977462155</v>
      </c>
      <c r="K139" s="6" t="s">
        <v>6</v>
      </c>
      <c r="L139" s="6">
        <v>272</v>
      </c>
      <c r="M139" s="7">
        <v>4.5000000000000101E-3</v>
      </c>
      <c r="N139" s="6">
        <f>H139*0.45%</f>
        <v>67.464026898579704</v>
      </c>
      <c r="O139" s="11">
        <f t="shared" si="66"/>
        <v>17.000934778442087</v>
      </c>
      <c r="P139" s="6">
        <f t="shared" si="67"/>
        <v>15009.006912240597</v>
      </c>
      <c r="R139" s="6">
        <f t="shared" si="68"/>
        <v>47.164010069219586</v>
      </c>
    </row>
    <row r="140" spans="1:18" x14ac:dyDescent="0.35">
      <c r="A140" t="s">
        <v>143</v>
      </c>
      <c r="B140" t="s">
        <v>5</v>
      </c>
      <c r="C140">
        <v>273</v>
      </c>
      <c r="E140">
        <f t="shared" si="69"/>
        <v>15009.006912240597</v>
      </c>
      <c r="F140" s="8">
        <f t="shared" ref="F140:F143" si="72">E140*0.8%</f>
        <v>120.07205529792478</v>
      </c>
      <c r="G140" s="9">
        <f t="shared" si="64"/>
        <v>30.258157935077044</v>
      </c>
      <c r="H140">
        <f t="shared" si="65"/>
        <v>15039.265070175674</v>
      </c>
      <c r="K140" t="s">
        <v>6</v>
      </c>
      <c r="L140">
        <v>274</v>
      </c>
      <c r="N140" s="6">
        <f t="shared" ref="N140:N143" si="73">H140*0.45%</f>
        <v>67.676692815790545</v>
      </c>
      <c r="O140" s="11">
        <f t="shared" si="66"/>
        <v>17.054526589579218</v>
      </c>
      <c r="P140">
        <f t="shared" si="67"/>
        <v>15056.319596765254</v>
      </c>
      <c r="R140">
        <f t="shared" si="68"/>
        <v>47.312684524656262</v>
      </c>
    </row>
    <row r="141" spans="1:18" x14ac:dyDescent="0.35">
      <c r="A141" t="s">
        <v>144</v>
      </c>
      <c r="B141" t="s">
        <v>5</v>
      </c>
      <c r="C141">
        <v>275</v>
      </c>
      <c r="E141">
        <f t="shared" si="69"/>
        <v>15056.319596765254</v>
      </c>
      <c r="F141" s="8">
        <f t="shared" si="72"/>
        <v>120.45055677412203</v>
      </c>
      <c r="G141" s="9">
        <f t="shared" si="64"/>
        <v>30.353540307078752</v>
      </c>
      <c r="H141">
        <f t="shared" si="65"/>
        <v>15086.673137072332</v>
      </c>
      <c r="K141" t="s">
        <v>6</v>
      </c>
      <c r="L141">
        <v>276</v>
      </c>
      <c r="N141" s="6">
        <f t="shared" si="73"/>
        <v>67.890029116825502</v>
      </c>
      <c r="O141" s="11">
        <f t="shared" si="66"/>
        <v>17.108287337440025</v>
      </c>
      <c r="P141">
        <f t="shared" si="67"/>
        <v>15103.781424409772</v>
      </c>
      <c r="R141">
        <f t="shared" si="68"/>
        <v>47.461827644518777</v>
      </c>
    </row>
    <row r="142" spans="1:18" x14ac:dyDescent="0.35">
      <c r="A142" t="s">
        <v>145</v>
      </c>
      <c r="B142" t="s">
        <v>5</v>
      </c>
      <c r="C142">
        <v>277</v>
      </c>
      <c r="E142">
        <f t="shared" si="69"/>
        <v>15103.781424409772</v>
      </c>
      <c r="F142" s="8">
        <f t="shared" si="72"/>
        <v>120.83025139527818</v>
      </c>
      <c r="G142" s="9">
        <f t="shared" si="64"/>
        <v>30.449223351610101</v>
      </c>
      <c r="H142">
        <f t="shared" si="65"/>
        <v>15134.230647761382</v>
      </c>
      <c r="K142" t="s">
        <v>6</v>
      </c>
      <c r="L142">
        <v>278</v>
      </c>
      <c r="N142" s="6">
        <f t="shared" si="73"/>
        <v>68.104037914926224</v>
      </c>
      <c r="O142" s="11">
        <f t="shared" si="66"/>
        <v>17.162217554561408</v>
      </c>
      <c r="P142">
        <f t="shared" si="67"/>
        <v>15151.392865315944</v>
      </c>
      <c r="R142">
        <f t="shared" si="68"/>
        <v>47.611440906171509</v>
      </c>
    </row>
    <row r="143" spans="1:18" x14ac:dyDescent="0.35">
      <c r="A143" t="s">
        <v>146</v>
      </c>
      <c r="B143" t="s">
        <v>5</v>
      </c>
      <c r="C143">
        <v>279</v>
      </c>
      <c r="D143" s="15"/>
      <c r="E143">
        <f t="shared" si="69"/>
        <v>15151.392865315944</v>
      </c>
      <c r="F143" s="8">
        <f t="shared" si="72"/>
        <v>121.21114292252756</v>
      </c>
      <c r="G143" s="9">
        <f t="shared" si="64"/>
        <v>30.545208016476945</v>
      </c>
      <c r="H143">
        <f t="shared" si="65"/>
        <v>15181.938073332421</v>
      </c>
      <c r="K143" t="s">
        <v>6</v>
      </c>
      <c r="L143">
        <v>280</v>
      </c>
      <c r="N143" s="6">
        <f t="shared" si="73"/>
        <v>68.31872132999591</v>
      </c>
      <c r="O143" s="11">
        <f t="shared" si="66"/>
        <v>17.21631777515897</v>
      </c>
      <c r="P143">
        <f t="shared" si="67"/>
        <v>15199.154391107581</v>
      </c>
      <c r="R143">
        <f t="shared" si="68"/>
        <v>47.761525791635918</v>
      </c>
    </row>
    <row r="144" spans="1:18" s="6" customFormat="1" x14ac:dyDescent="0.35">
      <c r="A144" s="6" t="s">
        <v>147</v>
      </c>
      <c r="B144" s="6" t="s">
        <v>5</v>
      </c>
      <c r="C144" s="6">
        <v>281</v>
      </c>
      <c r="D144" s="7">
        <v>8.9999999999999993E-3</v>
      </c>
      <c r="E144" s="6">
        <f t="shared" si="69"/>
        <v>15199.154391107581</v>
      </c>
      <c r="F144" s="8">
        <f>E144*0.9%</f>
        <v>136.79238951996825</v>
      </c>
      <c r="G144" s="9">
        <f t="shared" si="64"/>
        <v>34.471682159032</v>
      </c>
      <c r="H144" s="6">
        <f t="shared" si="65"/>
        <v>15233.626073266612</v>
      </c>
      <c r="K144" s="6" t="s">
        <v>6</v>
      </c>
      <c r="L144" s="6">
        <v>282</v>
      </c>
      <c r="M144" s="7">
        <v>4.0000000000000096E-3</v>
      </c>
      <c r="N144" s="6">
        <f>H144*0.4%</f>
        <v>60.934504293066453</v>
      </c>
      <c r="O144" s="11">
        <f t="shared" si="66"/>
        <v>15.355495081852746</v>
      </c>
      <c r="P144" s="6">
        <f t="shared" si="67"/>
        <v>15248.981568348465</v>
      </c>
      <c r="R144" s="6">
        <f t="shared" si="68"/>
        <v>49.827177240884744</v>
      </c>
    </row>
    <row r="145" spans="1:18" x14ac:dyDescent="0.35">
      <c r="A145" t="s">
        <v>148</v>
      </c>
      <c r="B145" t="s">
        <v>5</v>
      </c>
      <c r="C145">
        <v>283</v>
      </c>
      <c r="E145">
        <f t="shared" si="69"/>
        <v>15248.981568348465</v>
      </c>
      <c r="F145" s="8">
        <f t="shared" ref="F145:F148" si="74">E145*0.9%</f>
        <v>137.24083411513621</v>
      </c>
      <c r="G145" s="9">
        <f t="shared" si="64"/>
        <v>34.584690197014325</v>
      </c>
      <c r="H145">
        <f t="shared" si="65"/>
        <v>15283.566258545479</v>
      </c>
      <c r="K145" t="s">
        <v>6</v>
      </c>
      <c r="L145">
        <v>284</v>
      </c>
      <c r="N145" s="6">
        <f t="shared" ref="N145:N148" si="75">H145*0.4%</f>
        <v>61.134265034181915</v>
      </c>
      <c r="O145" s="11">
        <f t="shared" si="66"/>
        <v>15.405834788613843</v>
      </c>
      <c r="P145">
        <f t="shared" si="67"/>
        <v>15298.972093334092</v>
      </c>
      <c r="R145">
        <f t="shared" si="68"/>
        <v>49.99052498562817</v>
      </c>
    </row>
    <row r="146" spans="1:18" x14ac:dyDescent="0.35">
      <c r="A146" t="s">
        <v>149</v>
      </c>
      <c r="B146" t="s">
        <v>5</v>
      </c>
      <c r="C146">
        <v>285</v>
      </c>
      <c r="E146">
        <f t="shared" si="69"/>
        <v>15298.972093334092</v>
      </c>
      <c r="F146" s="8">
        <f t="shared" si="74"/>
        <v>137.69074884000685</v>
      </c>
      <c r="G146" s="9">
        <f t="shared" si="64"/>
        <v>34.698068707681728</v>
      </c>
      <c r="H146">
        <f t="shared" si="65"/>
        <v>15333.670162041773</v>
      </c>
      <c r="K146" t="s">
        <v>6</v>
      </c>
      <c r="L146">
        <v>286</v>
      </c>
      <c r="N146" s="6">
        <f t="shared" si="75"/>
        <v>61.334680648167094</v>
      </c>
      <c r="O146" s="11">
        <f t="shared" si="66"/>
        <v>15.456339523338107</v>
      </c>
      <c r="P146">
        <f t="shared" si="67"/>
        <v>15349.126501565112</v>
      </c>
      <c r="R146">
        <f t="shared" si="68"/>
        <v>50.154408231019836</v>
      </c>
    </row>
    <row r="147" spans="1:18" x14ac:dyDescent="0.35">
      <c r="A147" t="s">
        <v>150</v>
      </c>
      <c r="B147" t="s">
        <v>5</v>
      </c>
      <c r="C147">
        <v>287</v>
      </c>
      <c r="E147">
        <f t="shared" si="69"/>
        <v>15349.126501565112</v>
      </c>
      <c r="F147" s="8">
        <f t="shared" si="74"/>
        <v>138.14213851408601</v>
      </c>
      <c r="G147" s="9">
        <f t="shared" si="64"/>
        <v>34.811818905549679</v>
      </c>
      <c r="H147">
        <f t="shared" si="65"/>
        <v>15383.938320470661</v>
      </c>
      <c r="K147" t="s">
        <v>6</v>
      </c>
      <c r="L147">
        <v>288</v>
      </c>
      <c r="N147" s="6">
        <f t="shared" si="75"/>
        <v>61.535753281882648</v>
      </c>
      <c r="O147" s="11">
        <f t="shared" si="66"/>
        <v>15.507009827034427</v>
      </c>
      <c r="P147">
        <f t="shared" si="67"/>
        <v>15399.445330297696</v>
      </c>
      <c r="R147">
        <f t="shared" si="68"/>
        <v>50.318828732584109</v>
      </c>
    </row>
    <row r="148" spans="1:18" x14ac:dyDescent="0.35">
      <c r="A148" t="s">
        <v>151</v>
      </c>
      <c r="B148" t="s">
        <v>5</v>
      </c>
      <c r="C148">
        <v>289</v>
      </c>
      <c r="E148">
        <f t="shared" si="69"/>
        <v>15399.445330297696</v>
      </c>
      <c r="F148" s="8">
        <f t="shared" si="74"/>
        <v>138.59500797267927</v>
      </c>
      <c r="G148" s="9">
        <f t="shared" si="64"/>
        <v>34.925942009115175</v>
      </c>
      <c r="H148">
        <f t="shared" si="65"/>
        <v>15434.371272306811</v>
      </c>
      <c r="K148" t="s">
        <v>6</v>
      </c>
      <c r="L148">
        <v>290</v>
      </c>
      <c r="N148" s="6">
        <f t="shared" si="75"/>
        <v>61.737485089227249</v>
      </c>
      <c r="O148" s="11">
        <f t="shared" si="66"/>
        <v>15.557846242485267</v>
      </c>
      <c r="P148">
        <f t="shared" si="67"/>
        <v>15449.929118549297</v>
      </c>
      <c r="R148">
        <f t="shared" si="68"/>
        <v>50.483788251600444</v>
      </c>
    </row>
    <row r="149" spans="1:18" s="6" customFormat="1" x14ac:dyDescent="0.35">
      <c r="A149" s="6" t="s">
        <v>152</v>
      </c>
      <c r="B149" s="6" t="s">
        <v>5</v>
      </c>
      <c r="C149" s="6">
        <v>291</v>
      </c>
      <c r="D149" s="7">
        <v>8.0000000000000002E-3</v>
      </c>
      <c r="E149" s="6">
        <f t="shared" si="69"/>
        <v>15449.929118549297</v>
      </c>
      <c r="F149" s="8">
        <f>E149*0.8%</f>
        <v>123.59943294839438</v>
      </c>
      <c r="G149" s="9">
        <f t="shared" si="64"/>
        <v>31.147057102995383</v>
      </c>
      <c r="H149" s="6">
        <f t="shared" si="65"/>
        <v>15481.076175652292</v>
      </c>
      <c r="K149" s="6" t="s">
        <v>6</v>
      </c>
      <c r="L149" s="6">
        <v>292</v>
      </c>
      <c r="M149" s="7">
        <v>4.4999999999999997E-3</v>
      </c>
      <c r="N149" s="6">
        <f>H149*0.45%</f>
        <v>69.664842790435316</v>
      </c>
      <c r="O149" s="11">
        <f t="shared" si="66"/>
        <v>17.555540383189701</v>
      </c>
      <c r="P149" s="6">
        <f t="shared" si="67"/>
        <v>15498.631716035481</v>
      </c>
      <c r="R149" s="6">
        <f t="shared" si="68"/>
        <v>48.702597486185084</v>
      </c>
    </row>
    <row r="150" spans="1:18" x14ac:dyDescent="0.35">
      <c r="A150" t="s">
        <v>153</v>
      </c>
      <c r="B150" t="s">
        <v>5</v>
      </c>
      <c r="C150">
        <v>293</v>
      </c>
      <c r="E150">
        <f t="shared" si="69"/>
        <v>15498.631716035481</v>
      </c>
      <c r="F150" s="8">
        <f t="shared" ref="F150:F153" si="76">E150*0.8%</f>
        <v>123.98905372828385</v>
      </c>
      <c r="G150" s="9">
        <f t="shared" si="64"/>
        <v>31.24524153952753</v>
      </c>
      <c r="H150">
        <f t="shared" si="65"/>
        <v>15529.876957575008</v>
      </c>
      <c r="K150" t="s">
        <v>6</v>
      </c>
      <c r="L150">
        <v>294</v>
      </c>
      <c r="N150" s="6">
        <f t="shared" ref="N150:N153" si="77">H150*0.45%</f>
        <v>69.884446309087551</v>
      </c>
      <c r="O150" s="11">
        <f t="shared" si="66"/>
        <v>17.610880469890063</v>
      </c>
      <c r="P150">
        <f t="shared" si="67"/>
        <v>15547.487838044899</v>
      </c>
      <c r="R150">
        <f t="shared" si="68"/>
        <v>48.856122009417589</v>
      </c>
    </row>
    <row r="151" spans="1:18" x14ac:dyDescent="0.35">
      <c r="A151" t="s">
        <v>154</v>
      </c>
      <c r="B151" t="s">
        <v>5</v>
      </c>
      <c r="C151">
        <v>295</v>
      </c>
      <c r="E151">
        <f t="shared" si="69"/>
        <v>15547.487838044899</v>
      </c>
      <c r="F151" s="8">
        <f t="shared" si="76"/>
        <v>124.3799027043592</v>
      </c>
      <c r="G151" s="9">
        <f t="shared" si="64"/>
        <v>31.343735481498516</v>
      </c>
      <c r="H151">
        <f t="shared" si="65"/>
        <v>15578.831573526397</v>
      </c>
      <c r="K151" t="s">
        <v>6</v>
      </c>
      <c r="L151">
        <v>296</v>
      </c>
      <c r="N151" s="6">
        <f t="shared" si="77"/>
        <v>70.104742080868789</v>
      </c>
      <c r="O151" s="11">
        <f t="shared" si="66"/>
        <v>17.666395004378934</v>
      </c>
      <c r="P151">
        <f t="shared" si="67"/>
        <v>15596.497968530775</v>
      </c>
      <c r="R151">
        <f t="shared" si="68"/>
        <v>49.010130485877454</v>
      </c>
    </row>
    <row r="152" spans="1:18" x14ac:dyDescent="0.35">
      <c r="A152" t="s">
        <v>155</v>
      </c>
      <c r="B152" t="s">
        <v>5</v>
      </c>
      <c r="C152">
        <v>297</v>
      </c>
      <c r="E152">
        <f t="shared" si="69"/>
        <v>15596.497968530775</v>
      </c>
      <c r="F152" s="8">
        <f t="shared" si="76"/>
        <v>124.7719837482462</v>
      </c>
      <c r="G152" s="9">
        <f t="shared" si="64"/>
        <v>31.442539904558043</v>
      </c>
      <c r="H152">
        <f t="shared" si="65"/>
        <v>15627.940508435333</v>
      </c>
      <c r="K152" t="s">
        <v>6</v>
      </c>
      <c r="L152">
        <v>298</v>
      </c>
      <c r="N152" s="6">
        <f t="shared" si="77"/>
        <v>70.325732287959013</v>
      </c>
      <c r="O152" s="11">
        <f t="shared" si="66"/>
        <v>17.722084536565671</v>
      </c>
      <c r="P152">
        <f t="shared" si="67"/>
        <v>15645.662592971899</v>
      </c>
      <c r="R152">
        <f t="shared" si="68"/>
        <v>49.164624441123713</v>
      </c>
    </row>
    <row r="153" spans="1:18" s="13" customFormat="1" x14ac:dyDescent="0.35">
      <c r="A153" s="13" t="s">
        <v>156</v>
      </c>
      <c r="B153" s="13" t="s">
        <v>5</v>
      </c>
      <c r="C153" s="13">
        <v>299</v>
      </c>
      <c r="E153" s="13">
        <f t="shared" si="69"/>
        <v>15645.662592971899</v>
      </c>
      <c r="F153" s="14">
        <f t="shared" si="76"/>
        <v>125.16530074377519</v>
      </c>
      <c r="G153" s="9">
        <f t="shared" si="64"/>
        <v>31.541655787431349</v>
      </c>
      <c r="H153" s="13">
        <f t="shared" si="65"/>
        <v>15677.20424875933</v>
      </c>
      <c r="K153" s="13" t="s">
        <v>6</v>
      </c>
      <c r="L153" s="13">
        <v>300</v>
      </c>
      <c r="N153" s="13">
        <f t="shared" si="77"/>
        <v>70.547419119416986</v>
      </c>
      <c r="O153" s="11">
        <f t="shared" si="66"/>
        <v>17.777949618093082</v>
      </c>
      <c r="P153" s="13">
        <f t="shared" si="67"/>
        <v>15694.982198377424</v>
      </c>
      <c r="R153" s="13">
        <f t="shared" si="68"/>
        <v>49.319605405524428</v>
      </c>
    </row>
    <row r="154" spans="1:18" s="6" customFormat="1" x14ac:dyDescent="0.35">
      <c r="A154" s="6" t="s">
        <v>157</v>
      </c>
      <c r="B154" s="6" t="s">
        <v>5</v>
      </c>
      <c r="C154" s="6">
        <v>301</v>
      </c>
      <c r="D154" s="7">
        <v>7.0000000000000001E-3</v>
      </c>
      <c r="E154" s="6">
        <f t="shared" si="69"/>
        <v>15694.982198377424</v>
      </c>
      <c r="F154" s="8">
        <f>E154*0.7%</f>
        <v>109.86487538864195</v>
      </c>
      <c r="G154" s="9">
        <f t="shared" si="64"/>
        <v>27.68594859793777</v>
      </c>
      <c r="H154" s="6">
        <f t="shared" si="65"/>
        <v>15722.668146975362</v>
      </c>
      <c r="K154" s="6" t="s">
        <v>6</v>
      </c>
      <c r="L154" s="6">
        <v>302</v>
      </c>
      <c r="M154" s="7">
        <v>4.9999999999999897E-3</v>
      </c>
      <c r="N154" s="6">
        <f>H154*0.5%</f>
        <v>78.613340734876815</v>
      </c>
      <c r="O154" s="11">
        <f t="shared" si="66"/>
        <v>19.810561865188959</v>
      </c>
      <c r="P154" s="6">
        <f t="shared" si="67"/>
        <v>15742.478708840552</v>
      </c>
      <c r="R154" s="6">
        <f t="shared" si="68"/>
        <v>47.496510463126725</v>
      </c>
    </row>
    <row r="155" spans="1:18" x14ac:dyDescent="0.35">
      <c r="A155" t="s">
        <v>158</v>
      </c>
      <c r="B155" t="s">
        <v>5</v>
      </c>
      <c r="C155">
        <v>303</v>
      </c>
      <c r="E155">
        <f t="shared" si="69"/>
        <v>15742.478708840552</v>
      </c>
      <c r="F155" s="8">
        <f t="shared" ref="F155:F158" si="78">E155*0.7%</f>
        <v>110.19735096188386</v>
      </c>
      <c r="G155" s="9">
        <f t="shared" si="64"/>
        <v>27.769732442394734</v>
      </c>
      <c r="H155">
        <f t="shared" si="65"/>
        <v>15770.248441282947</v>
      </c>
      <c r="K155" t="s">
        <v>6</v>
      </c>
      <c r="L155">
        <v>304</v>
      </c>
      <c r="N155" s="6">
        <f t="shared" ref="N155:N158" si="79">H155*0.5%</f>
        <v>78.851242206414739</v>
      </c>
      <c r="O155" s="11">
        <f t="shared" si="66"/>
        <v>19.870513036016515</v>
      </c>
      <c r="P155">
        <f t="shared" si="67"/>
        <v>15790.118954318963</v>
      </c>
      <c r="R155">
        <f t="shared" si="68"/>
        <v>47.640245478411245</v>
      </c>
    </row>
    <row r="156" spans="1:18" x14ac:dyDescent="0.35">
      <c r="A156" t="s">
        <v>159</v>
      </c>
      <c r="B156" t="s">
        <v>5</v>
      </c>
      <c r="C156">
        <v>305</v>
      </c>
      <c r="E156">
        <f t="shared" si="69"/>
        <v>15790.118954318963</v>
      </c>
      <c r="F156" s="8">
        <f t="shared" si="78"/>
        <v>110.53083268023273</v>
      </c>
      <c r="G156" s="9">
        <f t="shared" si="64"/>
        <v>27.85376983541865</v>
      </c>
      <c r="H156">
        <f t="shared" si="65"/>
        <v>15817.972724154382</v>
      </c>
      <c r="K156" t="s">
        <v>6</v>
      </c>
      <c r="L156">
        <v>306</v>
      </c>
      <c r="N156" s="6">
        <f t="shared" si="79"/>
        <v>79.089863620771908</v>
      </c>
      <c r="O156" s="11">
        <f t="shared" si="66"/>
        <v>19.930645632434523</v>
      </c>
      <c r="P156">
        <f t="shared" si="67"/>
        <v>15837.903369786816</v>
      </c>
      <c r="R156">
        <f t="shared" si="68"/>
        <v>47.784415467853172</v>
      </c>
    </row>
    <row r="157" spans="1:18" x14ac:dyDescent="0.35">
      <c r="A157" t="s">
        <v>160</v>
      </c>
      <c r="B157" t="s">
        <v>5</v>
      </c>
      <c r="C157">
        <v>307</v>
      </c>
      <c r="E157">
        <f t="shared" si="69"/>
        <v>15837.903369786816</v>
      </c>
      <c r="F157" s="8">
        <f t="shared" si="78"/>
        <v>110.86532358850771</v>
      </c>
      <c r="G157" s="9">
        <f t="shared" si="64"/>
        <v>27.938061544303942</v>
      </c>
      <c r="H157">
        <f t="shared" si="65"/>
        <v>15865.84143133112</v>
      </c>
      <c r="K157" t="s">
        <v>6</v>
      </c>
      <c r="L157">
        <v>308</v>
      </c>
      <c r="N157" s="6">
        <f t="shared" si="79"/>
        <v>79.329207156655599</v>
      </c>
      <c r="O157" s="11">
        <f t="shared" si="66"/>
        <v>19.990960203477211</v>
      </c>
      <c r="P157">
        <f t="shared" si="67"/>
        <v>15885.832391534597</v>
      </c>
      <c r="R157">
        <f t="shared" si="68"/>
        <v>47.92902174778115</v>
      </c>
    </row>
    <row r="158" spans="1:18" x14ac:dyDescent="0.35">
      <c r="A158" t="s">
        <v>161</v>
      </c>
      <c r="B158" t="s">
        <v>5</v>
      </c>
      <c r="C158">
        <v>309</v>
      </c>
      <c r="E158">
        <f t="shared" si="69"/>
        <v>15885.832391534597</v>
      </c>
      <c r="F158" s="8">
        <f t="shared" si="78"/>
        <v>111.20082674074217</v>
      </c>
      <c r="G158" s="9">
        <f t="shared" si="64"/>
        <v>28.022608338667027</v>
      </c>
      <c r="H158">
        <f t="shared" si="65"/>
        <v>15913.854999873265</v>
      </c>
      <c r="K158" t="s">
        <v>6</v>
      </c>
      <c r="L158">
        <v>310</v>
      </c>
      <c r="N158" s="6">
        <f t="shared" si="79"/>
        <v>79.569274999366328</v>
      </c>
      <c r="O158" s="11">
        <f t="shared" si="66"/>
        <v>20.051457299840315</v>
      </c>
      <c r="P158">
        <f t="shared" si="67"/>
        <v>15933.906457173105</v>
      </c>
      <c r="R158">
        <f t="shared" si="68"/>
        <v>48.074065638507342</v>
      </c>
    </row>
    <row r="159" spans="1:18" s="6" customFormat="1" x14ac:dyDescent="0.35">
      <c r="A159" s="6" t="s">
        <v>162</v>
      </c>
      <c r="B159" s="6" t="s">
        <v>5</v>
      </c>
      <c r="C159" s="6">
        <v>311</v>
      </c>
      <c r="D159" s="7">
        <v>6.0000000000000001E-3</v>
      </c>
      <c r="E159" s="6">
        <f t="shared" si="69"/>
        <v>15933.906457173105</v>
      </c>
      <c r="F159" s="8">
        <f>E159*0.6%</f>
        <v>95.603438743038637</v>
      </c>
      <c r="G159" s="9">
        <f t="shared" si="64"/>
        <v>24.092066563245737</v>
      </c>
      <c r="H159" s="6">
        <f t="shared" si="65"/>
        <v>15957.998523736351</v>
      </c>
      <c r="K159" s="6" t="s">
        <v>6</v>
      </c>
      <c r="L159" s="6">
        <v>312</v>
      </c>
      <c r="M159" s="7">
        <v>5.4999999999999797E-3</v>
      </c>
      <c r="N159" s="6">
        <f>H159*0.55%</f>
        <v>87.768991880549933</v>
      </c>
      <c r="O159" s="11">
        <f t="shared" si="66"/>
        <v>22.117785953898583</v>
      </c>
      <c r="P159" s="6">
        <f t="shared" si="67"/>
        <v>15980.116309690249</v>
      </c>
      <c r="R159" s="6">
        <f t="shared" si="68"/>
        <v>46.20985251714432</v>
      </c>
    </row>
    <row r="160" spans="1:18" x14ac:dyDescent="0.35">
      <c r="A160" t="s">
        <v>163</v>
      </c>
      <c r="B160" t="s">
        <v>5</v>
      </c>
      <c r="C160">
        <v>313</v>
      </c>
      <c r="E160">
        <f t="shared" si="69"/>
        <v>15980.116309690249</v>
      </c>
      <c r="F160" s="8">
        <f t="shared" ref="F160:F163" si="80">E160*0.6%</f>
        <v>95.880697858141502</v>
      </c>
      <c r="G160" s="9">
        <f t="shared" si="64"/>
        <v>24.16193586025166</v>
      </c>
      <c r="H160">
        <f t="shared" si="65"/>
        <v>16004.2782455505</v>
      </c>
      <c r="K160" t="s">
        <v>6</v>
      </c>
      <c r="L160">
        <v>314</v>
      </c>
      <c r="N160" s="6">
        <f t="shared" ref="N160:N163" si="81">H160*0.55%</f>
        <v>88.023530350527764</v>
      </c>
      <c r="O160" s="11">
        <f t="shared" si="66"/>
        <v>22.181929648332996</v>
      </c>
      <c r="P160">
        <f t="shared" si="67"/>
        <v>16026.460175198834</v>
      </c>
      <c r="R160">
        <f t="shared" si="68"/>
        <v>46.343865508584656</v>
      </c>
    </row>
    <row r="161" spans="1:18" x14ac:dyDescent="0.35">
      <c r="A161" t="s">
        <v>164</v>
      </c>
      <c r="B161" t="s">
        <v>5</v>
      </c>
      <c r="C161">
        <v>315</v>
      </c>
      <c r="E161">
        <f t="shared" si="69"/>
        <v>16026.460175198834</v>
      </c>
      <c r="F161" s="8">
        <f t="shared" si="80"/>
        <v>96.158761051193011</v>
      </c>
      <c r="G161" s="9">
        <f t="shared" si="64"/>
        <v>24.232007784900638</v>
      </c>
      <c r="H161">
        <f t="shared" si="65"/>
        <v>16050.692182983734</v>
      </c>
      <c r="K161" t="s">
        <v>6</v>
      </c>
      <c r="L161">
        <v>316</v>
      </c>
      <c r="N161" s="6">
        <f t="shared" si="81"/>
        <v>88.278807006410545</v>
      </c>
      <c r="O161" s="11">
        <f t="shared" si="66"/>
        <v>22.246259365615458</v>
      </c>
      <c r="P161">
        <f t="shared" si="67"/>
        <v>16072.938442349348</v>
      </c>
      <c r="R161">
        <f t="shared" si="68"/>
        <v>46.478267150516096</v>
      </c>
    </row>
    <row r="162" spans="1:18" x14ac:dyDescent="0.35">
      <c r="A162" t="s">
        <v>165</v>
      </c>
      <c r="B162" t="s">
        <v>5</v>
      </c>
      <c r="C162">
        <v>317</v>
      </c>
      <c r="E162">
        <f t="shared" si="69"/>
        <v>16072.938442349348</v>
      </c>
      <c r="F162" s="8">
        <f t="shared" si="80"/>
        <v>96.437630654096097</v>
      </c>
      <c r="G162" s="9">
        <f t="shared" si="64"/>
        <v>24.302282924832216</v>
      </c>
      <c r="H162">
        <f t="shared" si="65"/>
        <v>16097.240725274181</v>
      </c>
      <c r="K162" t="s">
        <v>6</v>
      </c>
      <c r="L162">
        <v>318</v>
      </c>
      <c r="N162" s="6">
        <f t="shared" si="81"/>
        <v>88.534823989008004</v>
      </c>
      <c r="O162" s="11">
        <f t="shared" si="66"/>
        <v>22.310775645230017</v>
      </c>
      <c r="P162">
        <f t="shared" si="67"/>
        <v>16119.551500919411</v>
      </c>
      <c r="R162">
        <f t="shared" si="68"/>
        <v>46.613058570062236</v>
      </c>
    </row>
    <row r="163" spans="1:18" x14ac:dyDescent="0.35">
      <c r="A163" t="s">
        <v>166</v>
      </c>
      <c r="B163" t="s">
        <v>5</v>
      </c>
      <c r="C163">
        <v>319</v>
      </c>
      <c r="E163">
        <f t="shared" si="69"/>
        <v>16119.551500919411</v>
      </c>
      <c r="F163" s="8">
        <f t="shared" si="80"/>
        <v>96.717309005516469</v>
      </c>
      <c r="G163" s="9">
        <f t="shared" si="64"/>
        <v>24.37276186939015</v>
      </c>
      <c r="H163">
        <f t="shared" si="65"/>
        <v>16143.924262788802</v>
      </c>
      <c r="K163" t="s">
        <v>6</v>
      </c>
      <c r="L163">
        <v>320</v>
      </c>
      <c r="M163" s="15"/>
      <c r="N163" s="6">
        <f t="shared" si="81"/>
        <v>88.791583445338418</v>
      </c>
      <c r="O163" s="11">
        <f t="shared" si="66"/>
        <v>22.375479028225282</v>
      </c>
      <c r="P163">
        <f t="shared" si="67"/>
        <v>16166.299741817027</v>
      </c>
      <c r="R163">
        <f t="shared" si="68"/>
        <v>46.748240897615432</v>
      </c>
    </row>
    <row r="164" spans="1:18" s="6" customFormat="1" x14ac:dyDescent="0.35">
      <c r="A164" s="6" t="s">
        <v>167</v>
      </c>
      <c r="B164" s="6" t="s">
        <v>6</v>
      </c>
      <c r="C164" s="6">
        <v>321</v>
      </c>
      <c r="D164" s="7">
        <v>5.0000000000000001E-3</v>
      </c>
      <c r="E164" s="6">
        <f t="shared" si="69"/>
        <v>16166.299741817027</v>
      </c>
      <c r="F164" s="8">
        <f>E164*0.5%</f>
        <v>80.831498709085139</v>
      </c>
      <c r="G164" s="9">
        <f t="shared" si="64"/>
        <v>20.369537674689454</v>
      </c>
      <c r="H164" s="6">
        <f t="shared" si="65"/>
        <v>16186.669279491716</v>
      </c>
      <c r="K164" s="6" t="s">
        <v>12</v>
      </c>
      <c r="L164" s="6">
        <v>322</v>
      </c>
      <c r="M164" s="7">
        <v>5.9999999999999698E-3</v>
      </c>
      <c r="N164" s="6">
        <f>H164*0.6%</f>
        <v>97.120015676950302</v>
      </c>
      <c r="O164" s="11">
        <f t="shared" si="66"/>
        <v>24.474243950591475</v>
      </c>
      <c r="P164" s="6">
        <f t="shared" si="67"/>
        <v>16211.143523442308</v>
      </c>
      <c r="R164" s="6">
        <f t="shared" si="68"/>
        <v>44.843781625280926</v>
      </c>
    </row>
    <row r="165" spans="1:18" x14ac:dyDescent="0.35">
      <c r="A165" t="s">
        <v>168</v>
      </c>
      <c r="B165" t="s">
        <v>6</v>
      </c>
      <c r="C165">
        <v>323</v>
      </c>
      <c r="E165">
        <f t="shared" si="69"/>
        <v>16211.143523442308</v>
      </c>
      <c r="F165" s="8">
        <f t="shared" ref="F165:F168" si="82">E165*0.5%</f>
        <v>81.055717617211542</v>
      </c>
      <c r="G165" s="9">
        <f t="shared" si="64"/>
        <v>20.426040839537308</v>
      </c>
      <c r="H165">
        <f t="shared" si="65"/>
        <v>16231.569564281845</v>
      </c>
      <c r="K165" t="s">
        <v>12</v>
      </c>
      <c r="L165">
        <v>324</v>
      </c>
      <c r="N165" s="6">
        <f t="shared" ref="N165:N168" si="83">H165*0.6%</f>
        <v>97.389417385691075</v>
      </c>
      <c r="O165" s="11">
        <f t="shared" si="66"/>
        <v>24.542133181194153</v>
      </c>
      <c r="P165">
        <f t="shared" si="67"/>
        <v>16256.111697463039</v>
      </c>
      <c r="R165">
        <f t="shared" si="68"/>
        <v>44.96817402073146</v>
      </c>
    </row>
    <row r="166" spans="1:18" x14ac:dyDescent="0.35">
      <c r="A166" t="s">
        <v>169</v>
      </c>
      <c r="B166" t="s">
        <v>6</v>
      </c>
      <c r="C166">
        <v>325</v>
      </c>
      <c r="E166">
        <f t="shared" si="69"/>
        <v>16256.111697463039</v>
      </c>
      <c r="F166" s="8">
        <f t="shared" si="82"/>
        <v>81.28055848731519</v>
      </c>
      <c r="G166" s="9">
        <f t="shared" si="64"/>
        <v>20.482700738803427</v>
      </c>
      <c r="H166">
        <f t="shared" si="65"/>
        <v>16276.594398201842</v>
      </c>
      <c r="K166" t="s">
        <v>12</v>
      </c>
      <c r="L166">
        <v>326</v>
      </c>
      <c r="N166" s="6">
        <f t="shared" si="83"/>
        <v>97.659566389211051</v>
      </c>
      <c r="O166" s="11">
        <f t="shared" si="66"/>
        <v>24.610210730081185</v>
      </c>
      <c r="P166">
        <f t="shared" si="67"/>
        <v>16301.204608931923</v>
      </c>
      <c r="R166">
        <f t="shared" si="68"/>
        <v>45.092911468884608</v>
      </c>
    </row>
    <row r="167" spans="1:18" x14ac:dyDescent="0.35">
      <c r="A167" t="s">
        <v>170</v>
      </c>
      <c r="B167" t="s">
        <v>6</v>
      </c>
      <c r="C167">
        <v>327</v>
      </c>
      <c r="E167">
        <f t="shared" si="69"/>
        <v>16301.204608931923</v>
      </c>
      <c r="F167" s="8">
        <f t="shared" si="82"/>
        <v>81.506023044659614</v>
      </c>
      <c r="G167" s="9">
        <f t="shared" si="64"/>
        <v>20.539517807254224</v>
      </c>
      <c r="H167">
        <f t="shared" si="65"/>
        <v>16321.744126739177</v>
      </c>
      <c r="K167" t="s">
        <v>12</v>
      </c>
      <c r="L167">
        <v>328</v>
      </c>
      <c r="N167" s="6">
        <f t="shared" si="83"/>
        <v>97.930464760435058</v>
      </c>
      <c r="O167" s="11">
        <f t="shared" si="66"/>
        <v>24.678477119629633</v>
      </c>
      <c r="P167">
        <f t="shared" si="67"/>
        <v>16346.422603858806</v>
      </c>
      <c r="R167">
        <f t="shared" si="68"/>
        <v>45.217994926883861</v>
      </c>
    </row>
    <row r="168" spans="1:18" x14ac:dyDescent="0.35">
      <c r="A168" t="s">
        <v>171</v>
      </c>
      <c r="B168" t="s">
        <v>6</v>
      </c>
      <c r="C168">
        <v>329</v>
      </c>
      <c r="D168" s="15"/>
      <c r="E168">
        <f t="shared" si="69"/>
        <v>16346.422603858806</v>
      </c>
      <c r="F168" s="8">
        <f t="shared" si="82"/>
        <v>81.732113019294033</v>
      </c>
      <c r="G168" s="9">
        <f t="shared" si="64"/>
        <v>20.596492480862096</v>
      </c>
      <c r="H168">
        <f t="shared" si="65"/>
        <v>16367.019096339667</v>
      </c>
      <c r="K168" t="s">
        <v>12</v>
      </c>
      <c r="L168">
        <v>330</v>
      </c>
      <c r="N168" s="6">
        <f t="shared" si="83"/>
        <v>98.202114578038007</v>
      </c>
      <c r="O168" s="11">
        <f t="shared" si="66"/>
        <v>24.746932873665578</v>
      </c>
      <c r="P168">
        <f t="shared" si="67"/>
        <v>16391.766029213333</v>
      </c>
      <c r="R168">
        <f t="shared" si="68"/>
        <v>45.343425354527675</v>
      </c>
    </row>
    <row r="169" spans="1:18" s="6" customFormat="1" x14ac:dyDescent="0.35">
      <c r="A169" s="6" t="s">
        <v>172</v>
      </c>
      <c r="B169" s="6" t="s">
        <v>6</v>
      </c>
      <c r="C169" s="6">
        <v>331</v>
      </c>
      <c r="D169" s="7">
        <v>4.0000000000000001E-3</v>
      </c>
      <c r="E169" s="6">
        <f t="shared" si="69"/>
        <v>16391.766029213333</v>
      </c>
      <c r="F169" s="8">
        <f>E169*0.4%</f>
        <v>65.567064116853331</v>
      </c>
      <c r="G169" s="9">
        <f t="shared" si="64"/>
        <v>16.52290015744704</v>
      </c>
      <c r="H169" s="6">
        <f t="shared" si="65"/>
        <v>16408.288929370781</v>
      </c>
      <c r="K169" s="6" t="s">
        <v>12</v>
      </c>
      <c r="L169" s="6">
        <v>332</v>
      </c>
      <c r="M169" s="7">
        <v>6.4999999999999598E-3</v>
      </c>
      <c r="N169" s="6">
        <f>H169*0.65%</f>
        <v>106.65387804091009</v>
      </c>
      <c r="O169" s="11">
        <f t="shared" si="66"/>
        <v>26.876777266309343</v>
      </c>
      <c r="P169" s="6">
        <f t="shared" si="67"/>
        <v>16435.16570663709</v>
      </c>
      <c r="R169" s="6">
        <f t="shared" si="68"/>
        <v>43.399677423756387</v>
      </c>
    </row>
    <row r="170" spans="1:18" x14ac:dyDescent="0.35">
      <c r="A170" t="s">
        <v>173</v>
      </c>
      <c r="B170" t="s">
        <v>6</v>
      </c>
      <c r="C170">
        <v>333</v>
      </c>
      <c r="E170">
        <f t="shared" si="69"/>
        <v>16435.16570663709</v>
      </c>
      <c r="F170" s="8">
        <f t="shared" ref="F170:F173" si="84">E170*0.4%</f>
        <v>65.740662826548359</v>
      </c>
      <c r="G170" s="9">
        <f t="shared" si="64"/>
        <v>16.566647032290188</v>
      </c>
      <c r="H170">
        <f t="shared" si="65"/>
        <v>16451.73235366938</v>
      </c>
      <c r="K170" t="s">
        <v>12</v>
      </c>
      <c r="L170">
        <v>334</v>
      </c>
      <c r="N170" s="6">
        <f t="shared" ref="N170:N173" si="85">H170*0.65%</f>
        <v>106.93626029885098</v>
      </c>
      <c r="O170" s="11">
        <f t="shared" si="66"/>
        <v>26.947937595310449</v>
      </c>
      <c r="P170">
        <f t="shared" si="67"/>
        <v>16478.680291264689</v>
      </c>
      <c r="R170">
        <f t="shared" si="68"/>
        <v>43.514584627600641</v>
      </c>
    </row>
    <row r="171" spans="1:18" x14ac:dyDescent="0.35">
      <c r="A171" t="s">
        <v>174</v>
      </c>
      <c r="B171" t="s">
        <v>6</v>
      </c>
      <c r="C171">
        <v>335</v>
      </c>
      <c r="E171">
        <f t="shared" si="69"/>
        <v>16478.680291264689</v>
      </c>
      <c r="F171" s="8">
        <f t="shared" si="84"/>
        <v>65.914721165058751</v>
      </c>
      <c r="G171" s="9">
        <f t="shared" si="64"/>
        <v>16.610509733594807</v>
      </c>
      <c r="H171">
        <f t="shared" si="65"/>
        <v>16495.290800998282</v>
      </c>
      <c r="K171" t="s">
        <v>12</v>
      </c>
      <c r="L171">
        <v>336</v>
      </c>
      <c r="N171" s="6">
        <f t="shared" si="85"/>
        <v>107.21939020648884</v>
      </c>
      <c r="O171" s="11">
        <f t="shared" si="66"/>
        <v>27.019286332035186</v>
      </c>
      <c r="P171">
        <f t="shared" si="67"/>
        <v>16522.310087330316</v>
      </c>
      <c r="R171">
        <f t="shared" si="68"/>
        <v>43.629796065629989</v>
      </c>
    </row>
    <row r="172" spans="1:18" x14ac:dyDescent="0.35">
      <c r="A172" t="s">
        <v>175</v>
      </c>
      <c r="B172" t="s">
        <v>6</v>
      </c>
      <c r="C172">
        <v>337</v>
      </c>
      <c r="E172">
        <f t="shared" si="69"/>
        <v>16522.310087330316</v>
      </c>
      <c r="F172" s="8">
        <f t="shared" si="84"/>
        <v>66.089240349321258</v>
      </c>
      <c r="G172" s="9">
        <f t="shared" si="64"/>
        <v>16.654488568028956</v>
      </c>
      <c r="H172">
        <f t="shared" si="65"/>
        <v>16538.964575898346</v>
      </c>
      <c r="K172" t="s">
        <v>12</v>
      </c>
      <c r="L172">
        <v>338</v>
      </c>
      <c r="N172" s="6">
        <f t="shared" si="85"/>
        <v>107.50326974333926</v>
      </c>
      <c r="O172" s="11">
        <f t="shared" si="66"/>
        <v>27.090823975321495</v>
      </c>
      <c r="P172">
        <f t="shared" si="67"/>
        <v>16566.055399873669</v>
      </c>
      <c r="R172">
        <f t="shared" si="68"/>
        <v>43.745312543350451</v>
      </c>
    </row>
    <row r="173" spans="1:18" x14ac:dyDescent="0.35">
      <c r="A173" t="s">
        <v>176</v>
      </c>
      <c r="B173" t="s">
        <v>6</v>
      </c>
      <c r="C173">
        <v>339</v>
      </c>
      <c r="E173">
        <f t="shared" si="69"/>
        <v>16566.055399873669</v>
      </c>
      <c r="F173" s="8">
        <f t="shared" si="84"/>
        <v>66.264221599494675</v>
      </c>
      <c r="G173" s="9">
        <f t="shared" si="64"/>
        <v>16.698583843072658</v>
      </c>
      <c r="H173">
        <f t="shared" si="65"/>
        <v>16582.753983716742</v>
      </c>
      <c r="K173" t="s">
        <v>12</v>
      </c>
      <c r="L173">
        <v>340</v>
      </c>
      <c r="M173" s="15"/>
      <c r="N173" s="6">
        <f t="shared" si="85"/>
        <v>107.78790089415884</v>
      </c>
      <c r="O173" s="11">
        <f t="shared" si="66"/>
        <v>27.162551025328028</v>
      </c>
      <c r="P173">
        <f t="shared" si="67"/>
        <v>16609.916534742071</v>
      </c>
      <c r="R173">
        <f t="shared" si="68"/>
        <v>43.861134868400683</v>
      </c>
    </row>
    <row r="174" spans="1:18" s="6" customFormat="1" x14ac:dyDescent="0.35">
      <c r="A174" s="6" t="s">
        <v>177</v>
      </c>
      <c r="B174" s="6" t="s">
        <v>6</v>
      </c>
      <c r="C174" s="6">
        <v>341</v>
      </c>
      <c r="D174" s="7">
        <v>3.00000000000001E-3</v>
      </c>
      <c r="E174" s="6">
        <f t="shared" si="69"/>
        <v>16609.916534742071</v>
      </c>
      <c r="F174" s="8">
        <f>E174*0.3%</f>
        <v>49.829749604226215</v>
      </c>
      <c r="G174" s="9">
        <f t="shared" si="64"/>
        <v>12.557096900265007</v>
      </c>
      <c r="H174" s="6">
        <f t="shared" si="65"/>
        <v>16622.473631642337</v>
      </c>
      <c r="K174" s="6" t="s">
        <v>12</v>
      </c>
      <c r="L174" s="6">
        <v>342</v>
      </c>
      <c r="M174" s="7">
        <v>6.9999999999999498E-3</v>
      </c>
      <c r="N174" s="6">
        <f t="shared" ref="N174:N178" si="86">H174*0.7%</f>
        <v>116.35731542149635</v>
      </c>
      <c r="O174" s="11">
        <f t="shared" si="66"/>
        <v>29.32204348621708</v>
      </c>
      <c r="P174" s="6">
        <f t="shared" si="67"/>
        <v>16651.795675128553</v>
      </c>
      <c r="R174" s="6">
        <f t="shared" si="68"/>
        <v>41.879140386482085</v>
      </c>
    </row>
    <row r="175" spans="1:18" x14ac:dyDescent="0.35">
      <c r="A175" t="s">
        <v>178</v>
      </c>
      <c r="B175" t="s">
        <v>6</v>
      </c>
      <c r="C175">
        <v>343</v>
      </c>
      <c r="E175">
        <f t="shared" si="69"/>
        <v>16651.795675128553</v>
      </c>
      <c r="F175" s="8">
        <f t="shared" ref="F175:F178" si="87">E175*0.3%</f>
        <v>49.955387025385662</v>
      </c>
      <c r="G175" s="9">
        <f t="shared" si="64"/>
        <v>12.588757530397187</v>
      </c>
      <c r="H175">
        <f t="shared" si="65"/>
        <v>16664.38443265895</v>
      </c>
      <c r="K175" t="s">
        <v>12</v>
      </c>
      <c r="L175">
        <v>344</v>
      </c>
      <c r="N175" s="6">
        <f t="shared" si="86"/>
        <v>116.65069102861264</v>
      </c>
      <c r="O175" s="11">
        <f t="shared" si="66"/>
        <v>29.395974139210384</v>
      </c>
      <c r="P175">
        <f t="shared" si="67"/>
        <v>16693.78040679816</v>
      </c>
      <c r="R175">
        <f t="shared" si="68"/>
        <v>41.984731669607569</v>
      </c>
    </row>
    <row r="176" spans="1:18" x14ac:dyDescent="0.35">
      <c r="A176" t="s">
        <v>179</v>
      </c>
      <c r="B176" t="s">
        <v>6</v>
      </c>
      <c r="C176">
        <v>345</v>
      </c>
      <c r="E176">
        <f t="shared" si="69"/>
        <v>16693.78040679816</v>
      </c>
      <c r="F176" s="8">
        <f t="shared" si="87"/>
        <v>50.081341220394478</v>
      </c>
      <c r="G176" s="9">
        <f t="shared" si="64"/>
        <v>12.620497987539409</v>
      </c>
      <c r="H176">
        <f t="shared" si="65"/>
        <v>16706.4009047857</v>
      </c>
      <c r="K176" t="s">
        <v>12</v>
      </c>
      <c r="L176">
        <v>346</v>
      </c>
      <c r="N176" s="6">
        <f t="shared" si="86"/>
        <v>116.94480633349988</v>
      </c>
      <c r="O176" s="11">
        <f t="shared" si="66"/>
        <v>29.47009119604197</v>
      </c>
      <c r="P176">
        <f t="shared" si="67"/>
        <v>16735.870995981742</v>
      </c>
      <c r="R176">
        <f t="shared" si="68"/>
        <v>42.090589183581379</v>
      </c>
    </row>
    <row r="177" spans="1:18" x14ac:dyDescent="0.35">
      <c r="A177" t="s">
        <v>180</v>
      </c>
      <c r="B177" t="s">
        <v>6</v>
      </c>
      <c r="C177">
        <v>347</v>
      </c>
      <c r="E177">
        <f t="shared" si="69"/>
        <v>16735.870995981742</v>
      </c>
      <c r="F177" s="8">
        <f t="shared" si="87"/>
        <v>50.207612987945225</v>
      </c>
      <c r="G177" s="9">
        <f t="shared" si="64"/>
        <v>12.652318472962197</v>
      </c>
      <c r="H177">
        <f t="shared" si="65"/>
        <v>16748.523314454706</v>
      </c>
      <c r="K177" t="s">
        <v>12</v>
      </c>
      <c r="L177">
        <v>348</v>
      </c>
      <c r="N177" s="6">
        <f t="shared" si="86"/>
        <v>117.23966320118292</v>
      </c>
      <c r="O177" s="11">
        <f t="shared" si="66"/>
        <v>29.544395126698095</v>
      </c>
      <c r="P177">
        <f t="shared" si="67"/>
        <v>16778.067709581403</v>
      </c>
      <c r="R177">
        <f t="shared" si="68"/>
        <v>42.196713599660292</v>
      </c>
    </row>
    <row r="178" spans="1:18" x14ac:dyDescent="0.35">
      <c r="A178" t="s">
        <v>181</v>
      </c>
      <c r="B178" t="s">
        <v>6</v>
      </c>
      <c r="C178">
        <v>349</v>
      </c>
      <c r="E178">
        <f t="shared" si="69"/>
        <v>16778.067709581403</v>
      </c>
      <c r="F178" s="8">
        <f t="shared" si="87"/>
        <v>50.334203128744207</v>
      </c>
      <c r="G178" s="9">
        <f t="shared" si="64"/>
        <v>12.68421918844354</v>
      </c>
      <c r="H178">
        <f t="shared" si="65"/>
        <v>16790.751928769845</v>
      </c>
      <c r="K178" t="s">
        <v>12</v>
      </c>
      <c r="L178">
        <v>350</v>
      </c>
      <c r="N178" s="6">
        <f t="shared" si="86"/>
        <v>117.5352635013889</v>
      </c>
      <c r="O178" s="11">
        <f t="shared" si="66"/>
        <v>29.618886402350004</v>
      </c>
      <c r="P178">
        <f t="shared" si="67"/>
        <v>16820.370815172195</v>
      </c>
      <c r="R178">
        <f t="shared" si="68"/>
        <v>42.303105590793542</v>
      </c>
    </row>
    <row r="179" spans="1:18" s="6" customFormat="1" x14ac:dyDescent="0.35">
      <c r="A179" s="6" t="s">
        <v>182</v>
      </c>
      <c r="B179" s="6" t="s">
        <v>6</v>
      </c>
      <c r="C179" s="6">
        <v>351</v>
      </c>
      <c r="D179" s="7">
        <v>3.5000000000000001E-3</v>
      </c>
      <c r="E179" s="6">
        <f t="shared" si="69"/>
        <v>16820.370815172195</v>
      </c>
      <c r="F179" s="8">
        <f>E179*0.35%</f>
        <v>58.871297853102675</v>
      </c>
      <c r="G179" s="9">
        <f t="shared" si="64"/>
        <v>14.835567058981875</v>
      </c>
      <c r="H179" s="6">
        <f t="shared" si="65"/>
        <v>16835.206382231176</v>
      </c>
      <c r="K179" s="6" t="s">
        <v>12</v>
      </c>
      <c r="L179" s="6">
        <v>352</v>
      </c>
      <c r="M179" s="7">
        <v>7.4999999999999399E-3</v>
      </c>
      <c r="N179" s="6">
        <f>H179*0.75%</f>
        <v>126.26404786673382</v>
      </c>
      <c r="O179" s="11">
        <f t="shared" si="66"/>
        <v>31.818540062416922</v>
      </c>
      <c r="P179" s="6">
        <f t="shared" si="67"/>
        <v>16867.024922293593</v>
      </c>
      <c r="R179" s="6">
        <f t="shared" si="68"/>
        <v>46.654107121398795</v>
      </c>
    </row>
    <row r="180" spans="1:18" x14ac:dyDescent="0.35">
      <c r="A180" t="s">
        <v>183</v>
      </c>
      <c r="B180" t="s">
        <v>6</v>
      </c>
      <c r="C180">
        <v>353</v>
      </c>
      <c r="E180">
        <f t="shared" si="69"/>
        <v>16867.024922293593</v>
      </c>
      <c r="F180" s="8">
        <f t="shared" ref="F180:F183" si="88">E180*0.35%</f>
        <v>59.034587228027569</v>
      </c>
      <c r="G180" s="9">
        <f t="shared" si="64"/>
        <v>14.876715981462947</v>
      </c>
      <c r="H180">
        <f t="shared" si="65"/>
        <v>16881.901638275056</v>
      </c>
      <c r="K180" t="s">
        <v>12</v>
      </c>
      <c r="L180">
        <v>354</v>
      </c>
      <c r="N180" s="6">
        <f t="shared" ref="N180:N183" si="89">H180*0.75%</f>
        <v>126.61426228706291</v>
      </c>
      <c r="O180" s="11">
        <f t="shared" si="66"/>
        <v>31.906794096339855</v>
      </c>
      <c r="P180">
        <f t="shared" si="67"/>
        <v>16913.808432371396</v>
      </c>
      <c r="R180">
        <f t="shared" si="68"/>
        <v>46.783510077802802</v>
      </c>
    </row>
    <row r="181" spans="1:18" x14ac:dyDescent="0.35">
      <c r="A181" t="s">
        <v>184</v>
      </c>
      <c r="B181" t="s">
        <v>6</v>
      </c>
      <c r="C181">
        <v>355</v>
      </c>
      <c r="E181">
        <f t="shared" si="69"/>
        <v>16913.808432371396</v>
      </c>
      <c r="F181" s="8">
        <f t="shared" si="88"/>
        <v>59.198329513299882</v>
      </c>
      <c r="G181" s="9">
        <f t="shared" si="64"/>
        <v>14.91797903735157</v>
      </c>
      <c r="H181">
        <f t="shared" si="65"/>
        <v>16928.726411408748</v>
      </c>
      <c r="K181" t="s">
        <v>12</v>
      </c>
      <c r="L181">
        <v>356</v>
      </c>
      <c r="N181" s="6">
        <f t="shared" si="89"/>
        <v>126.96544808556561</v>
      </c>
      <c r="O181" s="11">
        <f t="shared" si="66"/>
        <v>31.995292917562534</v>
      </c>
      <c r="P181">
        <f t="shared" si="67"/>
        <v>16960.721704326312</v>
      </c>
      <c r="R181">
        <f t="shared" si="68"/>
        <v>46.913271954914102</v>
      </c>
    </row>
    <row r="182" spans="1:18" x14ac:dyDescent="0.35">
      <c r="A182" t="s">
        <v>185</v>
      </c>
      <c r="B182" t="s">
        <v>6</v>
      </c>
      <c r="C182">
        <v>357</v>
      </c>
      <c r="E182">
        <f t="shared" si="69"/>
        <v>16960.721704326312</v>
      </c>
      <c r="F182" s="8">
        <f t="shared" si="88"/>
        <v>59.362525965142083</v>
      </c>
      <c r="G182" s="9">
        <f t="shared" si="64"/>
        <v>14.959356543215804</v>
      </c>
      <c r="H182">
        <f t="shared" si="65"/>
        <v>16975.681060869527</v>
      </c>
      <c r="K182" t="s">
        <v>12</v>
      </c>
      <c r="L182">
        <v>358</v>
      </c>
      <c r="N182" s="6">
        <f t="shared" si="89"/>
        <v>127.31760795652144</v>
      </c>
      <c r="O182" s="11">
        <f t="shared" si="66"/>
        <v>32.084037205043401</v>
      </c>
      <c r="P182">
        <f t="shared" si="67"/>
        <v>17007.765098074571</v>
      </c>
      <c r="R182">
        <f t="shared" si="68"/>
        <v>47.043393748259206</v>
      </c>
    </row>
    <row r="183" spans="1:18" s="13" customFormat="1" x14ac:dyDescent="0.35">
      <c r="A183" s="13" t="s">
        <v>186</v>
      </c>
      <c r="B183" s="13" t="s">
        <v>6</v>
      </c>
      <c r="C183" s="13">
        <v>359</v>
      </c>
      <c r="E183" s="13">
        <f t="shared" si="69"/>
        <v>17007.765098074571</v>
      </c>
      <c r="F183" s="14">
        <f t="shared" si="88"/>
        <v>59.527177843260993</v>
      </c>
      <c r="G183" s="9">
        <f t="shared" si="64"/>
        <v>15.000848816501771</v>
      </c>
      <c r="H183" s="13">
        <f t="shared" si="65"/>
        <v>17022.765946891072</v>
      </c>
      <c r="K183" s="13" t="s">
        <v>12</v>
      </c>
      <c r="L183" s="13">
        <v>360</v>
      </c>
      <c r="N183" s="13">
        <f t="shared" si="89"/>
        <v>127.67074460168303</v>
      </c>
      <c r="O183" s="11">
        <f t="shared" si="66"/>
        <v>32.173027639624124</v>
      </c>
      <c r="P183" s="13">
        <f t="shared" si="67"/>
        <v>17054.938974530694</v>
      </c>
      <c r="R183" s="13">
        <f t="shared" si="68"/>
        <v>47.173876456125896</v>
      </c>
    </row>
    <row r="184" spans="1:18" s="6" customFormat="1" x14ac:dyDescent="0.35">
      <c r="A184" s="6" t="s">
        <v>187</v>
      </c>
      <c r="B184" s="6" t="s">
        <v>6</v>
      </c>
      <c r="C184" s="6">
        <v>361</v>
      </c>
      <c r="D184" s="7">
        <v>4.0000000000000001E-3</v>
      </c>
      <c r="E184" s="6">
        <f t="shared" si="69"/>
        <v>17054.938974530694</v>
      </c>
      <c r="F184" s="8">
        <f>E184*0.4%</f>
        <v>68.219755898122784</v>
      </c>
      <c r="G184" s="9">
        <f t="shared" si="64"/>
        <v>17.191378486326943</v>
      </c>
      <c r="H184" s="6">
        <f t="shared" si="65"/>
        <v>17072.130353017023</v>
      </c>
      <c r="K184" s="6" t="s">
        <v>12</v>
      </c>
      <c r="L184" s="6">
        <v>362</v>
      </c>
      <c r="M184" s="7">
        <v>7.9999999999999308E-3</v>
      </c>
      <c r="N184" s="6">
        <f>H184*0.8%</f>
        <v>136.57704282413619</v>
      </c>
      <c r="O184" s="11">
        <f t="shared" si="66"/>
        <v>34.417414791682319</v>
      </c>
      <c r="P184" s="6">
        <f t="shared" si="67"/>
        <v>17106.547767808705</v>
      </c>
      <c r="R184" s="6">
        <f t="shared" si="68"/>
        <v>51.608793278009259</v>
      </c>
    </row>
    <row r="185" spans="1:18" x14ac:dyDescent="0.35">
      <c r="A185" t="s">
        <v>188</v>
      </c>
      <c r="B185" t="s">
        <v>6</v>
      </c>
      <c r="C185">
        <v>363</v>
      </c>
      <c r="E185">
        <f t="shared" si="69"/>
        <v>17106.547767808705</v>
      </c>
      <c r="F185" s="8">
        <f t="shared" ref="F185:F188" si="90">E185*0.4%</f>
        <v>68.426191071234825</v>
      </c>
      <c r="G185" s="9">
        <f t="shared" si="64"/>
        <v>17.243400149951174</v>
      </c>
      <c r="H185">
        <f t="shared" si="65"/>
        <v>17123.791167958654</v>
      </c>
      <c r="K185" t="s">
        <v>12</v>
      </c>
      <c r="L185">
        <v>364</v>
      </c>
      <c r="N185" s="6">
        <f t="shared" ref="N185:N188" si="91">H185*0.8%</f>
        <v>136.99032934366923</v>
      </c>
      <c r="O185" s="11">
        <f t="shared" si="66"/>
        <v>34.521562994604643</v>
      </c>
      <c r="P185">
        <f t="shared" si="67"/>
        <v>17158.312730953257</v>
      </c>
      <c r="R185">
        <f t="shared" si="68"/>
        <v>51.764963144555821</v>
      </c>
    </row>
    <row r="186" spans="1:18" x14ac:dyDescent="0.35">
      <c r="A186" t="s">
        <v>189</v>
      </c>
      <c r="B186" t="s">
        <v>6</v>
      </c>
      <c r="C186">
        <v>365</v>
      </c>
      <c r="E186">
        <f t="shared" si="69"/>
        <v>17158.312730953257</v>
      </c>
      <c r="F186" s="8">
        <f t="shared" si="90"/>
        <v>68.633250923813037</v>
      </c>
      <c r="G186" s="9">
        <f t="shared" si="64"/>
        <v>17.295579232800886</v>
      </c>
      <c r="H186">
        <f t="shared" si="65"/>
        <v>17175.608310186057</v>
      </c>
      <c r="K186" t="s">
        <v>12</v>
      </c>
      <c r="L186">
        <v>366</v>
      </c>
      <c r="N186" s="6">
        <f t="shared" si="91"/>
        <v>137.40486648148845</v>
      </c>
      <c r="O186" s="11">
        <f t="shared" si="66"/>
        <v>34.626026353335092</v>
      </c>
      <c r="P186">
        <f t="shared" si="67"/>
        <v>17210.234336539394</v>
      </c>
      <c r="R186">
        <f t="shared" si="68"/>
        <v>51.921605586135982</v>
      </c>
    </row>
    <row r="187" spans="1:18" x14ac:dyDescent="0.35">
      <c r="A187" t="s">
        <v>190</v>
      </c>
      <c r="B187" t="s">
        <v>6</v>
      </c>
      <c r="C187">
        <v>367</v>
      </c>
      <c r="E187">
        <f t="shared" si="69"/>
        <v>17210.234336539394</v>
      </c>
      <c r="F187" s="8">
        <f t="shared" si="90"/>
        <v>68.840937346157574</v>
      </c>
      <c r="G187" s="9">
        <f t="shared" si="64"/>
        <v>17.347916211231709</v>
      </c>
      <c r="H187">
        <f t="shared" si="65"/>
        <v>17227.582252750624</v>
      </c>
      <c r="K187" t="s">
        <v>12</v>
      </c>
      <c r="L187">
        <v>368</v>
      </c>
      <c r="N187" s="6">
        <f t="shared" si="91"/>
        <v>137.82065802200501</v>
      </c>
      <c r="O187" s="11">
        <f t="shared" si="66"/>
        <v>34.73080582154526</v>
      </c>
      <c r="P187">
        <f t="shared" si="67"/>
        <v>17262.31305857217</v>
      </c>
      <c r="R187">
        <f t="shared" si="68"/>
        <v>52.078722032776966</v>
      </c>
    </row>
    <row r="188" spans="1:18" x14ac:dyDescent="0.35">
      <c r="A188" t="s">
        <v>191</v>
      </c>
      <c r="B188" t="s">
        <v>6</v>
      </c>
      <c r="C188">
        <v>369</v>
      </c>
      <c r="E188">
        <f t="shared" si="69"/>
        <v>17262.31305857217</v>
      </c>
      <c r="F188" s="8">
        <f t="shared" si="90"/>
        <v>69.049252234288687</v>
      </c>
      <c r="G188" s="9">
        <f t="shared" si="64"/>
        <v>17.400411563040748</v>
      </c>
      <c r="H188">
        <f t="shared" si="65"/>
        <v>17279.713470135212</v>
      </c>
      <c r="K188" t="s">
        <v>12</v>
      </c>
      <c r="L188">
        <v>370</v>
      </c>
      <c r="N188" s="6">
        <f t="shared" si="91"/>
        <v>138.23770776108171</v>
      </c>
      <c r="O188" s="11">
        <f t="shared" si="66"/>
        <v>34.835902355792591</v>
      </c>
      <c r="P188">
        <f t="shared" si="67"/>
        <v>17314.549372491005</v>
      </c>
      <c r="R188">
        <f t="shared" si="68"/>
        <v>52.236313918833339</v>
      </c>
    </row>
    <row r="189" spans="1:18" s="6" customFormat="1" x14ac:dyDescent="0.35">
      <c r="A189" s="6" t="s">
        <v>192</v>
      </c>
      <c r="B189" s="6" t="s">
        <v>6</v>
      </c>
      <c r="C189" s="6">
        <v>371</v>
      </c>
      <c r="D189" s="7">
        <v>4.4999999999999797E-3</v>
      </c>
      <c r="E189" s="6">
        <f t="shared" si="69"/>
        <v>17314.549372491005</v>
      </c>
      <c r="F189" s="8">
        <f>E189*0.45%</f>
        <v>77.915472176209533</v>
      </c>
      <c r="G189" s="9">
        <f t="shared" si="64"/>
        <v>19.634698988404804</v>
      </c>
      <c r="H189" s="6">
        <f t="shared" si="65"/>
        <v>17334.184071479409</v>
      </c>
      <c r="K189" s="6" t="s">
        <v>12</v>
      </c>
      <c r="L189" s="6">
        <v>372</v>
      </c>
      <c r="M189" s="7">
        <v>8.4999999999999208E-3</v>
      </c>
      <c r="N189" s="6">
        <f>H189*0.85%</f>
        <v>147.34056460757498</v>
      </c>
      <c r="O189" s="11">
        <f t="shared" si="66"/>
        <v>37.129822281108893</v>
      </c>
      <c r="P189" s="6">
        <f t="shared" si="67"/>
        <v>17371.313893760518</v>
      </c>
      <c r="R189" s="6">
        <f t="shared" si="68"/>
        <v>56.764521269513693</v>
      </c>
    </row>
    <row r="190" spans="1:18" x14ac:dyDescent="0.35">
      <c r="A190" t="s">
        <v>193</v>
      </c>
      <c r="B190" t="s">
        <v>6</v>
      </c>
      <c r="C190">
        <v>373</v>
      </c>
      <c r="E190">
        <f t="shared" si="69"/>
        <v>17371.313893760518</v>
      </c>
      <c r="F190" s="8">
        <f t="shared" ref="F190:F193" si="92">E190*0.45%</f>
        <v>78.170912521922347</v>
      </c>
      <c r="G190" s="9">
        <f t="shared" si="64"/>
        <v>19.699069955524433</v>
      </c>
      <c r="H190">
        <f t="shared" si="65"/>
        <v>17391.012963716043</v>
      </c>
      <c r="K190" t="s">
        <v>12</v>
      </c>
      <c r="L190">
        <v>374</v>
      </c>
      <c r="N190" s="6">
        <f t="shared" ref="N190:N193" si="93">H190*0.85%</f>
        <v>147.82361019158637</v>
      </c>
      <c r="O190" s="11">
        <f t="shared" si="66"/>
        <v>37.251549768279766</v>
      </c>
      <c r="P190">
        <f t="shared" si="67"/>
        <v>17428.264513484322</v>
      </c>
      <c r="R190">
        <f t="shared" si="68"/>
        <v>56.950619723804195</v>
      </c>
    </row>
    <row r="191" spans="1:18" x14ac:dyDescent="0.35">
      <c r="A191" t="s">
        <v>194</v>
      </c>
      <c r="B191" t="s">
        <v>6</v>
      </c>
      <c r="C191">
        <v>375</v>
      </c>
      <c r="E191">
        <f t="shared" si="69"/>
        <v>17428.264513484322</v>
      </c>
      <c r="F191" s="8">
        <f t="shared" si="92"/>
        <v>78.427190310679464</v>
      </c>
      <c r="G191" s="9">
        <f t="shared" si="64"/>
        <v>19.763651958291224</v>
      </c>
      <c r="H191">
        <f t="shared" si="65"/>
        <v>17448.028165442614</v>
      </c>
      <c r="K191" t="s">
        <v>12</v>
      </c>
      <c r="L191">
        <v>376</v>
      </c>
      <c r="N191" s="6">
        <f t="shared" si="93"/>
        <v>148.30823940626223</v>
      </c>
      <c r="O191" s="11">
        <f t="shared" si="66"/>
        <v>37.373676330378082</v>
      </c>
      <c r="P191">
        <f t="shared" si="67"/>
        <v>17485.401841772993</v>
      </c>
      <c r="R191">
        <f t="shared" si="68"/>
        <v>57.137328288669309</v>
      </c>
    </row>
    <row r="192" spans="1:18" x14ac:dyDescent="0.35">
      <c r="A192" t="s">
        <v>195</v>
      </c>
      <c r="B192" t="s">
        <v>6</v>
      </c>
      <c r="C192">
        <v>377</v>
      </c>
      <c r="E192">
        <f t="shared" si="69"/>
        <v>17485.401841772993</v>
      </c>
      <c r="F192" s="8">
        <f t="shared" si="92"/>
        <v>78.684308287978482</v>
      </c>
      <c r="G192" s="9">
        <f t="shared" si="64"/>
        <v>19.828445688570579</v>
      </c>
      <c r="H192">
        <f t="shared" si="65"/>
        <v>17505.230287461563</v>
      </c>
      <c r="K192" t="s">
        <v>12</v>
      </c>
      <c r="L192">
        <v>378</v>
      </c>
      <c r="N192" s="6">
        <f t="shared" si="93"/>
        <v>148.79445744342331</v>
      </c>
      <c r="O192" s="11">
        <f t="shared" si="66"/>
        <v>37.496203275742673</v>
      </c>
      <c r="P192">
        <f t="shared" si="67"/>
        <v>17542.726490737306</v>
      </c>
      <c r="R192">
        <f t="shared" si="68"/>
        <v>57.324648964313255</v>
      </c>
    </row>
    <row r="193" spans="1:18" x14ac:dyDescent="0.35">
      <c r="A193" t="s">
        <v>196</v>
      </c>
      <c r="B193" t="s">
        <v>6</v>
      </c>
      <c r="C193">
        <v>379</v>
      </c>
      <c r="E193">
        <f t="shared" si="69"/>
        <v>17542.726490737306</v>
      </c>
      <c r="F193" s="8">
        <f t="shared" si="92"/>
        <v>78.942269208317882</v>
      </c>
      <c r="G193" s="9">
        <f t="shared" si="64"/>
        <v>19.893451840496105</v>
      </c>
      <c r="H193">
        <f t="shared" si="65"/>
        <v>17562.619942577803</v>
      </c>
      <c r="K193" t="s">
        <v>12</v>
      </c>
      <c r="L193">
        <v>380</v>
      </c>
      <c r="M193" s="15"/>
      <c r="N193" s="6">
        <f t="shared" si="93"/>
        <v>149.28226951191132</v>
      </c>
      <c r="O193" s="11">
        <f t="shared" si="66"/>
        <v>37.619131917001653</v>
      </c>
      <c r="P193">
        <f t="shared" si="67"/>
        <v>17600.239074494806</v>
      </c>
      <c r="R193">
        <f t="shared" si="68"/>
        <v>57.512583757497758</v>
      </c>
    </row>
    <row r="194" spans="1:18" s="6" customFormat="1" x14ac:dyDescent="0.35">
      <c r="A194" s="6" t="s">
        <v>197</v>
      </c>
      <c r="B194" s="6" t="s">
        <v>6</v>
      </c>
      <c r="C194" s="6">
        <v>381</v>
      </c>
      <c r="D194" s="7">
        <v>4.9999999999999697E-3</v>
      </c>
      <c r="E194" s="6">
        <f t="shared" si="69"/>
        <v>17600.239074494806</v>
      </c>
      <c r="F194" s="8">
        <f>E194*0.5%</f>
        <v>88.001195372474029</v>
      </c>
      <c r="G194" s="9">
        <f t="shared" si="64"/>
        <v>22.176301233863455</v>
      </c>
      <c r="H194" s="6">
        <f t="shared" si="65"/>
        <v>17622.415375728669</v>
      </c>
      <c r="K194" s="6" t="s">
        <v>12</v>
      </c>
      <c r="L194" s="6">
        <v>382</v>
      </c>
      <c r="M194" s="7">
        <v>8.9999999999999108E-3</v>
      </c>
      <c r="N194" s="6">
        <f>H194*0.9%</f>
        <v>158.60173838155805</v>
      </c>
      <c r="O194" s="11">
        <f t="shared" si="66"/>
        <v>39.967638072152631</v>
      </c>
      <c r="P194" s="6">
        <f t="shared" si="67"/>
        <v>17662.383013800823</v>
      </c>
      <c r="R194" s="6">
        <f t="shared" si="68"/>
        <v>62.143939306016087</v>
      </c>
    </row>
    <row r="195" spans="1:18" x14ac:dyDescent="0.35">
      <c r="A195" t="s">
        <v>198</v>
      </c>
      <c r="B195" t="s">
        <v>6</v>
      </c>
      <c r="C195">
        <v>383</v>
      </c>
      <c r="E195">
        <f t="shared" si="69"/>
        <v>17662.383013800823</v>
      </c>
      <c r="F195" s="8">
        <f t="shared" ref="F195:F198" si="94">E195*0.5%</f>
        <v>88.311915069004115</v>
      </c>
      <c r="G195" s="9">
        <f t="shared" si="64"/>
        <v>22.254602597389038</v>
      </c>
      <c r="H195">
        <f t="shared" si="65"/>
        <v>17684.637616398213</v>
      </c>
      <c r="K195" t="s">
        <v>12</v>
      </c>
      <c r="L195">
        <v>384</v>
      </c>
      <c r="N195" s="6">
        <f t="shared" ref="N195:N198" si="95">H195*0.9%</f>
        <v>159.16173854758392</v>
      </c>
      <c r="O195" s="11">
        <f t="shared" si="66"/>
        <v>40.108758113991151</v>
      </c>
      <c r="P195">
        <f t="shared" si="67"/>
        <v>17724.746374512204</v>
      </c>
      <c r="R195">
        <f t="shared" si="68"/>
        <v>62.363360711380189</v>
      </c>
    </row>
    <row r="196" spans="1:18" x14ac:dyDescent="0.35">
      <c r="A196" t="s">
        <v>199</v>
      </c>
      <c r="B196" t="s">
        <v>6</v>
      </c>
      <c r="C196">
        <v>385</v>
      </c>
      <c r="E196">
        <f t="shared" si="69"/>
        <v>17724.746374512204</v>
      </c>
      <c r="F196" s="8">
        <f t="shared" si="94"/>
        <v>88.623731872561024</v>
      </c>
      <c r="G196" s="9">
        <f t="shared" si="64"/>
        <v>22.333180431885378</v>
      </c>
      <c r="H196">
        <f t="shared" si="65"/>
        <v>17747.079554944088</v>
      </c>
      <c r="K196" t="s">
        <v>12</v>
      </c>
      <c r="L196">
        <v>386</v>
      </c>
      <c r="N196" s="6">
        <f t="shared" si="95"/>
        <v>159.72371599449681</v>
      </c>
      <c r="O196" s="11">
        <f t="shared" si="66"/>
        <v>40.250376430613194</v>
      </c>
      <c r="P196">
        <f t="shared" si="67"/>
        <v>17787.329931374701</v>
      </c>
      <c r="R196">
        <f t="shared" si="68"/>
        <v>62.583556862498568</v>
      </c>
    </row>
    <row r="197" spans="1:18" x14ac:dyDescent="0.35">
      <c r="A197" t="s">
        <v>200</v>
      </c>
      <c r="B197" t="s">
        <v>6</v>
      </c>
      <c r="C197">
        <v>387</v>
      </c>
      <c r="E197">
        <f t="shared" si="69"/>
        <v>17787.329931374701</v>
      </c>
      <c r="F197" s="8">
        <f t="shared" si="94"/>
        <v>88.936649656873513</v>
      </c>
      <c r="G197" s="9">
        <f t="shared" ref="G197:G260" si="96">F197*25.2%</f>
        <v>22.412035713532127</v>
      </c>
      <c r="H197">
        <f t="shared" ref="H197:H260" si="97">G197+E197</f>
        <v>17809.741967088234</v>
      </c>
      <c r="K197" t="s">
        <v>12</v>
      </c>
      <c r="L197">
        <v>388</v>
      </c>
      <c r="N197" s="6">
        <f t="shared" si="95"/>
        <v>160.28767770379412</v>
      </c>
      <c r="O197" s="11">
        <f t="shared" ref="O197:O260" si="98">N197*25.2%</f>
        <v>40.39249478135612</v>
      </c>
      <c r="P197">
        <f t="shared" ref="P197:P260" si="99">O197+H197</f>
        <v>17850.134461869591</v>
      </c>
      <c r="R197">
        <f t="shared" ref="R197:R260" si="100">O197+G197</f>
        <v>62.804530494888247</v>
      </c>
    </row>
    <row r="198" spans="1:18" x14ac:dyDescent="0.35">
      <c r="A198" t="s">
        <v>201</v>
      </c>
      <c r="B198" t="s">
        <v>6</v>
      </c>
      <c r="C198">
        <v>389</v>
      </c>
      <c r="D198" s="15"/>
      <c r="E198">
        <f t="shared" ref="E198:E261" si="101">P197</f>
        <v>17850.134461869591</v>
      </c>
      <c r="F198" s="8">
        <f t="shared" si="94"/>
        <v>89.250672309347962</v>
      </c>
      <c r="G198" s="9">
        <f t="shared" si="96"/>
        <v>22.491169421955686</v>
      </c>
      <c r="H198">
        <f t="shared" si="97"/>
        <v>17872.625631291547</v>
      </c>
      <c r="K198" t="s">
        <v>12</v>
      </c>
      <c r="L198">
        <v>390</v>
      </c>
      <c r="N198" s="6">
        <f t="shared" si="95"/>
        <v>160.85363068162394</v>
      </c>
      <c r="O198" s="11">
        <f t="shared" si="98"/>
        <v>40.535114931769236</v>
      </c>
      <c r="P198">
        <f t="shared" si="99"/>
        <v>17913.160746223315</v>
      </c>
      <c r="R198">
        <f t="shared" si="100"/>
        <v>63.026284353724918</v>
      </c>
    </row>
    <row r="199" spans="1:18" s="6" customFormat="1" x14ac:dyDescent="0.35">
      <c r="A199" s="6" t="s">
        <v>202</v>
      </c>
      <c r="B199" s="6" t="s">
        <v>6</v>
      </c>
      <c r="C199" s="6">
        <v>391</v>
      </c>
      <c r="D199" s="7">
        <v>5.4999999999999598E-3</v>
      </c>
      <c r="E199" s="6">
        <f t="shared" si="101"/>
        <v>17913.160746223315</v>
      </c>
      <c r="F199" s="8">
        <f>E199*0.55%</f>
        <v>98.522384104228237</v>
      </c>
      <c r="G199" s="9">
        <f t="shared" si="96"/>
        <v>24.827640794265516</v>
      </c>
      <c r="H199" s="6">
        <f t="shared" si="97"/>
        <v>17937.98838701758</v>
      </c>
      <c r="K199" s="6" t="s">
        <v>12</v>
      </c>
      <c r="L199" s="6">
        <v>392</v>
      </c>
      <c r="M199" s="7">
        <v>8.0000000000000002E-3</v>
      </c>
      <c r="N199" s="6">
        <f t="shared" ref="N199:N203" si="102">H199*0.8%</f>
        <v>143.50390709614064</v>
      </c>
      <c r="O199" s="11">
        <f t="shared" si="98"/>
        <v>36.162984588227438</v>
      </c>
      <c r="P199" s="6">
        <f t="shared" si="99"/>
        <v>17974.151371605807</v>
      </c>
      <c r="R199" s="6">
        <f t="shared" si="100"/>
        <v>60.990625382492951</v>
      </c>
    </row>
    <row r="200" spans="1:18" x14ac:dyDescent="0.35">
      <c r="A200" t="s">
        <v>203</v>
      </c>
      <c r="B200" t="s">
        <v>6</v>
      </c>
      <c r="C200">
        <v>393</v>
      </c>
      <c r="E200">
        <f t="shared" si="101"/>
        <v>17974.151371605807</v>
      </c>
      <c r="F200" s="8">
        <f t="shared" ref="F200:F203" si="103">E200*0.55%</f>
        <v>98.857832543831947</v>
      </c>
      <c r="G200" s="9">
        <f t="shared" si="96"/>
        <v>24.91217380104565</v>
      </c>
      <c r="H200">
        <f t="shared" si="97"/>
        <v>17999.063545406854</v>
      </c>
      <c r="K200" t="s">
        <v>12</v>
      </c>
      <c r="L200">
        <v>394</v>
      </c>
      <c r="N200" s="6">
        <f t="shared" si="102"/>
        <v>143.99250836325484</v>
      </c>
      <c r="O200" s="11">
        <f t="shared" si="98"/>
        <v>36.28611210754022</v>
      </c>
      <c r="P200">
        <f t="shared" si="99"/>
        <v>18035.349657514394</v>
      </c>
      <c r="R200">
        <f t="shared" si="100"/>
        <v>61.198285908585873</v>
      </c>
    </row>
    <row r="201" spans="1:18" x14ac:dyDescent="0.35">
      <c r="A201" t="s">
        <v>204</v>
      </c>
      <c r="B201" t="s">
        <v>6</v>
      </c>
      <c r="C201">
        <v>395</v>
      </c>
      <c r="E201">
        <f t="shared" si="101"/>
        <v>18035.349657514394</v>
      </c>
      <c r="F201" s="8">
        <f t="shared" si="103"/>
        <v>99.194423116329176</v>
      </c>
      <c r="G201" s="9">
        <f t="shared" si="96"/>
        <v>24.996994625314951</v>
      </c>
      <c r="H201">
        <f t="shared" si="97"/>
        <v>18060.346652139709</v>
      </c>
      <c r="K201" t="s">
        <v>12</v>
      </c>
      <c r="L201">
        <v>396</v>
      </c>
      <c r="N201" s="6">
        <f t="shared" si="102"/>
        <v>144.48277321711768</v>
      </c>
      <c r="O201" s="11">
        <f t="shared" si="98"/>
        <v>36.409658850713654</v>
      </c>
      <c r="P201">
        <f t="shared" si="99"/>
        <v>18096.756310990422</v>
      </c>
      <c r="R201">
        <f t="shared" si="100"/>
        <v>61.406653476028609</v>
      </c>
    </row>
    <row r="202" spans="1:18" x14ac:dyDescent="0.35">
      <c r="A202" t="s">
        <v>205</v>
      </c>
      <c r="B202" t="s">
        <v>6</v>
      </c>
      <c r="C202">
        <v>397</v>
      </c>
      <c r="E202">
        <f t="shared" si="101"/>
        <v>18096.756310990422</v>
      </c>
      <c r="F202" s="8">
        <f t="shared" si="103"/>
        <v>99.532159710447331</v>
      </c>
      <c r="G202" s="9">
        <f t="shared" si="96"/>
        <v>25.082104247032728</v>
      </c>
      <c r="H202">
        <f t="shared" si="97"/>
        <v>18121.838415237457</v>
      </c>
      <c r="K202" t="s">
        <v>12</v>
      </c>
      <c r="L202">
        <v>398</v>
      </c>
      <c r="N202" s="6">
        <f t="shared" si="102"/>
        <v>144.97470732189964</v>
      </c>
      <c r="O202" s="11">
        <f t="shared" si="98"/>
        <v>36.533626245118711</v>
      </c>
      <c r="P202">
        <f t="shared" si="99"/>
        <v>18158.372041482577</v>
      </c>
      <c r="R202">
        <f t="shared" si="100"/>
        <v>61.615730492151442</v>
      </c>
    </row>
    <row r="203" spans="1:18" x14ac:dyDescent="0.35">
      <c r="A203" t="s">
        <v>206</v>
      </c>
      <c r="B203" t="s">
        <v>6</v>
      </c>
      <c r="C203">
        <v>399</v>
      </c>
      <c r="E203">
        <f t="shared" si="101"/>
        <v>18158.372041482577</v>
      </c>
      <c r="F203" s="8">
        <f t="shared" si="103"/>
        <v>99.871046228154185</v>
      </c>
      <c r="G203" s="9">
        <f t="shared" si="96"/>
        <v>25.167503649494854</v>
      </c>
      <c r="H203">
        <f t="shared" si="97"/>
        <v>18183.539545132073</v>
      </c>
      <c r="K203" t="s">
        <v>12</v>
      </c>
      <c r="L203">
        <v>400</v>
      </c>
      <c r="N203" s="6">
        <f t="shared" si="102"/>
        <v>145.46831636105659</v>
      </c>
      <c r="O203" s="11">
        <f t="shared" si="98"/>
        <v>36.658015722986264</v>
      </c>
      <c r="P203">
        <f t="shared" si="99"/>
        <v>18220.19756085506</v>
      </c>
      <c r="R203">
        <f t="shared" si="100"/>
        <v>61.825519372481118</v>
      </c>
    </row>
    <row r="204" spans="1:18" s="6" customFormat="1" x14ac:dyDescent="0.35">
      <c r="A204" s="6" t="s">
        <v>207</v>
      </c>
      <c r="B204" s="6" t="s">
        <v>6</v>
      </c>
      <c r="C204" s="6">
        <v>401</v>
      </c>
      <c r="D204" s="7">
        <v>5.9999999999999498E-3</v>
      </c>
      <c r="E204" s="6">
        <f t="shared" si="101"/>
        <v>18220.19756085506</v>
      </c>
      <c r="F204" s="8">
        <f>E204*0.6%</f>
        <v>109.32118536513036</v>
      </c>
      <c r="G204" s="9">
        <f t="shared" si="96"/>
        <v>27.548938712012852</v>
      </c>
      <c r="H204" s="6">
        <f t="shared" si="97"/>
        <v>18247.746499567074</v>
      </c>
      <c r="K204" s="6" t="s">
        <v>12</v>
      </c>
      <c r="L204" s="6">
        <v>402</v>
      </c>
      <c r="M204" s="7">
        <v>7.0000000000000001E-3</v>
      </c>
      <c r="N204" s="6">
        <f>H204*0.7%</f>
        <v>127.7342254969695</v>
      </c>
      <c r="O204" s="11">
        <f t="shared" si="98"/>
        <v>32.189024825236316</v>
      </c>
      <c r="P204" s="6">
        <f t="shared" si="99"/>
        <v>18279.935524392309</v>
      </c>
      <c r="R204" s="6">
        <f t="shared" si="100"/>
        <v>59.737963537249172</v>
      </c>
    </row>
    <row r="205" spans="1:18" x14ac:dyDescent="0.35">
      <c r="A205" t="s">
        <v>208</v>
      </c>
      <c r="B205" t="s">
        <v>6</v>
      </c>
      <c r="C205">
        <v>403</v>
      </c>
      <c r="E205">
        <f t="shared" si="101"/>
        <v>18279.935524392309</v>
      </c>
      <c r="F205" s="8">
        <f t="shared" ref="F205:F208" si="104">E205*0.6%</f>
        <v>109.67961314635386</v>
      </c>
      <c r="G205" s="9">
        <f t="shared" si="96"/>
        <v>27.639262512881171</v>
      </c>
      <c r="H205">
        <f t="shared" si="97"/>
        <v>18307.574786905192</v>
      </c>
      <c r="K205" t="s">
        <v>12</v>
      </c>
      <c r="L205">
        <v>404</v>
      </c>
      <c r="N205" s="6">
        <f t="shared" ref="N205:N208" si="105">H205*0.7%</f>
        <v>128.15302350833633</v>
      </c>
      <c r="O205" s="11">
        <f t="shared" si="98"/>
        <v>32.294561924100755</v>
      </c>
      <c r="P205">
        <f t="shared" si="99"/>
        <v>18339.869348829292</v>
      </c>
      <c r="R205">
        <f t="shared" si="100"/>
        <v>59.933824436981922</v>
      </c>
    </row>
    <row r="206" spans="1:18" x14ac:dyDescent="0.35">
      <c r="A206" t="s">
        <v>209</v>
      </c>
      <c r="B206" t="s">
        <v>6</v>
      </c>
      <c r="C206">
        <v>405</v>
      </c>
      <c r="E206">
        <f t="shared" si="101"/>
        <v>18339.869348829292</v>
      </c>
      <c r="F206" s="8">
        <f t="shared" si="104"/>
        <v>110.03921609297575</v>
      </c>
      <c r="G206" s="9">
        <f t="shared" si="96"/>
        <v>27.729882455429888</v>
      </c>
      <c r="H206">
        <f t="shared" si="97"/>
        <v>18367.599231284723</v>
      </c>
      <c r="K206" t="s">
        <v>12</v>
      </c>
      <c r="L206">
        <v>406</v>
      </c>
      <c r="N206" s="6">
        <f t="shared" si="105"/>
        <v>128.57319461899306</v>
      </c>
      <c r="O206" s="11">
        <f t="shared" si="98"/>
        <v>32.400445043986252</v>
      </c>
      <c r="P206">
        <f t="shared" si="99"/>
        <v>18399.999676328709</v>
      </c>
      <c r="R206">
        <f t="shared" si="100"/>
        <v>60.13032749941614</v>
      </c>
    </row>
    <row r="207" spans="1:18" x14ac:dyDescent="0.35">
      <c r="A207" t="s">
        <v>210</v>
      </c>
      <c r="B207" t="s">
        <v>6</v>
      </c>
      <c r="C207">
        <v>407</v>
      </c>
      <c r="E207">
        <f t="shared" si="101"/>
        <v>18399.999676328709</v>
      </c>
      <c r="F207" s="8">
        <f t="shared" si="104"/>
        <v>110.39999805797225</v>
      </c>
      <c r="G207" s="9">
        <f t="shared" si="96"/>
        <v>27.820799510609007</v>
      </c>
      <c r="H207">
        <f t="shared" si="97"/>
        <v>18427.820475839319</v>
      </c>
      <c r="K207" t="s">
        <v>12</v>
      </c>
      <c r="L207">
        <v>408</v>
      </c>
      <c r="N207" s="6">
        <f t="shared" si="105"/>
        <v>128.99474333087522</v>
      </c>
      <c r="O207" s="11">
        <f t="shared" si="98"/>
        <v>32.506675319380555</v>
      </c>
      <c r="P207">
        <f t="shared" si="99"/>
        <v>18460.327151158701</v>
      </c>
      <c r="R207">
        <f t="shared" si="100"/>
        <v>60.327474829989562</v>
      </c>
    </row>
    <row r="208" spans="1:18" x14ac:dyDescent="0.35">
      <c r="A208" t="s">
        <v>211</v>
      </c>
      <c r="B208" t="s">
        <v>6</v>
      </c>
      <c r="C208">
        <v>409</v>
      </c>
      <c r="E208">
        <f t="shared" si="101"/>
        <v>18460.327151158701</v>
      </c>
      <c r="F208" s="8">
        <f t="shared" si="104"/>
        <v>110.76196290695221</v>
      </c>
      <c r="G208" s="9">
        <f t="shared" si="96"/>
        <v>27.912014652551957</v>
      </c>
      <c r="H208">
        <f t="shared" si="97"/>
        <v>18488.239165811254</v>
      </c>
      <c r="K208" t="s">
        <v>12</v>
      </c>
      <c r="L208">
        <v>410</v>
      </c>
      <c r="N208" s="6">
        <f t="shared" si="105"/>
        <v>129.41767416067876</v>
      </c>
      <c r="O208" s="11">
        <f t="shared" si="98"/>
        <v>32.613253888491045</v>
      </c>
      <c r="P208">
        <f t="shared" si="99"/>
        <v>18520.852419699746</v>
      </c>
      <c r="R208">
        <f t="shared" si="100"/>
        <v>60.525268541043005</v>
      </c>
    </row>
    <row r="209" spans="1:18" s="6" customFormat="1" x14ac:dyDescent="0.35">
      <c r="A209" s="6" t="s">
        <v>212</v>
      </c>
      <c r="B209" s="6" t="s">
        <v>6</v>
      </c>
      <c r="C209" s="6">
        <v>411</v>
      </c>
      <c r="D209" s="7">
        <v>6.4999999999999399E-3</v>
      </c>
      <c r="E209" s="6">
        <f t="shared" si="101"/>
        <v>18520.852419699746</v>
      </c>
      <c r="F209" s="8">
        <f>E209*0.65%</f>
        <v>120.38554072804835</v>
      </c>
      <c r="G209" s="9">
        <f t="shared" si="96"/>
        <v>30.337156263468184</v>
      </c>
      <c r="H209" s="6">
        <f t="shared" si="97"/>
        <v>18551.189575963213</v>
      </c>
      <c r="K209" s="6" t="s">
        <v>6</v>
      </c>
      <c r="L209" s="6">
        <v>412</v>
      </c>
      <c r="M209" s="7">
        <v>6.0000000000001797E-3</v>
      </c>
      <c r="N209" s="6">
        <f>H209*0.6%</f>
        <v>111.30713745577928</v>
      </c>
      <c r="O209" s="11">
        <f t="shared" si="98"/>
        <v>28.049398638856381</v>
      </c>
      <c r="P209" s="6">
        <f t="shared" si="99"/>
        <v>18579.238974602071</v>
      </c>
      <c r="R209" s="6">
        <f t="shared" si="100"/>
        <v>58.386554902324562</v>
      </c>
    </row>
    <row r="210" spans="1:18" x14ac:dyDescent="0.35">
      <c r="A210" t="s">
        <v>213</v>
      </c>
      <c r="B210" t="s">
        <v>6</v>
      </c>
      <c r="C210">
        <v>413</v>
      </c>
      <c r="E210">
        <f t="shared" si="101"/>
        <v>18579.238974602071</v>
      </c>
      <c r="F210" s="8">
        <f t="shared" ref="F210:F213" si="106">E210*0.65%</f>
        <v>120.76505333491347</v>
      </c>
      <c r="G210" s="9">
        <f t="shared" si="96"/>
        <v>30.432793440398196</v>
      </c>
      <c r="H210">
        <f t="shared" si="97"/>
        <v>18609.67176804247</v>
      </c>
      <c r="K210" t="s">
        <v>6</v>
      </c>
      <c r="L210">
        <v>414</v>
      </c>
      <c r="N210" s="6">
        <f t="shared" ref="N210:N213" si="107">H210*0.6%</f>
        <v>111.65803060825482</v>
      </c>
      <c r="O210" s="11">
        <f t="shared" si="98"/>
        <v>28.137823713280216</v>
      </c>
      <c r="P210">
        <f t="shared" si="99"/>
        <v>18637.809591755751</v>
      </c>
      <c r="R210">
        <f t="shared" si="100"/>
        <v>58.570617153678413</v>
      </c>
    </row>
    <row r="211" spans="1:18" x14ac:dyDescent="0.35">
      <c r="A211" t="s">
        <v>214</v>
      </c>
      <c r="B211" t="s">
        <v>6</v>
      </c>
      <c r="C211">
        <v>415</v>
      </c>
      <c r="E211">
        <f t="shared" si="101"/>
        <v>18637.809591755751</v>
      </c>
      <c r="F211" s="8">
        <f t="shared" si="106"/>
        <v>121.1457623464124</v>
      </c>
      <c r="G211" s="9">
        <f t="shared" si="96"/>
        <v>30.528732111295923</v>
      </c>
      <c r="H211">
        <f t="shared" si="97"/>
        <v>18668.338323867047</v>
      </c>
      <c r="K211" t="s">
        <v>6</v>
      </c>
      <c r="L211">
        <v>416</v>
      </c>
      <c r="N211" s="6">
        <f t="shared" si="107"/>
        <v>112.01002994320228</v>
      </c>
      <c r="O211" s="11">
        <f t="shared" si="98"/>
        <v>28.226527545686977</v>
      </c>
      <c r="P211">
        <f t="shared" si="99"/>
        <v>18696.564851412735</v>
      </c>
      <c r="R211">
        <f t="shared" si="100"/>
        <v>58.755259656982901</v>
      </c>
    </row>
    <row r="212" spans="1:18" x14ac:dyDescent="0.35">
      <c r="A212" t="s">
        <v>215</v>
      </c>
      <c r="B212" t="s">
        <v>6</v>
      </c>
      <c r="C212">
        <v>417</v>
      </c>
      <c r="E212">
        <f t="shared" si="101"/>
        <v>18696.564851412735</v>
      </c>
      <c r="F212" s="8">
        <f t="shared" si="106"/>
        <v>121.52767153418279</v>
      </c>
      <c r="G212" s="9">
        <f t="shared" si="96"/>
        <v>30.624973226614063</v>
      </c>
      <c r="H212">
        <f t="shared" si="97"/>
        <v>18727.18982463935</v>
      </c>
      <c r="K212" t="s">
        <v>6</v>
      </c>
      <c r="L212">
        <v>418</v>
      </c>
      <c r="N212" s="6">
        <f t="shared" si="107"/>
        <v>112.36313894783611</v>
      </c>
      <c r="O212" s="11">
        <f t="shared" si="98"/>
        <v>28.3155110148547</v>
      </c>
      <c r="P212">
        <f t="shared" si="99"/>
        <v>18755.505335654205</v>
      </c>
      <c r="R212">
        <f t="shared" si="100"/>
        <v>58.940484241468766</v>
      </c>
    </row>
    <row r="213" spans="1:18" s="13" customFormat="1" x14ac:dyDescent="0.35">
      <c r="A213" s="13" t="s">
        <v>216</v>
      </c>
      <c r="B213" s="13" t="s">
        <v>6</v>
      </c>
      <c r="C213" s="13">
        <v>419</v>
      </c>
      <c r="E213" s="13">
        <f t="shared" si="101"/>
        <v>18755.505335654205</v>
      </c>
      <c r="F213" s="14">
        <f t="shared" si="106"/>
        <v>121.91078468175235</v>
      </c>
      <c r="G213" s="9">
        <f t="shared" si="96"/>
        <v>30.721517739801591</v>
      </c>
      <c r="H213" s="13">
        <f t="shared" si="97"/>
        <v>18786.226853394008</v>
      </c>
      <c r="K213" s="13" t="s">
        <v>6</v>
      </c>
      <c r="L213" s="13">
        <v>420</v>
      </c>
      <c r="N213" s="13">
        <f t="shared" si="107"/>
        <v>112.71736112036405</v>
      </c>
      <c r="O213" s="11">
        <f t="shared" si="98"/>
        <v>28.404775002331739</v>
      </c>
      <c r="P213" s="13">
        <f t="shared" si="99"/>
        <v>18814.631628396339</v>
      </c>
      <c r="R213" s="13">
        <f t="shared" si="100"/>
        <v>59.12629274213333</v>
      </c>
    </row>
    <row r="214" spans="1:18" s="6" customFormat="1" x14ac:dyDescent="0.35">
      <c r="A214" s="6" t="s">
        <v>217</v>
      </c>
      <c r="B214" s="6" t="s">
        <v>5</v>
      </c>
      <c r="C214" s="6">
        <v>421</v>
      </c>
      <c r="D214" s="7">
        <v>6.9999999999999299E-3</v>
      </c>
      <c r="E214" s="6">
        <f t="shared" si="101"/>
        <v>18814.631628396339</v>
      </c>
      <c r="F214" s="8">
        <f>E214*0.7%</f>
        <v>131.70242139877436</v>
      </c>
      <c r="G214" s="9">
        <f t="shared" si="96"/>
        <v>33.189010192491139</v>
      </c>
      <c r="H214" s="6">
        <f t="shared" si="97"/>
        <v>18847.82063858883</v>
      </c>
      <c r="K214" s="6" t="s">
        <v>6</v>
      </c>
      <c r="L214" s="6">
        <v>422</v>
      </c>
      <c r="M214" s="7">
        <v>5.0000000000002699E-3</v>
      </c>
      <c r="N214" s="6">
        <f>H214*0.5%</f>
        <v>94.239103192944157</v>
      </c>
      <c r="O214" s="11">
        <f t="shared" si="98"/>
        <v>23.748254004621927</v>
      </c>
      <c r="P214" s="6">
        <f t="shared" si="99"/>
        <v>18871.568892593452</v>
      </c>
      <c r="R214" s="6">
        <f t="shared" si="100"/>
        <v>56.937264197113066</v>
      </c>
    </row>
    <row r="215" spans="1:18" x14ac:dyDescent="0.35">
      <c r="A215" t="s">
        <v>218</v>
      </c>
      <c r="B215" t="s">
        <v>5</v>
      </c>
      <c r="C215">
        <v>423</v>
      </c>
      <c r="E215">
        <f t="shared" si="101"/>
        <v>18871.568892593452</v>
      </c>
      <c r="F215" s="8">
        <f t="shared" ref="F215:F218" si="108">E215*0.7%</f>
        <v>132.10098224815414</v>
      </c>
      <c r="G215" s="9">
        <f t="shared" si="96"/>
        <v>33.289447526534843</v>
      </c>
      <c r="H215">
        <f t="shared" si="97"/>
        <v>18904.858340119987</v>
      </c>
      <c r="K215" t="s">
        <v>6</v>
      </c>
      <c r="L215">
        <v>424</v>
      </c>
      <c r="N215" s="6">
        <f t="shared" ref="N215:N218" si="109">H215*0.5%</f>
        <v>94.524291700599932</v>
      </c>
      <c r="O215" s="11">
        <f t="shared" si="98"/>
        <v>23.820121508551182</v>
      </c>
      <c r="P215">
        <f t="shared" si="99"/>
        <v>18928.678461628537</v>
      </c>
      <c r="R215">
        <f t="shared" si="100"/>
        <v>57.109569035086025</v>
      </c>
    </row>
    <row r="216" spans="1:18" x14ac:dyDescent="0.35">
      <c r="A216" t="s">
        <v>219</v>
      </c>
      <c r="B216" t="s">
        <v>5</v>
      </c>
      <c r="C216">
        <v>425</v>
      </c>
      <c r="E216">
        <f t="shared" si="101"/>
        <v>18928.678461628537</v>
      </c>
      <c r="F216" s="8">
        <f t="shared" si="108"/>
        <v>132.50074923139974</v>
      </c>
      <c r="G216" s="9">
        <f t="shared" si="96"/>
        <v>33.390188806312736</v>
      </c>
      <c r="H216">
        <f t="shared" si="97"/>
        <v>18962.068650434849</v>
      </c>
      <c r="K216" t="s">
        <v>6</v>
      </c>
      <c r="L216">
        <v>426</v>
      </c>
      <c r="N216" s="6">
        <f t="shared" si="109"/>
        <v>94.810343252174249</v>
      </c>
      <c r="O216" s="11">
        <f t="shared" si="98"/>
        <v>23.89220649954791</v>
      </c>
      <c r="P216">
        <f t="shared" si="99"/>
        <v>18985.960856934398</v>
      </c>
      <c r="R216">
        <f t="shared" si="100"/>
        <v>57.282395305860646</v>
      </c>
    </row>
    <row r="217" spans="1:18" x14ac:dyDescent="0.35">
      <c r="A217" t="s">
        <v>220</v>
      </c>
      <c r="B217" t="s">
        <v>5</v>
      </c>
      <c r="C217">
        <v>427</v>
      </c>
      <c r="E217">
        <f t="shared" si="101"/>
        <v>18985.960856934398</v>
      </c>
      <c r="F217" s="8">
        <f t="shared" si="108"/>
        <v>132.90172599854077</v>
      </c>
      <c r="G217" s="9">
        <f t="shared" si="96"/>
        <v>33.491234951632272</v>
      </c>
      <c r="H217">
        <f t="shared" si="97"/>
        <v>19019.452091886029</v>
      </c>
      <c r="K217" t="s">
        <v>6</v>
      </c>
      <c r="L217">
        <v>428</v>
      </c>
      <c r="N217" s="6">
        <f t="shared" si="109"/>
        <v>95.097260459430146</v>
      </c>
      <c r="O217" s="11">
        <f t="shared" si="98"/>
        <v>23.964509635776398</v>
      </c>
      <c r="P217">
        <f t="shared" si="99"/>
        <v>19043.416601521807</v>
      </c>
      <c r="R217">
        <f t="shared" si="100"/>
        <v>57.455744587408674</v>
      </c>
    </row>
    <row r="218" spans="1:18" x14ac:dyDescent="0.35">
      <c r="A218" t="s">
        <v>221</v>
      </c>
      <c r="B218" t="s">
        <v>5</v>
      </c>
      <c r="C218">
        <v>429</v>
      </c>
      <c r="E218">
        <f t="shared" si="101"/>
        <v>19043.416601521807</v>
      </c>
      <c r="F218" s="8">
        <f t="shared" si="108"/>
        <v>133.30391621065263</v>
      </c>
      <c r="G218" s="9">
        <f t="shared" si="96"/>
        <v>33.592586885084465</v>
      </c>
      <c r="H218">
        <f t="shared" si="97"/>
        <v>19077.00918840689</v>
      </c>
      <c r="K218" t="s">
        <v>6</v>
      </c>
      <c r="L218">
        <v>430</v>
      </c>
      <c r="N218" s="6">
        <f t="shared" si="109"/>
        <v>95.385045942034452</v>
      </c>
      <c r="O218" s="11">
        <f t="shared" si="98"/>
        <v>24.037031577392682</v>
      </c>
      <c r="P218">
        <f t="shared" si="99"/>
        <v>19101.046219984284</v>
      </c>
      <c r="R218">
        <f t="shared" si="100"/>
        <v>57.629618462477147</v>
      </c>
    </row>
    <row r="219" spans="1:18" s="6" customFormat="1" x14ac:dyDescent="0.35">
      <c r="A219" s="6" t="s">
        <v>222</v>
      </c>
      <c r="B219" s="6" t="s">
        <v>5</v>
      </c>
      <c r="C219" s="6">
        <v>431</v>
      </c>
      <c r="D219" s="7">
        <v>6.0000000000000001E-3</v>
      </c>
      <c r="E219" s="6">
        <f t="shared" si="101"/>
        <v>19101.046219984284</v>
      </c>
      <c r="F219" s="8">
        <f>E219*0.6%</f>
        <v>114.6062773199057</v>
      </c>
      <c r="G219" s="9">
        <f t="shared" si="96"/>
        <v>28.880781884616237</v>
      </c>
      <c r="H219" s="6">
        <f t="shared" si="97"/>
        <v>19129.927001868902</v>
      </c>
      <c r="K219" s="6" t="s">
        <v>6</v>
      </c>
      <c r="L219" s="6">
        <v>432</v>
      </c>
      <c r="M219" s="7">
        <v>4.00000000000036E-3</v>
      </c>
      <c r="N219" s="6">
        <f>H219*0.4%</f>
        <v>76.519708007475614</v>
      </c>
      <c r="O219" s="11">
        <f t="shared" si="98"/>
        <v>19.282966417883856</v>
      </c>
      <c r="P219" s="6">
        <f t="shared" si="99"/>
        <v>19149.209968286785</v>
      </c>
      <c r="R219" s="6">
        <f t="shared" si="100"/>
        <v>48.163748302500096</v>
      </c>
    </row>
    <row r="220" spans="1:18" x14ac:dyDescent="0.35">
      <c r="A220" t="s">
        <v>223</v>
      </c>
      <c r="B220" t="s">
        <v>5</v>
      </c>
      <c r="C220">
        <v>433</v>
      </c>
      <c r="E220">
        <f t="shared" si="101"/>
        <v>19149.209968286785</v>
      </c>
      <c r="F220" s="8">
        <f t="shared" ref="F220:F223" si="110">E220*0.6%</f>
        <v>114.89525980972071</v>
      </c>
      <c r="G220" s="9">
        <f t="shared" si="96"/>
        <v>28.95360547204962</v>
      </c>
      <c r="H220">
        <f t="shared" si="97"/>
        <v>19178.163573758833</v>
      </c>
      <c r="K220" t="s">
        <v>6</v>
      </c>
      <c r="L220">
        <v>434</v>
      </c>
      <c r="N220" s="6">
        <f t="shared" ref="N220:N223" si="111">H220*0.4%</f>
        <v>76.712654295035335</v>
      </c>
      <c r="O220" s="11">
        <f t="shared" si="98"/>
        <v>19.331588882348903</v>
      </c>
      <c r="P220">
        <f t="shared" si="99"/>
        <v>19197.495162641182</v>
      </c>
      <c r="R220">
        <f t="shared" si="100"/>
        <v>48.285194354398527</v>
      </c>
    </row>
    <row r="221" spans="1:18" x14ac:dyDescent="0.35">
      <c r="A221" t="s">
        <v>224</v>
      </c>
      <c r="B221" t="s">
        <v>5</v>
      </c>
      <c r="C221">
        <v>435</v>
      </c>
      <c r="E221">
        <f t="shared" si="101"/>
        <v>19197.495162641182</v>
      </c>
      <c r="F221" s="8">
        <f t="shared" si="110"/>
        <v>115.18497097584709</v>
      </c>
      <c r="G221" s="9">
        <f t="shared" si="96"/>
        <v>29.026612685913467</v>
      </c>
      <c r="H221">
        <f t="shared" si="97"/>
        <v>19226.521775327095</v>
      </c>
      <c r="K221" t="s">
        <v>6</v>
      </c>
      <c r="L221">
        <v>436</v>
      </c>
      <c r="N221" s="6">
        <f t="shared" si="111"/>
        <v>76.906087101308387</v>
      </c>
      <c r="O221" s="11">
        <f t="shared" si="98"/>
        <v>19.380333949529714</v>
      </c>
      <c r="P221">
        <f t="shared" si="99"/>
        <v>19245.902109276623</v>
      </c>
      <c r="R221">
        <f t="shared" si="100"/>
        <v>48.406946635443177</v>
      </c>
    </row>
    <row r="222" spans="1:18" x14ac:dyDescent="0.35">
      <c r="A222" t="s">
        <v>225</v>
      </c>
      <c r="B222" t="s">
        <v>5</v>
      </c>
      <c r="C222">
        <v>437</v>
      </c>
      <c r="E222">
        <f t="shared" si="101"/>
        <v>19245.902109276623</v>
      </c>
      <c r="F222" s="8">
        <f t="shared" si="110"/>
        <v>115.47541265565974</v>
      </c>
      <c r="G222" s="9">
        <f t="shared" si="96"/>
        <v>29.099803989226253</v>
      </c>
      <c r="H222">
        <f t="shared" si="97"/>
        <v>19275.001913265849</v>
      </c>
      <c r="K222" t="s">
        <v>6</v>
      </c>
      <c r="L222">
        <v>438</v>
      </c>
      <c r="N222" s="6">
        <f t="shared" si="111"/>
        <v>77.1000076530634</v>
      </c>
      <c r="O222" s="11">
        <f t="shared" si="98"/>
        <v>19.429201928571977</v>
      </c>
      <c r="P222">
        <f t="shared" si="99"/>
        <v>19294.43111519442</v>
      </c>
      <c r="R222">
        <f t="shared" si="100"/>
        <v>48.52900591779823</v>
      </c>
    </row>
    <row r="223" spans="1:18" x14ac:dyDescent="0.35">
      <c r="A223" t="s">
        <v>226</v>
      </c>
      <c r="B223" t="s">
        <v>5</v>
      </c>
      <c r="C223">
        <v>439</v>
      </c>
      <c r="E223">
        <f t="shared" si="101"/>
        <v>19294.43111519442</v>
      </c>
      <c r="F223" s="8">
        <f t="shared" si="110"/>
        <v>115.76658669116652</v>
      </c>
      <c r="G223" s="9">
        <f t="shared" si="96"/>
        <v>29.173179846173966</v>
      </c>
      <c r="H223">
        <f t="shared" si="97"/>
        <v>19323.604295040594</v>
      </c>
      <c r="K223" t="s">
        <v>6</v>
      </c>
      <c r="L223">
        <v>440</v>
      </c>
      <c r="N223" s="6">
        <f t="shared" si="111"/>
        <v>77.29441718016237</v>
      </c>
      <c r="O223" s="11">
        <f t="shared" si="98"/>
        <v>19.478193129400918</v>
      </c>
      <c r="P223">
        <f t="shared" si="99"/>
        <v>19343.082488169995</v>
      </c>
      <c r="R223">
        <f t="shared" si="100"/>
        <v>48.651372975574887</v>
      </c>
    </row>
    <row r="224" spans="1:18" s="6" customFormat="1" x14ac:dyDescent="0.35">
      <c r="A224" s="6" t="s">
        <v>227</v>
      </c>
      <c r="B224" s="6" t="s">
        <v>5</v>
      </c>
      <c r="C224" s="6">
        <v>441</v>
      </c>
      <c r="D224" s="7">
        <v>5.0000000000000704E-3</v>
      </c>
      <c r="E224" s="6">
        <f t="shared" si="101"/>
        <v>19343.082488169995</v>
      </c>
      <c r="F224" s="8">
        <f>E224*0.5%</f>
        <v>96.715412440849974</v>
      </c>
      <c r="G224" s="9">
        <f t="shared" si="96"/>
        <v>24.372283935094195</v>
      </c>
      <c r="H224" s="6">
        <f t="shared" si="97"/>
        <v>19367.454772105091</v>
      </c>
      <c r="K224" s="6" t="s">
        <v>6</v>
      </c>
      <c r="L224" s="6">
        <v>442</v>
      </c>
      <c r="M224" s="7">
        <v>3.0000000000004498E-3</v>
      </c>
      <c r="N224" s="6">
        <f>H224*0.3%</f>
        <v>58.102364316315274</v>
      </c>
      <c r="O224" s="11">
        <f t="shared" si="98"/>
        <v>14.64179580771145</v>
      </c>
      <c r="P224" s="6">
        <f t="shared" si="99"/>
        <v>19382.096567912802</v>
      </c>
      <c r="R224" s="6">
        <f t="shared" si="100"/>
        <v>39.014079742805649</v>
      </c>
    </row>
    <row r="225" spans="1:18" x14ac:dyDescent="0.35">
      <c r="A225" t="s">
        <v>228</v>
      </c>
      <c r="B225" t="s">
        <v>5</v>
      </c>
      <c r="C225">
        <v>443</v>
      </c>
      <c r="E225">
        <f t="shared" si="101"/>
        <v>19382.096567912802</v>
      </c>
      <c r="F225" s="8">
        <f t="shared" ref="F225:F228" si="112">E225*0.5%</f>
        <v>96.910482839564011</v>
      </c>
      <c r="G225" s="9">
        <f t="shared" si="96"/>
        <v>24.421441675570129</v>
      </c>
      <c r="H225">
        <f t="shared" si="97"/>
        <v>19406.518009588373</v>
      </c>
      <c r="K225" t="s">
        <v>6</v>
      </c>
      <c r="L225">
        <v>444</v>
      </c>
      <c r="N225" s="6">
        <f t="shared" ref="N225:N228" si="113">H225*0.3%</f>
        <v>58.219554028765124</v>
      </c>
      <c r="O225" s="11">
        <f t="shared" si="98"/>
        <v>14.671327615248812</v>
      </c>
      <c r="P225">
        <f t="shared" si="99"/>
        <v>19421.189337203621</v>
      </c>
      <c r="R225">
        <f t="shared" si="100"/>
        <v>39.092769290818943</v>
      </c>
    </row>
    <row r="226" spans="1:18" x14ac:dyDescent="0.35">
      <c r="A226" t="s">
        <v>229</v>
      </c>
      <c r="B226" t="s">
        <v>5</v>
      </c>
      <c r="C226">
        <v>445</v>
      </c>
      <c r="E226">
        <f t="shared" si="101"/>
        <v>19421.189337203621</v>
      </c>
      <c r="F226" s="8">
        <f t="shared" si="112"/>
        <v>97.105946686018115</v>
      </c>
      <c r="G226" s="9">
        <f t="shared" si="96"/>
        <v>24.470698564876564</v>
      </c>
      <c r="H226">
        <f t="shared" si="97"/>
        <v>19445.660035768498</v>
      </c>
      <c r="K226" t="s">
        <v>6</v>
      </c>
      <c r="L226">
        <v>446</v>
      </c>
      <c r="N226" s="6">
        <f t="shared" si="113"/>
        <v>58.336980107305493</v>
      </c>
      <c r="O226" s="11">
        <f t="shared" si="98"/>
        <v>14.700918987040984</v>
      </c>
      <c r="P226">
        <f t="shared" si="99"/>
        <v>19460.360954755539</v>
      </c>
      <c r="R226">
        <f t="shared" si="100"/>
        <v>39.171617551917549</v>
      </c>
    </row>
    <row r="227" spans="1:18" x14ac:dyDescent="0.35">
      <c r="A227" t="s">
        <v>230</v>
      </c>
      <c r="B227" t="s">
        <v>5</v>
      </c>
      <c r="C227">
        <v>447</v>
      </c>
      <c r="E227">
        <f t="shared" si="101"/>
        <v>19460.360954755539</v>
      </c>
      <c r="F227" s="8">
        <f t="shared" si="112"/>
        <v>97.30180477377769</v>
      </c>
      <c r="G227" s="9">
        <f t="shared" si="96"/>
        <v>24.520054802991979</v>
      </c>
      <c r="H227">
        <f t="shared" si="97"/>
        <v>19484.881009558532</v>
      </c>
      <c r="K227" t="s">
        <v>6</v>
      </c>
      <c r="L227">
        <v>448</v>
      </c>
      <c r="N227" s="6">
        <f t="shared" si="113"/>
        <v>58.454643028675598</v>
      </c>
      <c r="O227" s="11">
        <f t="shared" si="98"/>
        <v>14.730570043226251</v>
      </c>
      <c r="P227">
        <f t="shared" si="99"/>
        <v>19499.611579601758</v>
      </c>
      <c r="R227">
        <f t="shared" si="100"/>
        <v>39.25062484621823</v>
      </c>
    </row>
    <row r="228" spans="1:18" x14ac:dyDescent="0.35">
      <c r="A228" t="s">
        <v>231</v>
      </c>
      <c r="B228" t="s">
        <v>5</v>
      </c>
      <c r="C228">
        <v>449</v>
      </c>
      <c r="E228">
        <f t="shared" si="101"/>
        <v>19499.611579601758</v>
      </c>
      <c r="F228" s="8">
        <f t="shared" si="112"/>
        <v>97.498057898008796</v>
      </c>
      <c r="G228" s="9">
        <f t="shared" si="96"/>
        <v>24.569510590298215</v>
      </c>
      <c r="H228">
        <f t="shared" si="97"/>
        <v>19524.181090192058</v>
      </c>
      <c r="K228" t="s">
        <v>6</v>
      </c>
      <c r="L228">
        <v>450</v>
      </c>
      <c r="N228" s="6">
        <f t="shared" si="113"/>
        <v>58.572543270576176</v>
      </c>
      <c r="O228" s="11">
        <f t="shared" si="98"/>
        <v>14.760280904185196</v>
      </c>
      <c r="P228">
        <f t="shared" si="99"/>
        <v>19538.941371096244</v>
      </c>
      <c r="R228">
        <f t="shared" si="100"/>
        <v>39.329791494483409</v>
      </c>
    </row>
    <row r="229" spans="1:18" s="6" customFormat="1" x14ac:dyDescent="0.35">
      <c r="A229" s="6" t="s">
        <v>232</v>
      </c>
      <c r="B229" s="6" t="s">
        <v>5</v>
      </c>
      <c r="C229" s="6">
        <v>451</v>
      </c>
      <c r="D229" s="7">
        <v>4.0000000000001397E-3</v>
      </c>
      <c r="E229" s="6">
        <f t="shared" si="101"/>
        <v>19538.941371096244</v>
      </c>
      <c r="F229" s="8">
        <f>E229*0.4%</f>
        <v>78.155765484384972</v>
      </c>
      <c r="G229" s="9">
        <f t="shared" si="96"/>
        <v>19.695252902065015</v>
      </c>
      <c r="H229" s="6">
        <f t="shared" si="97"/>
        <v>19558.636623998307</v>
      </c>
      <c r="K229" s="6" t="s">
        <v>6</v>
      </c>
      <c r="L229" s="6">
        <v>452</v>
      </c>
      <c r="M229" s="7">
        <v>2.00000000000054E-3</v>
      </c>
      <c r="N229" s="6">
        <f>H229*0.2%</f>
        <v>39.117273247996614</v>
      </c>
      <c r="O229" s="11">
        <f t="shared" si="98"/>
        <v>9.8575528584951471</v>
      </c>
      <c r="P229" s="6">
        <f t="shared" si="99"/>
        <v>19568.494176856802</v>
      </c>
      <c r="R229" s="6">
        <f t="shared" si="100"/>
        <v>29.552805760560162</v>
      </c>
    </row>
    <row r="230" spans="1:18" x14ac:dyDescent="0.35">
      <c r="A230" t="s">
        <v>233</v>
      </c>
      <c r="B230" t="s">
        <v>5</v>
      </c>
      <c r="C230">
        <v>453</v>
      </c>
      <c r="E230">
        <f t="shared" si="101"/>
        <v>19568.494176856802</v>
      </c>
      <c r="F230" s="8">
        <f t="shared" ref="F230:F233" si="114">E230*0.4%</f>
        <v>78.273976707427209</v>
      </c>
      <c r="G230" s="9">
        <f t="shared" si="96"/>
        <v>19.725042130271657</v>
      </c>
      <c r="H230">
        <f t="shared" si="97"/>
        <v>19588.219218987073</v>
      </c>
      <c r="K230" t="s">
        <v>6</v>
      </c>
      <c r="L230">
        <v>454</v>
      </c>
      <c r="N230" s="6">
        <f t="shared" ref="N230:N233" si="115">H230*0.2%</f>
        <v>39.176438437974149</v>
      </c>
      <c r="O230" s="11">
        <f t="shared" si="98"/>
        <v>9.8724624863694856</v>
      </c>
      <c r="P230">
        <f t="shared" si="99"/>
        <v>19598.091681473441</v>
      </c>
      <c r="R230">
        <f t="shared" si="100"/>
        <v>29.597504616641142</v>
      </c>
    </row>
    <row r="231" spans="1:18" x14ac:dyDescent="0.35">
      <c r="A231" t="s">
        <v>234</v>
      </c>
      <c r="B231" t="s">
        <v>5</v>
      </c>
      <c r="C231">
        <v>455</v>
      </c>
      <c r="E231">
        <f t="shared" si="101"/>
        <v>19598.091681473441</v>
      </c>
      <c r="F231" s="8">
        <f t="shared" si="114"/>
        <v>78.392366725893766</v>
      </c>
      <c r="G231" s="9">
        <f t="shared" si="96"/>
        <v>19.754876414925228</v>
      </c>
      <c r="H231">
        <f t="shared" si="97"/>
        <v>19617.846557888366</v>
      </c>
      <c r="K231" t="s">
        <v>6</v>
      </c>
      <c r="L231">
        <v>456</v>
      </c>
      <c r="N231" s="6">
        <f t="shared" si="115"/>
        <v>39.235693115776733</v>
      </c>
      <c r="O231" s="11">
        <f t="shared" si="98"/>
        <v>9.8873946651757372</v>
      </c>
      <c r="P231">
        <f t="shared" si="99"/>
        <v>19627.733952553543</v>
      </c>
      <c r="R231">
        <f t="shared" si="100"/>
        <v>29.642271080100965</v>
      </c>
    </row>
    <row r="232" spans="1:18" x14ac:dyDescent="0.35">
      <c r="A232" t="s">
        <v>235</v>
      </c>
      <c r="B232" t="s">
        <v>5</v>
      </c>
      <c r="C232">
        <v>457</v>
      </c>
      <c r="E232">
        <f t="shared" si="101"/>
        <v>19627.733952553543</v>
      </c>
      <c r="F232" s="8">
        <f t="shared" si="114"/>
        <v>78.510935810214178</v>
      </c>
      <c r="G232" s="9">
        <f t="shared" si="96"/>
        <v>19.784755824173974</v>
      </c>
      <c r="H232">
        <f t="shared" si="97"/>
        <v>19647.518708377716</v>
      </c>
      <c r="K232" t="s">
        <v>6</v>
      </c>
      <c r="L232">
        <v>458</v>
      </c>
      <c r="N232" s="6">
        <f t="shared" si="115"/>
        <v>39.295037416755434</v>
      </c>
      <c r="O232" s="11">
        <f t="shared" si="98"/>
        <v>9.9023494290223688</v>
      </c>
      <c r="P232">
        <f t="shared" si="99"/>
        <v>19657.42105780674</v>
      </c>
      <c r="R232">
        <f t="shared" si="100"/>
        <v>29.687105253196343</v>
      </c>
    </row>
    <row r="233" spans="1:18" x14ac:dyDescent="0.35">
      <c r="A233" t="s">
        <v>236</v>
      </c>
      <c r="B233" t="s">
        <v>5</v>
      </c>
      <c r="C233">
        <v>459</v>
      </c>
      <c r="E233">
        <f t="shared" si="101"/>
        <v>19657.42105780674</v>
      </c>
      <c r="F233" s="8">
        <f t="shared" si="114"/>
        <v>78.62968423122696</v>
      </c>
      <c r="G233" s="9">
        <f t="shared" si="96"/>
        <v>19.814680426269195</v>
      </c>
      <c r="H233">
        <f t="shared" si="97"/>
        <v>19677.235738233008</v>
      </c>
      <c r="K233" t="s">
        <v>6</v>
      </c>
      <c r="L233">
        <v>460</v>
      </c>
      <c r="N233" s="6">
        <f t="shared" si="115"/>
        <v>39.354471476466017</v>
      </c>
      <c r="O233" s="11">
        <f t="shared" si="98"/>
        <v>9.9173268120694367</v>
      </c>
      <c r="P233">
        <f t="shared" si="99"/>
        <v>19687.153065045077</v>
      </c>
      <c r="R233">
        <f t="shared" si="100"/>
        <v>29.732007238338632</v>
      </c>
    </row>
    <row r="234" spans="1:18" s="6" customFormat="1" x14ac:dyDescent="0.35">
      <c r="A234" s="6" t="s">
        <v>237</v>
      </c>
      <c r="B234" s="6" t="s">
        <v>5</v>
      </c>
      <c r="C234" s="6">
        <v>461</v>
      </c>
      <c r="D234" s="7">
        <v>3.00000000000021E-3</v>
      </c>
      <c r="E234" s="6">
        <f t="shared" si="101"/>
        <v>19687.153065045077</v>
      </c>
      <c r="F234" s="8">
        <f>E234*0.3%</f>
        <v>59.061459195135228</v>
      </c>
      <c r="G234" s="9">
        <f t="shared" si="96"/>
        <v>14.883487717174077</v>
      </c>
      <c r="H234" s="6">
        <f t="shared" si="97"/>
        <v>19702.036552762253</v>
      </c>
      <c r="K234" s="6" t="s">
        <v>12</v>
      </c>
      <c r="L234" s="6">
        <v>462</v>
      </c>
      <c r="M234" s="7">
        <v>3.5000000000000001E-3</v>
      </c>
      <c r="N234" s="6">
        <f>H234*0.35%</f>
        <v>68.957127934667881</v>
      </c>
      <c r="O234" s="11">
        <f t="shared" si="98"/>
        <v>17.377196239536307</v>
      </c>
      <c r="P234" s="6">
        <f t="shared" si="99"/>
        <v>19719.413749001789</v>
      </c>
      <c r="R234" s="6">
        <f t="shared" si="100"/>
        <v>32.26068395671038</v>
      </c>
    </row>
    <row r="235" spans="1:18" x14ac:dyDescent="0.35">
      <c r="A235" t="s">
        <v>238</v>
      </c>
      <c r="B235" t="s">
        <v>5</v>
      </c>
      <c r="C235">
        <v>463</v>
      </c>
      <c r="E235">
        <f t="shared" si="101"/>
        <v>19719.413749001789</v>
      </c>
      <c r="F235" s="8">
        <f t="shared" ref="F235:F238" si="116">E235*0.3%</f>
        <v>59.158241247005371</v>
      </c>
      <c r="G235" s="9">
        <f t="shared" si="96"/>
        <v>14.907876794245354</v>
      </c>
      <c r="H235">
        <f t="shared" si="97"/>
        <v>19734.321625796034</v>
      </c>
      <c r="K235" t="s">
        <v>12</v>
      </c>
      <c r="L235">
        <v>464</v>
      </c>
      <c r="N235" s="6">
        <f t="shared" ref="N235:N238" si="117">H235*0.35%</f>
        <v>69.070125690286105</v>
      </c>
      <c r="O235" s="11">
        <f t="shared" si="98"/>
        <v>17.405671673952099</v>
      </c>
      <c r="P235">
        <f t="shared" si="99"/>
        <v>19751.727297469984</v>
      </c>
      <c r="R235">
        <f t="shared" si="100"/>
        <v>32.313548468197453</v>
      </c>
    </row>
    <row r="236" spans="1:18" x14ac:dyDescent="0.35">
      <c r="A236" t="s">
        <v>239</v>
      </c>
      <c r="B236" t="s">
        <v>5</v>
      </c>
      <c r="C236">
        <v>465</v>
      </c>
      <c r="E236">
        <f t="shared" si="101"/>
        <v>19751.727297469984</v>
      </c>
      <c r="F236" s="8">
        <f t="shared" si="116"/>
        <v>59.255181892409958</v>
      </c>
      <c r="G236" s="9">
        <f t="shared" si="96"/>
        <v>14.932305836887309</v>
      </c>
      <c r="H236">
        <f t="shared" si="97"/>
        <v>19766.659603306871</v>
      </c>
      <c r="K236" t="s">
        <v>12</v>
      </c>
      <c r="L236">
        <v>466</v>
      </c>
      <c r="N236" s="6">
        <f t="shared" si="117"/>
        <v>69.183308611574034</v>
      </c>
      <c r="O236" s="11">
        <f t="shared" si="98"/>
        <v>17.434193770116657</v>
      </c>
      <c r="P236">
        <f t="shared" si="99"/>
        <v>19784.093797076988</v>
      </c>
      <c r="R236">
        <f t="shared" si="100"/>
        <v>32.366499607003966</v>
      </c>
    </row>
    <row r="237" spans="1:18" x14ac:dyDescent="0.35">
      <c r="A237" t="s">
        <v>240</v>
      </c>
      <c r="B237" t="s">
        <v>5</v>
      </c>
      <c r="C237">
        <v>467</v>
      </c>
      <c r="E237">
        <f t="shared" si="101"/>
        <v>19784.093797076988</v>
      </c>
      <c r="F237" s="8">
        <f t="shared" si="116"/>
        <v>59.352281391230967</v>
      </c>
      <c r="G237" s="9">
        <f t="shared" si="96"/>
        <v>14.956774910590203</v>
      </c>
      <c r="H237">
        <f t="shared" si="97"/>
        <v>19799.05057198758</v>
      </c>
      <c r="K237" t="s">
        <v>12</v>
      </c>
      <c r="L237">
        <v>468</v>
      </c>
      <c r="N237" s="6">
        <f t="shared" si="117"/>
        <v>69.296677001956525</v>
      </c>
      <c r="O237" s="11">
        <f t="shared" si="98"/>
        <v>17.462762604493044</v>
      </c>
      <c r="P237">
        <f t="shared" si="99"/>
        <v>19816.513334592073</v>
      </c>
      <c r="R237">
        <f t="shared" si="100"/>
        <v>32.419537515083249</v>
      </c>
    </row>
    <row r="238" spans="1:18" x14ac:dyDescent="0.35">
      <c r="A238" t="s">
        <v>241</v>
      </c>
      <c r="B238" t="s">
        <v>5</v>
      </c>
      <c r="C238">
        <v>469</v>
      </c>
      <c r="E238">
        <f t="shared" si="101"/>
        <v>19816.513334592073</v>
      </c>
      <c r="F238" s="8">
        <f t="shared" si="116"/>
        <v>59.449540003776221</v>
      </c>
      <c r="G238" s="9">
        <f t="shared" si="96"/>
        <v>14.981284080951609</v>
      </c>
      <c r="H238">
        <f t="shared" si="97"/>
        <v>19831.494618673023</v>
      </c>
      <c r="K238" t="s">
        <v>12</v>
      </c>
      <c r="L238">
        <v>470</v>
      </c>
      <c r="N238" s="6">
        <f t="shared" si="117"/>
        <v>69.410231165355569</v>
      </c>
      <c r="O238" s="11">
        <f t="shared" si="98"/>
        <v>17.491378253669602</v>
      </c>
      <c r="P238">
        <f t="shared" si="99"/>
        <v>19848.985996926691</v>
      </c>
      <c r="R238">
        <f t="shared" si="100"/>
        <v>32.472662334621212</v>
      </c>
    </row>
    <row r="239" spans="1:18" s="6" customFormat="1" x14ac:dyDescent="0.35">
      <c r="A239" s="6" t="s">
        <v>242</v>
      </c>
      <c r="B239" s="6" t="s">
        <v>6</v>
      </c>
      <c r="C239" s="6">
        <v>471</v>
      </c>
      <c r="D239" s="7">
        <v>2.0000000000002802E-3</v>
      </c>
      <c r="E239" s="6">
        <f t="shared" si="101"/>
        <v>19848.985996926691</v>
      </c>
      <c r="F239" s="8">
        <f>E239*0.2%</f>
        <v>39.697971993853379</v>
      </c>
      <c r="G239" s="9">
        <f t="shared" si="96"/>
        <v>10.003888942451052</v>
      </c>
      <c r="H239" s="6">
        <f t="shared" si="97"/>
        <v>19858.989885869141</v>
      </c>
      <c r="K239" s="6" t="s">
        <v>12</v>
      </c>
      <c r="L239" s="6">
        <v>472</v>
      </c>
      <c r="M239" s="7">
        <v>5.0000000000000001E-3</v>
      </c>
      <c r="N239" s="6">
        <f>H239*0.5%</f>
        <v>99.294949429345706</v>
      </c>
      <c r="O239" s="11">
        <f t="shared" si="98"/>
        <v>25.022327256195119</v>
      </c>
      <c r="P239" s="6">
        <f t="shared" si="99"/>
        <v>19884.012213125337</v>
      </c>
      <c r="R239" s="6">
        <f t="shared" si="100"/>
        <v>35.026216198646168</v>
      </c>
    </row>
    <row r="240" spans="1:18" x14ac:dyDescent="0.35">
      <c r="A240" t="s">
        <v>243</v>
      </c>
      <c r="B240" t="s">
        <v>6</v>
      </c>
      <c r="C240">
        <v>473</v>
      </c>
      <c r="E240">
        <f t="shared" si="101"/>
        <v>19884.012213125337</v>
      </c>
      <c r="F240" s="8">
        <f t="shared" ref="F240:F243" si="118">E240*0.2%</f>
        <v>39.768024426250676</v>
      </c>
      <c r="G240" s="9">
        <f t="shared" si="96"/>
        <v>10.021542155415171</v>
      </c>
      <c r="H240">
        <f t="shared" si="97"/>
        <v>19894.033755280754</v>
      </c>
      <c r="K240" t="s">
        <v>12</v>
      </c>
      <c r="L240">
        <v>474</v>
      </c>
      <c r="N240" s="6">
        <f t="shared" ref="N240:N243" si="119">H240*0.5%</f>
        <v>99.470168776403767</v>
      </c>
      <c r="O240" s="11">
        <f t="shared" si="98"/>
        <v>25.066482531653751</v>
      </c>
      <c r="P240">
        <f t="shared" si="99"/>
        <v>19919.100237812407</v>
      </c>
      <c r="R240">
        <f t="shared" si="100"/>
        <v>35.088024687068923</v>
      </c>
    </row>
    <row r="241" spans="1:18" x14ac:dyDescent="0.35">
      <c r="A241" t="s">
        <v>244</v>
      </c>
      <c r="B241" t="s">
        <v>6</v>
      </c>
      <c r="C241">
        <v>475</v>
      </c>
      <c r="E241">
        <f t="shared" si="101"/>
        <v>19919.100237812407</v>
      </c>
      <c r="F241" s="8">
        <f t="shared" si="118"/>
        <v>39.838200475624816</v>
      </c>
      <c r="G241" s="9">
        <f t="shared" si="96"/>
        <v>10.039226519857454</v>
      </c>
      <c r="H241">
        <f t="shared" si="97"/>
        <v>19929.139464332264</v>
      </c>
      <c r="K241" t="s">
        <v>12</v>
      </c>
      <c r="L241">
        <v>476</v>
      </c>
      <c r="N241" s="6">
        <f t="shared" si="119"/>
        <v>99.645697321661316</v>
      </c>
      <c r="O241" s="11">
        <f t="shared" si="98"/>
        <v>25.11071572505865</v>
      </c>
      <c r="P241">
        <f t="shared" si="99"/>
        <v>19954.250180057323</v>
      </c>
      <c r="R241">
        <f t="shared" si="100"/>
        <v>35.149942244916105</v>
      </c>
    </row>
    <row r="242" spans="1:18" x14ac:dyDescent="0.35">
      <c r="A242" t="s">
        <v>245</v>
      </c>
      <c r="B242" t="s">
        <v>6</v>
      </c>
      <c r="C242">
        <v>477</v>
      </c>
      <c r="E242">
        <f t="shared" si="101"/>
        <v>19954.250180057323</v>
      </c>
      <c r="F242" s="8">
        <f t="shared" si="118"/>
        <v>39.908500360114644</v>
      </c>
      <c r="G242" s="9">
        <f t="shared" si="96"/>
        <v>10.05694209074889</v>
      </c>
      <c r="H242">
        <f t="shared" si="97"/>
        <v>19964.307122148071</v>
      </c>
      <c r="K242" t="s">
        <v>12</v>
      </c>
      <c r="L242">
        <v>478</v>
      </c>
      <c r="N242" s="6">
        <f t="shared" si="119"/>
        <v>99.821535610740355</v>
      </c>
      <c r="O242" s="11">
        <f t="shared" si="98"/>
        <v>25.155026973906569</v>
      </c>
      <c r="P242">
        <f t="shared" si="99"/>
        <v>19989.462149121977</v>
      </c>
      <c r="R242">
        <f t="shared" si="100"/>
        <v>35.211969064655463</v>
      </c>
    </row>
    <row r="243" spans="1:18" s="13" customFormat="1" x14ac:dyDescent="0.35">
      <c r="A243" s="13" t="s">
        <v>246</v>
      </c>
      <c r="B243" s="13" t="s">
        <v>6</v>
      </c>
      <c r="C243" s="13">
        <v>479</v>
      </c>
      <c r="E243" s="13">
        <f t="shared" si="101"/>
        <v>19989.462149121977</v>
      </c>
      <c r="F243" s="14">
        <f t="shared" si="118"/>
        <v>39.978924298243953</v>
      </c>
      <c r="G243" s="9">
        <f t="shared" si="96"/>
        <v>10.074688923157476</v>
      </c>
      <c r="H243" s="13">
        <f t="shared" si="97"/>
        <v>19999.536838045133</v>
      </c>
      <c r="K243" s="13" t="s">
        <v>12</v>
      </c>
      <c r="L243" s="13">
        <v>480</v>
      </c>
      <c r="N243" s="13">
        <f t="shared" si="119"/>
        <v>99.997684190225669</v>
      </c>
      <c r="O243" s="11">
        <f t="shared" si="98"/>
        <v>25.19941641593687</v>
      </c>
      <c r="P243" s="13">
        <f t="shared" si="99"/>
        <v>20024.73625446107</v>
      </c>
      <c r="R243" s="13">
        <f t="shared" si="100"/>
        <v>35.274105339094348</v>
      </c>
    </row>
    <row r="244" spans="1:18" s="6" customFormat="1" x14ac:dyDescent="0.35">
      <c r="A244" s="6" t="s">
        <v>247</v>
      </c>
      <c r="B244" s="6" t="s">
        <v>6</v>
      </c>
      <c r="C244" s="6">
        <v>481</v>
      </c>
      <c r="D244" s="7">
        <v>4.0000000000000001E-3</v>
      </c>
      <c r="E244" s="6">
        <f t="shared" si="101"/>
        <v>20024.73625446107</v>
      </c>
      <c r="F244" s="8">
        <f>E244*0.4%</f>
        <v>80.098945017844287</v>
      </c>
      <c r="G244" s="9">
        <f t="shared" si="96"/>
        <v>20.184934144496761</v>
      </c>
      <c r="H244" s="6">
        <f t="shared" si="97"/>
        <v>20044.921188605567</v>
      </c>
      <c r="K244" s="6" t="s">
        <v>12</v>
      </c>
      <c r="L244" s="6">
        <v>482</v>
      </c>
      <c r="M244" s="7">
        <v>6.4999999999989198E-3</v>
      </c>
      <c r="N244" s="6">
        <f>H244*0.65%</f>
        <v>130.2919877259362</v>
      </c>
      <c r="O244" s="11">
        <f t="shared" si="98"/>
        <v>32.833580906935921</v>
      </c>
      <c r="P244" s="6">
        <f t="shared" si="99"/>
        <v>20077.754769512503</v>
      </c>
      <c r="R244" s="6">
        <f t="shared" si="100"/>
        <v>53.018515051432686</v>
      </c>
    </row>
    <row r="245" spans="1:18" x14ac:dyDescent="0.35">
      <c r="A245" t="s">
        <v>248</v>
      </c>
      <c r="B245" t="s">
        <v>6</v>
      </c>
      <c r="C245">
        <v>483</v>
      </c>
      <c r="E245">
        <f t="shared" si="101"/>
        <v>20077.754769512503</v>
      </c>
      <c r="F245" s="8">
        <f t="shared" ref="F245:F248" si="120">E245*0.4%</f>
        <v>80.311019078050009</v>
      </c>
      <c r="G245" s="9">
        <f t="shared" si="96"/>
        <v>20.238376807668601</v>
      </c>
      <c r="H245">
        <f t="shared" si="97"/>
        <v>20097.993146320172</v>
      </c>
      <c r="K245" t="s">
        <v>12</v>
      </c>
      <c r="L245">
        <v>484</v>
      </c>
      <c r="N245" s="6">
        <f t="shared" ref="N245:N248" si="121">H245*0.65%</f>
        <v>130.63695545108112</v>
      </c>
      <c r="O245" s="11">
        <f t="shared" si="98"/>
        <v>32.920512773672442</v>
      </c>
      <c r="P245">
        <f t="shared" si="99"/>
        <v>20130.913659093843</v>
      </c>
      <c r="R245">
        <f t="shared" si="100"/>
        <v>53.158889581341043</v>
      </c>
    </row>
    <row r="246" spans="1:18" x14ac:dyDescent="0.35">
      <c r="A246" t="s">
        <v>249</v>
      </c>
      <c r="B246" t="s">
        <v>6</v>
      </c>
      <c r="C246">
        <v>485</v>
      </c>
      <c r="E246">
        <f t="shared" si="101"/>
        <v>20130.913659093843</v>
      </c>
      <c r="F246" s="8">
        <f t="shared" si="120"/>
        <v>80.523654636375369</v>
      </c>
      <c r="G246" s="9">
        <f t="shared" si="96"/>
        <v>20.291960968366592</v>
      </c>
      <c r="H246">
        <f t="shared" si="97"/>
        <v>20151.20562006221</v>
      </c>
      <c r="K246" t="s">
        <v>12</v>
      </c>
      <c r="L246">
        <v>486</v>
      </c>
      <c r="N246" s="6">
        <f t="shared" si="121"/>
        <v>130.98283653040437</v>
      </c>
      <c r="O246" s="11">
        <f t="shared" si="98"/>
        <v>33.0076748056619</v>
      </c>
      <c r="P246">
        <f t="shared" si="99"/>
        <v>20184.213294867874</v>
      </c>
      <c r="R246">
        <f t="shared" si="100"/>
        <v>53.299635774028488</v>
      </c>
    </row>
    <row r="247" spans="1:18" x14ac:dyDescent="0.35">
      <c r="A247" t="s">
        <v>250</v>
      </c>
      <c r="B247" t="s">
        <v>6</v>
      </c>
      <c r="C247">
        <v>487</v>
      </c>
      <c r="E247">
        <f t="shared" si="101"/>
        <v>20184.213294867874</v>
      </c>
      <c r="F247" s="8">
        <f t="shared" si="120"/>
        <v>80.736853179471495</v>
      </c>
      <c r="G247" s="9">
        <f t="shared" si="96"/>
        <v>20.345687001226818</v>
      </c>
      <c r="H247">
        <f t="shared" si="97"/>
        <v>20204.558981869101</v>
      </c>
      <c r="K247" t="s">
        <v>12</v>
      </c>
      <c r="L247">
        <v>488</v>
      </c>
      <c r="N247" s="6">
        <f t="shared" si="121"/>
        <v>131.32963338214915</v>
      </c>
      <c r="O247" s="11">
        <f t="shared" si="98"/>
        <v>33.095067612301584</v>
      </c>
      <c r="P247">
        <f t="shared" si="99"/>
        <v>20237.654049481403</v>
      </c>
      <c r="R247">
        <f t="shared" si="100"/>
        <v>53.440754613528398</v>
      </c>
    </row>
    <row r="248" spans="1:18" x14ac:dyDescent="0.35">
      <c r="A248" t="s">
        <v>251</v>
      </c>
      <c r="B248" t="s">
        <v>6</v>
      </c>
      <c r="C248">
        <v>489</v>
      </c>
      <c r="E248">
        <f t="shared" si="101"/>
        <v>20237.654049481403</v>
      </c>
      <c r="F248" s="8">
        <f t="shared" si="120"/>
        <v>80.950616197925612</v>
      </c>
      <c r="G248" s="9">
        <f t="shared" si="96"/>
        <v>20.399555281877255</v>
      </c>
      <c r="H248">
        <f t="shared" si="97"/>
        <v>20258.053604763281</v>
      </c>
      <c r="K248" t="s">
        <v>12</v>
      </c>
      <c r="L248">
        <v>490</v>
      </c>
      <c r="N248" s="6">
        <f t="shared" si="121"/>
        <v>131.67734843096133</v>
      </c>
      <c r="O248" s="11">
        <f t="shared" si="98"/>
        <v>33.182691804602257</v>
      </c>
      <c r="P248">
        <f t="shared" si="99"/>
        <v>20291.236296567884</v>
      </c>
      <c r="R248">
        <f t="shared" si="100"/>
        <v>53.582247086479512</v>
      </c>
    </row>
    <row r="249" spans="1:18" s="6" customFormat="1" x14ac:dyDescent="0.35">
      <c r="A249" s="6" t="s">
        <v>252</v>
      </c>
      <c r="B249" s="6" t="s">
        <v>6</v>
      </c>
      <c r="C249" s="6">
        <v>491</v>
      </c>
      <c r="D249" s="7">
        <v>5.99999999999972E-3</v>
      </c>
      <c r="E249" s="6">
        <f t="shared" si="101"/>
        <v>20291.236296567884</v>
      </c>
      <c r="F249" s="8">
        <f>E249*0.6%</f>
        <v>121.7474177794073</v>
      </c>
      <c r="G249" s="9">
        <f t="shared" si="96"/>
        <v>30.680349280410638</v>
      </c>
      <c r="H249" s="6">
        <f t="shared" si="97"/>
        <v>20321.916645848294</v>
      </c>
      <c r="K249" s="6" t="s">
        <v>12</v>
      </c>
      <c r="L249" s="6">
        <v>492</v>
      </c>
      <c r="M249" s="7">
        <v>7.9999999999983799E-3</v>
      </c>
      <c r="N249" s="6">
        <f>H249*0.8%</f>
        <v>162.57533316678635</v>
      </c>
      <c r="O249" s="11">
        <f t="shared" si="98"/>
        <v>40.968983958030158</v>
      </c>
      <c r="P249" s="6">
        <f t="shared" si="99"/>
        <v>20362.885629806326</v>
      </c>
      <c r="R249" s="6">
        <f t="shared" si="100"/>
        <v>71.649333238440789</v>
      </c>
    </row>
    <row r="250" spans="1:18" x14ac:dyDescent="0.35">
      <c r="A250" t="s">
        <v>253</v>
      </c>
      <c r="B250" t="s">
        <v>6</v>
      </c>
      <c r="C250">
        <v>493</v>
      </c>
      <c r="E250">
        <f t="shared" si="101"/>
        <v>20362.885629806326</v>
      </c>
      <c r="F250" s="8">
        <f t="shared" ref="F250:F253" si="122">E250*0.6%</f>
        <v>122.17731377883796</v>
      </c>
      <c r="G250" s="9">
        <f t="shared" si="96"/>
        <v>30.788683072267165</v>
      </c>
      <c r="H250">
        <f t="shared" si="97"/>
        <v>20393.674312878593</v>
      </c>
      <c r="K250" t="s">
        <v>12</v>
      </c>
      <c r="L250">
        <v>494</v>
      </c>
      <c r="N250" s="6">
        <f t="shared" ref="N250:N253" si="123">H250*0.8%</f>
        <v>163.14939450302876</v>
      </c>
      <c r="O250" s="11">
        <f t="shared" si="98"/>
        <v>41.11364741476325</v>
      </c>
      <c r="P250">
        <f t="shared" si="99"/>
        <v>20434.787960293357</v>
      </c>
      <c r="R250">
        <f t="shared" si="100"/>
        <v>71.902330487030412</v>
      </c>
    </row>
    <row r="251" spans="1:18" x14ac:dyDescent="0.35">
      <c r="A251" t="s">
        <v>254</v>
      </c>
      <c r="B251" t="s">
        <v>6</v>
      </c>
      <c r="C251">
        <v>495</v>
      </c>
      <c r="E251">
        <f t="shared" si="101"/>
        <v>20434.787960293357</v>
      </c>
      <c r="F251" s="8">
        <f t="shared" si="122"/>
        <v>122.60872776176015</v>
      </c>
      <c r="G251" s="9">
        <f t="shared" si="96"/>
        <v>30.897399395963557</v>
      </c>
      <c r="H251">
        <f t="shared" si="97"/>
        <v>20465.68535968932</v>
      </c>
      <c r="K251" t="s">
        <v>12</v>
      </c>
      <c r="L251">
        <v>496</v>
      </c>
      <c r="N251" s="6">
        <f t="shared" si="123"/>
        <v>163.72548287751457</v>
      </c>
      <c r="O251" s="11">
        <f t="shared" si="98"/>
        <v>41.258821685133668</v>
      </c>
      <c r="P251">
        <f t="shared" si="99"/>
        <v>20506.944181374452</v>
      </c>
      <c r="R251">
        <f t="shared" si="100"/>
        <v>72.156221081097229</v>
      </c>
    </row>
    <row r="252" spans="1:18" x14ac:dyDescent="0.35">
      <c r="A252" t="s">
        <v>255</v>
      </c>
      <c r="B252" t="s">
        <v>6</v>
      </c>
      <c r="C252">
        <v>497</v>
      </c>
      <c r="E252">
        <f t="shared" si="101"/>
        <v>20506.944181374452</v>
      </c>
      <c r="F252" s="8">
        <f t="shared" si="122"/>
        <v>123.04166508824672</v>
      </c>
      <c r="G252" s="9">
        <f t="shared" si="96"/>
        <v>31.006499602238172</v>
      </c>
      <c r="H252">
        <f t="shared" si="97"/>
        <v>20537.95068097669</v>
      </c>
      <c r="K252" t="s">
        <v>12</v>
      </c>
      <c r="L252">
        <v>498</v>
      </c>
      <c r="N252" s="6">
        <f t="shared" si="123"/>
        <v>164.30360544781351</v>
      </c>
      <c r="O252" s="11">
        <f t="shared" si="98"/>
        <v>41.404508572849004</v>
      </c>
      <c r="P252">
        <f t="shared" si="99"/>
        <v>20579.35518954954</v>
      </c>
      <c r="R252">
        <f t="shared" si="100"/>
        <v>72.411008175087176</v>
      </c>
    </row>
    <row r="253" spans="1:18" x14ac:dyDescent="0.35">
      <c r="A253" t="s">
        <v>256</v>
      </c>
      <c r="B253" t="s">
        <v>6</v>
      </c>
      <c r="C253">
        <v>499</v>
      </c>
      <c r="D253" s="15"/>
      <c r="E253">
        <f t="shared" si="101"/>
        <v>20579.35518954954</v>
      </c>
      <c r="F253" s="8">
        <f t="shared" si="122"/>
        <v>123.47613113729724</v>
      </c>
      <c r="G253" s="9">
        <f t="shared" si="96"/>
        <v>31.115985046598905</v>
      </c>
      <c r="H253">
        <f t="shared" si="97"/>
        <v>20610.471174596139</v>
      </c>
      <c r="K253" t="s">
        <v>12</v>
      </c>
      <c r="L253">
        <v>500</v>
      </c>
      <c r="N253" s="6">
        <f t="shared" si="123"/>
        <v>164.88376939676911</v>
      </c>
      <c r="O253" s="11">
        <f t="shared" si="98"/>
        <v>41.550709887985818</v>
      </c>
      <c r="P253">
        <f t="shared" si="99"/>
        <v>20652.021884484126</v>
      </c>
      <c r="R253">
        <f t="shared" si="100"/>
        <v>72.666694934584726</v>
      </c>
    </row>
    <row r="254" spans="1:18" s="6" customFormat="1" x14ac:dyDescent="0.35">
      <c r="A254" s="6" t="s">
        <v>257</v>
      </c>
      <c r="B254" s="6" t="s">
        <v>5</v>
      </c>
      <c r="C254" s="6">
        <v>501</v>
      </c>
      <c r="D254" s="7">
        <v>7.9999999999994399E-3</v>
      </c>
      <c r="E254" s="6">
        <f t="shared" si="101"/>
        <v>20652.021884484126</v>
      </c>
      <c r="F254" s="8">
        <f>E254*0.8%</f>
        <v>165.216175075873</v>
      </c>
      <c r="G254" s="9">
        <f t="shared" si="96"/>
        <v>41.634476119119995</v>
      </c>
      <c r="H254" s="6">
        <f t="shared" si="97"/>
        <v>20693.656360603247</v>
      </c>
      <c r="K254" s="6" t="s">
        <v>6</v>
      </c>
      <c r="L254" s="6">
        <v>502</v>
      </c>
      <c r="M254" s="7">
        <v>4.0000000000000001E-3</v>
      </c>
      <c r="N254" s="6">
        <f>H254*0.4%</f>
        <v>82.774625442412983</v>
      </c>
      <c r="O254" s="11">
        <f t="shared" si="98"/>
        <v>20.859205611488072</v>
      </c>
      <c r="P254" s="6">
        <f t="shared" si="99"/>
        <v>20714.515566214734</v>
      </c>
      <c r="R254" s="6">
        <f t="shared" si="100"/>
        <v>62.493681730608067</v>
      </c>
    </row>
    <row r="255" spans="1:18" x14ac:dyDescent="0.35">
      <c r="A255" t="s">
        <v>258</v>
      </c>
      <c r="B255" t="s">
        <v>5</v>
      </c>
      <c r="C255">
        <v>503</v>
      </c>
      <c r="E255">
        <f t="shared" si="101"/>
        <v>20714.515566214734</v>
      </c>
      <c r="F255" s="8">
        <f t="shared" ref="F255:F258" si="124">E255*0.8%</f>
        <v>165.71612452971786</v>
      </c>
      <c r="G255" s="9">
        <f t="shared" si="96"/>
        <v>41.760463381488904</v>
      </c>
      <c r="H255">
        <f t="shared" si="97"/>
        <v>20756.276029596222</v>
      </c>
      <c r="I255" s="16"/>
      <c r="J255" s="16"/>
      <c r="K255" s="16" t="s">
        <v>6</v>
      </c>
      <c r="L255">
        <v>504</v>
      </c>
      <c r="N255" s="6">
        <f t="shared" ref="N255:N258" si="125">H255*0.4%</f>
        <v>83.025104118384888</v>
      </c>
      <c r="O255" s="11">
        <f t="shared" si="98"/>
        <v>20.922326237832991</v>
      </c>
      <c r="P255">
        <f t="shared" si="99"/>
        <v>20777.198355834054</v>
      </c>
      <c r="R255">
        <f t="shared" si="100"/>
        <v>62.682789619321895</v>
      </c>
    </row>
    <row r="256" spans="1:18" x14ac:dyDescent="0.35">
      <c r="A256" t="s">
        <v>259</v>
      </c>
      <c r="B256" t="s">
        <v>5</v>
      </c>
      <c r="C256">
        <v>505</v>
      </c>
      <c r="E256">
        <f t="shared" si="101"/>
        <v>20777.198355834054</v>
      </c>
      <c r="F256" s="8">
        <f t="shared" si="124"/>
        <v>166.21758684667245</v>
      </c>
      <c r="G256" s="9">
        <f t="shared" si="96"/>
        <v>41.88683188536146</v>
      </c>
      <c r="H256">
        <f t="shared" si="97"/>
        <v>20819.085187719415</v>
      </c>
      <c r="K256" t="s">
        <v>6</v>
      </c>
      <c r="L256">
        <v>506</v>
      </c>
      <c r="N256" s="6">
        <f t="shared" si="125"/>
        <v>83.276340750877665</v>
      </c>
      <c r="O256" s="11">
        <f t="shared" si="98"/>
        <v>20.985637869221172</v>
      </c>
      <c r="P256">
        <f t="shared" si="99"/>
        <v>20840.070825588635</v>
      </c>
      <c r="R256">
        <f t="shared" si="100"/>
        <v>62.872469754582632</v>
      </c>
    </row>
    <row r="257" spans="1:18" x14ac:dyDescent="0.35">
      <c r="A257" t="s">
        <v>260</v>
      </c>
      <c r="B257" t="s">
        <v>5</v>
      </c>
      <c r="C257">
        <v>507</v>
      </c>
      <c r="E257">
        <f t="shared" si="101"/>
        <v>20840.070825588635</v>
      </c>
      <c r="F257" s="8">
        <f t="shared" si="124"/>
        <v>166.72056660470909</v>
      </c>
      <c r="G257" s="9">
        <f t="shared" si="96"/>
        <v>42.013582784386692</v>
      </c>
      <c r="H257">
        <f t="shared" si="97"/>
        <v>20882.084408373023</v>
      </c>
      <c r="K257" t="s">
        <v>6</v>
      </c>
      <c r="L257">
        <v>508</v>
      </c>
      <c r="N257" s="6">
        <f t="shared" si="125"/>
        <v>83.528337633492086</v>
      </c>
      <c r="O257" s="11">
        <f t="shared" si="98"/>
        <v>21.049141083640006</v>
      </c>
      <c r="P257">
        <f t="shared" si="99"/>
        <v>20903.133549456663</v>
      </c>
      <c r="R257">
        <f t="shared" si="100"/>
        <v>63.062723868026694</v>
      </c>
    </row>
    <row r="258" spans="1:18" x14ac:dyDescent="0.35">
      <c r="A258" t="s">
        <v>261</v>
      </c>
      <c r="B258" t="s">
        <v>5</v>
      </c>
      <c r="C258">
        <v>509</v>
      </c>
      <c r="E258">
        <f t="shared" si="101"/>
        <v>20903.133549456663</v>
      </c>
      <c r="F258" s="8">
        <f t="shared" si="124"/>
        <v>167.2250683956533</v>
      </c>
      <c r="G258" s="9">
        <f t="shared" si="96"/>
        <v>42.140717235704628</v>
      </c>
      <c r="H258">
        <f t="shared" si="97"/>
        <v>20945.274266692366</v>
      </c>
      <c r="K258" t="s">
        <v>6</v>
      </c>
      <c r="L258">
        <v>510</v>
      </c>
      <c r="N258" s="6">
        <f t="shared" si="125"/>
        <v>83.781097066769462</v>
      </c>
      <c r="O258" s="11">
        <f t="shared" si="98"/>
        <v>21.112836460825903</v>
      </c>
      <c r="P258">
        <f t="shared" si="99"/>
        <v>20966.387103153193</v>
      </c>
      <c r="R258">
        <f t="shared" si="100"/>
        <v>63.253553696530531</v>
      </c>
    </row>
    <row r="259" spans="1:18" s="6" customFormat="1" x14ac:dyDescent="0.35">
      <c r="A259" s="6" t="s">
        <v>262</v>
      </c>
      <c r="B259" s="6" t="s">
        <v>6</v>
      </c>
      <c r="C259" s="6">
        <v>511</v>
      </c>
      <c r="D259" s="7">
        <v>4.0000000000000001E-3</v>
      </c>
      <c r="E259" s="6">
        <f t="shared" si="101"/>
        <v>20966.387103153193</v>
      </c>
      <c r="F259" s="8">
        <f>E259*0.4%</f>
        <v>83.865548412612767</v>
      </c>
      <c r="G259" s="9">
        <f t="shared" si="96"/>
        <v>21.134118199978417</v>
      </c>
      <c r="H259" s="6">
        <f t="shared" si="97"/>
        <v>20987.52122135317</v>
      </c>
      <c r="K259" s="6" t="s">
        <v>12</v>
      </c>
      <c r="L259" s="6">
        <v>512</v>
      </c>
      <c r="M259" s="7">
        <v>8.5000000000000006E-3</v>
      </c>
      <c r="N259" s="6">
        <f>H259*0.85%</f>
        <v>178.39393038150197</v>
      </c>
      <c r="O259" s="11">
        <f t="shared" si="98"/>
        <v>44.9552704561385</v>
      </c>
      <c r="P259" s="6">
        <f t="shared" si="99"/>
        <v>21032.47649180931</v>
      </c>
      <c r="R259" s="6">
        <f t="shared" si="100"/>
        <v>66.08938865611691</v>
      </c>
    </row>
    <row r="260" spans="1:18" x14ac:dyDescent="0.35">
      <c r="A260" t="s">
        <v>263</v>
      </c>
      <c r="B260" t="s">
        <v>6</v>
      </c>
      <c r="C260">
        <v>513</v>
      </c>
      <c r="E260">
        <f t="shared" si="101"/>
        <v>21032.47649180931</v>
      </c>
      <c r="F260" s="8">
        <f t="shared" ref="F260:F263" si="126">E260*0.4%</f>
        <v>84.129905967237235</v>
      </c>
      <c r="G260" s="9">
        <f t="shared" si="96"/>
        <v>21.200736303743785</v>
      </c>
      <c r="H260">
        <f t="shared" si="97"/>
        <v>21053.677228113054</v>
      </c>
      <c r="K260" t="s">
        <v>12</v>
      </c>
      <c r="L260">
        <v>514</v>
      </c>
      <c r="N260" s="6">
        <f t="shared" ref="N260:N263" si="127">H260*0.85%</f>
        <v>178.95625643896096</v>
      </c>
      <c r="O260" s="11">
        <f t="shared" si="98"/>
        <v>45.096976622618165</v>
      </c>
      <c r="P260">
        <f t="shared" si="99"/>
        <v>21098.774204735673</v>
      </c>
      <c r="R260">
        <f t="shared" si="100"/>
        <v>66.297712926361953</v>
      </c>
    </row>
    <row r="261" spans="1:18" x14ac:dyDescent="0.35">
      <c r="A261" t="s">
        <v>264</v>
      </c>
      <c r="B261" t="s">
        <v>6</v>
      </c>
      <c r="C261">
        <v>515</v>
      </c>
      <c r="E261">
        <f t="shared" si="101"/>
        <v>21098.774204735673</v>
      </c>
      <c r="F261" s="8">
        <f t="shared" si="126"/>
        <v>84.39509681894269</v>
      </c>
      <c r="G261" s="9">
        <f t="shared" ref="G261:G294" si="128">F261*25.2%</f>
        <v>21.267564398373558</v>
      </c>
      <c r="H261">
        <f t="shared" ref="H261:H294" si="129">G261+E261</f>
        <v>21120.041769134048</v>
      </c>
      <c r="K261" t="s">
        <v>12</v>
      </c>
      <c r="L261">
        <v>516</v>
      </c>
      <c r="N261" s="6">
        <f t="shared" si="127"/>
        <v>179.52035503763943</v>
      </c>
      <c r="O261" s="11">
        <f t="shared" ref="O261:O294" si="130">N261*25.2%</f>
        <v>45.239129469485135</v>
      </c>
      <c r="P261">
        <f t="shared" ref="P261:P294" si="131">O261+H261</f>
        <v>21165.280898603534</v>
      </c>
      <c r="R261">
        <f t="shared" ref="R261:R294" si="132">O261+G261</f>
        <v>66.506693867858701</v>
      </c>
    </row>
    <row r="262" spans="1:18" x14ac:dyDescent="0.35">
      <c r="A262" t="s">
        <v>265</v>
      </c>
      <c r="B262" t="s">
        <v>6</v>
      </c>
      <c r="C262">
        <v>517</v>
      </c>
      <c r="E262">
        <f t="shared" ref="E262:E294" si="133">P261</f>
        <v>21165.280898603534</v>
      </c>
      <c r="F262" s="8">
        <f t="shared" si="126"/>
        <v>84.661123594414136</v>
      </c>
      <c r="G262" s="9">
        <f t="shared" si="128"/>
        <v>21.334603145792361</v>
      </c>
      <c r="H262">
        <f t="shared" si="129"/>
        <v>21186.615501749326</v>
      </c>
      <c r="K262" t="s">
        <v>12</v>
      </c>
      <c r="L262">
        <v>518</v>
      </c>
      <c r="N262" s="6">
        <f t="shared" si="127"/>
        <v>180.08623176486927</v>
      </c>
      <c r="O262" s="11">
        <f t="shared" si="130"/>
        <v>45.381730404747053</v>
      </c>
      <c r="P262">
        <f t="shared" si="131"/>
        <v>21231.997232154074</v>
      </c>
      <c r="R262">
        <f t="shared" si="132"/>
        <v>66.716333550539417</v>
      </c>
    </row>
    <row r="263" spans="1:18" x14ac:dyDescent="0.35">
      <c r="A263" t="s">
        <v>266</v>
      </c>
      <c r="B263" t="s">
        <v>6</v>
      </c>
      <c r="C263">
        <v>519</v>
      </c>
      <c r="D263" s="15"/>
      <c r="E263">
        <f t="shared" si="133"/>
        <v>21231.997232154074</v>
      </c>
      <c r="F263" s="8">
        <f t="shared" si="126"/>
        <v>84.927988928616301</v>
      </c>
      <c r="G263" s="9">
        <f t="shared" si="128"/>
        <v>21.401853210011307</v>
      </c>
      <c r="H263">
        <f t="shared" si="129"/>
        <v>21253.399085364086</v>
      </c>
      <c r="K263" t="s">
        <v>12</v>
      </c>
      <c r="L263">
        <v>520</v>
      </c>
      <c r="N263" s="6">
        <f t="shared" si="127"/>
        <v>180.65389222559475</v>
      </c>
      <c r="O263" s="11">
        <f t="shared" si="130"/>
        <v>45.524780840849878</v>
      </c>
      <c r="P263">
        <f t="shared" si="131"/>
        <v>21298.923866204936</v>
      </c>
      <c r="R263">
        <f t="shared" si="132"/>
        <v>66.926634050861182</v>
      </c>
    </row>
    <row r="264" spans="1:18" s="6" customFormat="1" x14ac:dyDescent="0.35">
      <c r="A264" s="6" t="s">
        <v>267</v>
      </c>
      <c r="B264" s="6" t="s">
        <v>6</v>
      </c>
      <c r="C264" s="6">
        <v>521</v>
      </c>
      <c r="D264" s="7">
        <v>7.0000000000000001E-3</v>
      </c>
      <c r="E264" s="6">
        <f t="shared" si="133"/>
        <v>21298.923866204936</v>
      </c>
      <c r="F264" s="8">
        <f>E264*0.7%</f>
        <v>149.09246706343453</v>
      </c>
      <c r="G264" s="9">
        <f t="shared" si="128"/>
        <v>37.571301699985504</v>
      </c>
      <c r="H264" s="6">
        <f t="shared" si="129"/>
        <v>21336.495167904923</v>
      </c>
      <c r="K264" s="6" t="s">
        <v>6</v>
      </c>
      <c r="L264" s="6">
        <v>522</v>
      </c>
      <c r="M264" s="7">
        <v>3.5000000000000001E-3</v>
      </c>
      <c r="N264" s="6">
        <f>H264*0.35%</f>
        <v>74.677733087667221</v>
      </c>
      <c r="O264" s="11">
        <f t="shared" si="130"/>
        <v>18.818788738092138</v>
      </c>
      <c r="P264" s="6">
        <f t="shared" si="131"/>
        <v>21355.313956643015</v>
      </c>
      <c r="R264" s="6">
        <f t="shared" si="132"/>
        <v>56.390090438077642</v>
      </c>
    </row>
    <row r="265" spans="1:18" x14ac:dyDescent="0.35">
      <c r="A265" t="s">
        <v>268</v>
      </c>
      <c r="B265" t="s">
        <v>6</v>
      </c>
      <c r="C265">
        <v>523</v>
      </c>
      <c r="E265">
        <f t="shared" si="133"/>
        <v>21355.313956643015</v>
      </c>
      <c r="F265" s="8">
        <f t="shared" ref="F265:F268" si="134">E265*0.7%</f>
        <v>149.48719769650108</v>
      </c>
      <c r="G265" s="9">
        <f t="shared" si="128"/>
        <v>37.670773819518274</v>
      </c>
      <c r="H265">
        <f t="shared" si="129"/>
        <v>21392.984730462533</v>
      </c>
      <c r="K265" t="s">
        <v>6</v>
      </c>
      <c r="L265">
        <v>524</v>
      </c>
      <c r="N265" s="6">
        <f t="shared" ref="N265:N268" si="135">H265*0.35%</f>
        <v>74.875446556618854</v>
      </c>
      <c r="O265" s="11">
        <f t="shared" si="130"/>
        <v>18.868612532267953</v>
      </c>
      <c r="P265">
        <f t="shared" si="131"/>
        <v>21411.8533429948</v>
      </c>
      <c r="R265">
        <f t="shared" si="132"/>
        <v>56.539386351786227</v>
      </c>
    </row>
    <row r="266" spans="1:18" x14ac:dyDescent="0.35">
      <c r="A266" t="s">
        <v>269</v>
      </c>
      <c r="B266" t="s">
        <v>6</v>
      </c>
      <c r="C266">
        <v>525</v>
      </c>
      <c r="E266">
        <f t="shared" si="133"/>
        <v>21411.8533429948</v>
      </c>
      <c r="F266" s="8">
        <f t="shared" si="134"/>
        <v>149.88297340096358</v>
      </c>
      <c r="G266" s="9">
        <f t="shared" si="128"/>
        <v>37.770509297042821</v>
      </c>
      <c r="H266">
        <f t="shared" si="129"/>
        <v>21449.623852291843</v>
      </c>
      <c r="K266" t="s">
        <v>6</v>
      </c>
      <c r="L266">
        <v>526</v>
      </c>
      <c r="N266" s="6">
        <f t="shared" si="135"/>
        <v>75.073683483021441</v>
      </c>
      <c r="O266" s="11">
        <f t="shared" si="130"/>
        <v>18.918568237721402</v>
      </c>
      <c r="P266">
        <f t="shared" si="131"/>
        <v>21468.542420529564</v>
      </c>
      <c r="R266">
        <f t="shared" si="132"/>
        <v>56.689077534764223</v>
      </c>
    </row>
    <row r="267" spans="1:18" x14ac:dyDescent="0.35">
      <c r="A267" t="s">
        <v>270</v>
      </c>
      <c r="B267" t="s">
        <v>6</v>
      </c>
      <c r="C267">
        <v>527</v>
      </c>
      <c r="E267">
        <f t="shared" si="133"/>
        <v>21468.542420529564</v>
      </c>
      <c r="F267" s="8">
        <f t="shared" si="134"/>
        <v>150.27979694370694</v>
      </c>
      <c r="G267" s="9">
        <f t="shared" si="128"/>
        <v>37.870508829814149</v>
      </c>
      <c r="H267">
        <f t="shared" si="129"/>
        <v>21506.41292935938</v>
      </c>
      <c r="K267" t="s">
        <v>6</v>
      </c>
      <c r="L267">
        <v>528</v>
      </c>
      <c r="N267" s="6">
        <f t="shared" si="135"/>
        <v>75.272445252757819</v>
      </c>
      <c r="O267" s="11">
        <f t="shared" si="130"/>
        <v>18.96865620369497</v>
      </c>
      <c r="P267">
        <f t="shared" si="131"/>
        <v>21525.381585563075</v>
      </c>
      <c r="R267">
        <f t="shared" si="132"/>
        <v>56.839165033509119</v>
      </c>
    </row>
    <row r="268" spans="1:18" x14ac:dyDescent="0.35">
      <c r="A268" t="s">
        <v>271</v>
      </c>
      <c r="B268" t="s">
        <v>6</v>
      </c>
      <c r="C268">
        <v>529</v>
      </c>
      <c r="E268">
        <f t="shared" si="133"/>
        <v>21525.381585563075</v>
      </c>
      <c r="F268" s="8">
        <f t="shared" si="134"/>
        <v>150.67767109894152</v>
      </c>
      <c r="G268" s="9">
        <f t="shared" si="128"/>
        <v>37.970773116933259</v>
      </c>
      <c r="H268">
        <f t="shared" si="129"/>
        <v>21563.352358680007</v>
      </c>
      <c r="K268" t="s">
        <v>6</v>
      </c>
      <c r="L268">
        <v>530</v>
      </c>
      <c r="N268" s="6">
        <f t="shared" si="135"/>
        <v>75.471733255380016</v>
      </c>
      <c r="O268" s="11">
        <f t="shared" si="130"/>
        <v>19.018876780355765</v>
      </c>
      <c r="P268">
        <f t="shared" si="131"/>
        <v>21582.371235460363</v>
      </c>
      <c r="R268">
        <f t="shared" si="132"/>
        <v>56.989649897289027</v>
      </c>
    </row>
    <row r="269" spans="1:18" s="6" customFormat="1" x14ac:dyDescent="0.35">
      <c r="A269" s="6" t="s">
        <v>272</v>
      </c>
      <c r="B269" s="6" t="s">
        <v>5</v>
      </c>
      <c r="C269" s="6">
        <v>531</v>
      </c>
      <c r="D269" s="7">
        <v>8.0000000000000002E-3</v>
      </c>
      <c r="E269" s="6">
        <f t="shared" si="133"/>
        <v>21582.371235460363</v>
      </c>
      <c r="F269" s="8">
        <f>E269*0.8%</f>
        <v>172.65896988368291</v>
      </c>
      <c r="G269" s="9">
        <f t="shared" si="128"/>
        <v>43.510060410688098</v>
      </c>
      <c r="H269" s="6">
        <f t="shared" si="129"/>
        <v>21625.881295871051</v>
      </c>
      <c r="K269" s="6" t="s">
        <v>6</v>
      </c>
      <c r="L269" s="6">
        <v>532</v>
      </c>
      <c r="M269" s="7">
        <v>4.4999999999999997E-3</v>
      </c>
      <c r="N269" s="6">
        <f>H269*0.45%</f>
        <v>97.316465831419748</v>
      </c>
      <c r="O269" s="11">
        <f t="shared" si="130"/>
        <v>24.523749389517775</v>
      </c>
      <c r="P269" s="6">
        <f t="shared" si="131"/>
        <v>21650.40504526057</v>
      </c>
      <c r="R269" s="6">
        <f t="shared" si="132"/>
        <v>68.033809800205873</v>
      </c>
    </row>
    <row r="270" spans="1:18" x14ac:dyDescent="0.35">
      <c r="A270" t="s">
        <v>273</v>
      </c>
      <c r="B270" t="s">
        <v>5</v>
      </c>
      <c r="C270">
        <v>533</v>
      </c>
      <c r="E270">
        <f t="shared" si="133"/>
        <v>21650.40504526057</v>
      </c>
      <c r="F270" s="8">
        <f t="shared" ref="F270:F273" si="136">E270*0.8%</f>
        <v>173.20324036208456</v>
      </c>
      <c r="G270" s="9">
        <f t="shared" si="128"/>
        <v>43.647216571245309</v>
      </c>
      <c r="H270">
        <f t="shared" si="129"/>
        <v>21694.052261831814</v>
      </c>
      <c r="K270" t="s">
        <v>6</v>
      </c>
      <c r="L270">
        <v>534</v>
      </c>
      <c r="N270" s="6">
        <f t="shared" ref="N270:N273" si="137">H270*0.45%</f>
        <v>97.623235178243178</v>
      </c>
      <c r="O270" s="11">
        <f t="shared" si="130"/>
        <v>24.601055264917282</v>
      </c>
      <c r="P270">
        <f t="shared" si="131"/>
        <v>21718.65331709673</v>
      </c>
      <c r="R270">
        <f t="shared" si="132"/>
        <v>68.248271836162587</v>
      </c>
    </row>
    <row r="271" spans="1:18" x14ac:dyDescent="0.35">
      <c r="A271" t="s">
        <v>274</v>
      </c>
      <c r="B271" t="s">
        <v>5</v>
      </c>
      <c r="C271">
        <v>535</v>
      </c>
      <c r="E271">
        <f t="shared" si="133"/>
        <v>21718.65331709673</v>
      </c>
      <c r="F271" s="8">
        <f t="shared" si="136"/>
        <v>173.74922653677385</v>
      </c>
      <c r="G271" s="9">
        <f t="shared" si="128"/>
        <v>43.78480508726701</v>
      </c>
      <c r="H271">
        <f t="shared" si="129"/>
        <v>21762.438122183998</v>
      </c>
      <c r="K271" t="s">
        <v>6</v>
      </c>
      <c r="L271">
        <v>536</v>
      </c>
      <c r="N271" s="6">
        <f t="shared" si="137"/>
        <v>97.930971549828001</v>
      </c>
      <c r="O271" s="11">
        <f t="shared" si="130"/>
        <v>24.678604830556658</v>
      </c>
      <c r="P271">
        <f t="shared" si="131"/>
        <v>21787.116727014556</v>
      </c>
      <c r="R271">
        <f t="shared" si="132"/>
        <v>68.463409917823668</v>
      </c>
    </row>
    <row r="272" spans="1:18" x14ac:dyDescent="0.35">
      <c r="A272" t="s">
        <v>275</v>
      </c>
      <c r="B272" t="s">
        <v>5</v>
      </c>
      <c r="C272">
        <v>537</v>
      </c>
      <c r="E272">
        <f t="shared" si="133"/>
        <v>21787.116727014556</v>
      </c>
      <c r="F272" s="8">
        <f t="shared" si="136"/>
        <v>174.29693381611645</v>
      </c>
      <c r="G272" s="9">
        <f t="shared" si="128"/>
        <v>43.922827321661345</v>
      </c>
      <c r="H272">
        <f t="shared" si="129"/>
        <v>21831.039554336217</v>
      </c>
      <c r="K272" t="s">
        <v>6</v>
      </c>
      <c r="L272">
        <v>538</v>
      </c>
      <c r="N272" s="6">
        <f t="shared" si="137"/>
        <v>98.239677994512988</v>
      </c>
      <c r="O272" s="11">
        <f t="shared" si="130"/>
        <v>24.756398854617274</v>
      </c>
      <c r="P272">
        <f t="shared" si="131"/>
        <v>21855.795953190835</v>
      </c>
      <c r="Q272" t="s">
        <v>0</v>
      </c>
      <c r="R272">
        <f t="shared" si="132"/>
        <v>68.679226176278618</v>
      </c>
    </row>
    <row r="273" spans="1:18" s="17" customFormat="1" x14ac:dyDescent="0.35">
      <c r="A273" s="17" t="s">
        <v>276</v>
      </c>
      <c r="B273" s="17" t="s">
        <v>5</v>
      </c>
      <c r="C273" s="17">
        <v>539</v>
      </c>
      <c r="E273" s="17">
        <f t="shared" si="133"/>
        <v>21855.795953190835</v>
      </c>
      <c r="F273" s="8">
        <f t="shared" si="136"/>
        <v>174.84636762552668</v>
      </c>
      <c r="G273" s="9">
        <f t="shared" si="128"/>
        <v>44.061284641632724</v>
      </c>
      <c r="H273" s="17">
        <f t="shared" si="129"/>
        <v>21899.857237832468</v>
      </c>
      <c r="K273" s="17" t="s">
        <v>6</v>
      </c>
      <c r="L273" s="17">
        <v>540</v>
      </c>
      <c r="M273"/>
      <c r="N273" s="6">
        <f t="shared" si="137"/>
        <v>98.549357570246116</v>
      </c>
      <c r="O273" s="11">
        <f t="shared" si="130"/>
        <v>24.83443810770202</v>
      </c>
      <c r="P273" s="17">
        <f t="shared" si="131"/>
        <v>21924.691675940168</v>
      </c>
      <c r="R273" s="17">
        <f t="shared" si="132"/>
        <v>68.895722749334738</v>
      </c>
    </row>
    <row r="274" spans="1:18" s="9" customFormat="1" x14ac:dyDescent="0.35">
      <c r="A274" s="9" t="s">
        <v>277</v>
      </c>
      <c r="B274" s="9" t="s">
        <v>5</v>
      </c>
      <c r="C274" s="9">
        <v>541</v>
      </c>
      <c r="D274" s="18">
        <v>8.9999999999999993E-3</v>
      </c>
      <c r="E274" s="9">
        <f t="shared" si="133"/>
        <v>21924.691675940168</v>
      </c>
      <c r="F274" s="19">
        <f t="shared" ref="F274:F278" si="138">E274*0.9%</f>
        <v>197.32222508346155</v>
      </c>
      <c r="G274" s="9">
        <f t="shared" si="128"/>
        <v>49.725200721032309</v>
      </c>
      <c r="H274" s="9">
        <f t="shared" si="129"/>
        <v>21974.416876661202</v>
      </c>
      <c r="K274" s="9" t="s">
        <v>6</v>
      </c>
      <c r="L274" s="9">
        <v>542</v>
      </c>
      <c r="M274" s="7">
        <v>5.5000000000064797E-3</v>
      </c>
      <c r="N274" s="9">
        <f>H274*0.55%</f>
        <v>120.85929282163663</v>
      </c>
      <c r="O274" s="11">
        <f t="shared" si="130"/>
        <v>30.45654179105243</v>
      </c>
      <c r="P274" s="9">
        <f t="shared" si="131"/>
        <v>22004.873418452255</v>
      </c>
      <c r="R274" s="9">
        <f t="shared" si="132"/>
        <v>80.181742512084739</v>
      </c>
    </row>
    <row r="275" spans="1:18" x14ac:dyDescent="0.35">
      <c r="A275" t="s">
        <v>278</v>
      </c>
      <c r="B275" t="s">
        <v>5</v>
      </c>
      <c r="C275">
        <v>543</v>
      </c>
      <c r="E275">
        <f t="shared" si="133"/>
        <v>22004.873418452255</v>
      </c>
      <c r="F275" s="19">
        <f t="shared" si="138"/>
        <v>198.04386076607031</v>
      </c>
      <c r="G275" s="9">
        <f t="shared" si="128"/>
        <v>49.907052913049718</v>
      </c>
      <c r="H275">
        <f t="shared" si="129"/>
        <v>22054.780471365306</v>
      </c>
      <c r="K275" t="s">
        <v>6</v>
      </c>
      <c r="L275">
        <v>544</v>
      </c>
      <c r="N275" s="9">
        <f t="shared" ref="N275:N278" si="139">H275*0.55%</f>
        <v>121.3012925925092</v>
      </c>
      <c r="O275" s="11">
        <f t="shared" si="130"/>
        <v>30.567925733312318</v>
      </c>
      <c r="P275">
        <f t="shared" si="131"/>
        <v>22085.34839709862</v>
      </c>
      <c r="R275">
        <f t="shared" si="132"/>
        <v>80.474978646362032</v>
      </c>
    </row>
    <row r="276" spans="1:18" x14ac:dyDescent="0.35">
      <c r="A276" t="s">
        <v>279</v>
      </c>
      <c r="B276" t="s">
        <v>5</v>
      </c>
      <c r="C276">
        <v>545</v>
      </c>
      <c r="E276">
        <f t="shared" si="133"/>
        <v>22085.34839709862</v>
      </c>
      <c r="F276" s="19">
        <f t="shared" si="138"/>
        <v>198.76813557388761</v>
      </c>
      <c r="G276" s="9">
        <f t="shared" si="128"/>
        <v>50.08957016461968</v>
      </c>
      <c r="H276">
        <f t="shared" si="129"/>
        <v>22135.437967263239</v>
      </c>
      <c r="K276" t="s">
        <v>6</v>
      </c>
      <c r="L276">
        <v>546</v>
      </c>
      <c r="N276" s="9">
        <f t="shared" si="139"/>
        <v>121.74490881994782</v>
      </c>
      <c r="O276" s="11">
        <f t="shared" si="130"/>
        <v>30.679717022626853</v>
      </c>
      <c r="P276">
        <f t="shared" si="131"/>
        <v>22166.117684285866</v>
      </c>
      <c r="Q276" t="s">
        <v>0</v>
      </c>
      <c r="R276">
        <f t="shared" si="132"/>
        <v>80.769287187246533</v>
      </c>
    </row>
    <row r="277" spans="1:18" x14ac:dyDescent="0.35">
      <c r="A277" t="s">
        <v>280</v>
      </c>
      <c r="B277" t="s">
        <v>5</v>
      </c>
      <c r="C277">
        <v>546</v>
      </c>
      <c r="E277">
        <f t="shared" si="133"/>
        <v>22166.117684285866</v>
      </c>
      <c r="F277" s="19">
        <f t="shared" si="138"/>
        <v>199.49505915857281</v>
      </c>
      <c r="G277" s="9">
        <f t="shared" si="128"/>
        <v>50.272754907960348</v>
      </c>
      <c r="H277">
        <f t="shared" si="129"/>
        <v>22216.390439193827</v>
      </c>
      <c r="K277" t="s">
        <v>6</v>
      </c>
      <c r="L277">
        <v>547</v>
      </c>
      <c r="N277" s="9">
        <f t="shared" si="139"/>
        <v>122.19014741556606</v>
      </c>
      <c r="O277" s="11">
        <f t="shared" si="130"/>
        <v>30.791917148722646</v>
      </c>
      <c r="P277">
        <f t="shared" si="131"/>
        <v>22247.18235634255</v>
      </c>
      <c r="Q277" t="s">
        <v>0</v>
      </c>
      <c r="R277">
        <f t="shared" si="132"/>
        <v>81.064672056682994</v>
      </c>
    </row>
    <row r="278" spans="1:18" x14ac:dyDescent="0.35">
      <c r="A278" t="s">
        <v>281</v>
      </c>
      <c r="B278" t="s">
        <v>5</v>
      </c>
      <c r="C278">
        <v>547</v>
      </c>
      <c r="E278">
        <f t="shared" si="133"/>
        <v>22247.18235634255</v>
      </c>
      <c r="F278" s="19">
        <f t="shared" si="138"/>
        <v>200.22464120708298</v>
      </c>
      <c r="G278" s="9">
        <f t="shared" si="128"/>
        <v>50.45660958418491</v>
      </c>
      <c r="H278">
        <f t="shared" si="129"/>
        <v>22297.638965926733</v>
      </c>
      <c r="K278" t="s">
        <v>6</v>
      </c>
      <c r="L278">
        <v>548</v>
      </c>
      <c r="N278" s="9">
        <f t="shared" si="139"/>
        <v>122.63701431259705</v>
      </c>
      <c r="O278" s="11">
        <f t="shared" si="130"/>
        <v>30.904527606774455</v>
      </c>
      <c r="P278">
        <f t="shared" si="131"/>
        <v>22328.543493533507</v>
      </c>
      <c r="Q278" t="s">
        <v>0</v>
      </c>
      <c r="R278">
        <f t="shared" si="132"/>
        <v>81.361137190959369</v>
      </c>
    </row>
    <row r="279" spans="1:18" s="6" customFormat="1" x14ac:dyDescent="0.35">
      <c r="A279" s="6" t="s">
        <v>282</v>
      </c>
      <c r="B279" s="6" t="s">
        <v>5</v>
      </c>
      <c r="C279" s="6">
        <v>548</v>
      </c>
      <c r="D279" s="7">
        <v>8.0000000000000002E-3</v>
      </c>
      <c r="E279" s="6">
        <f t="shared" si="133"/>
        <v>22328.543493533507</v>
      </c>
      <c r="F279" s="8">
        <f>E279*0.8%</f>
        <v>178.62834794826807</v>
      </c>
      <c r="G279" s="9">
        <f t="shared" si="128"/>
        <v>45.014343682963556</v>
      </c>
      <c r="H279" s="6">
        <f t="shared" si="129"/>
        <v>22373.557837216471</v>
      </c>
      <c r="K279" s="6" t="s">
        <v>6</v>
      </c>
      <c r="L279" s="6">
        <v>549</v>
      </c>
      <c r="M279" s="7">
        <v>4.5000000000086403E-3</v>
      </c>
      <c r="N279" s="6">
        <f>H279*0.45%</f>
        <v>100.68101026747414</v>
      </c>
      <c r="O279" s="11">
        <f t="shared" si="130"/>
        <v>25.371614587403482</v>
      </c>
      <c r="P279" s="6">
        <f t="shared" si="131"/>
        <v>22398.929451803873</v>
      </c>
      <c r="Q279" s="6" t="s">
        <v>0</v>
      </c>
      <c r="R279" s="6">
        <f t="shared" si="132"/>
        <v>70.385958270367041</v>
      </c>
    </row>
    <row r="280" spans="1:18" x14ac:dyDescent="0.35">
      <c r="A280" t="s">
        <v>283</v>
      </c>
      <c r="B280" t="s">
        <v>5</v>
      </c>
      <c r="C280">
        <v>549</v>
      </c>
      <c r="E280">
        <f t="shared" si="133"/>
        <v>22398.929451803873</v>
      </c>
      <c r="F280" s="8">
        <f t="shared" ref="F280:F283" si="140">E280*0.8%</f>
        <v>179.19143561443099</v>
      </c>
      <c r="G280" s="9">
        <f t="shared" si="128"/>
        <v>45.156241774836609</v>
      </c>
      <c r="H280">
        <f t="shared" si="129"/>
        <v>22444.085693578709</v>
      </c>
      <c r="K280" t="s">
        <v>6</v>
      </c>
      <c r="L280">
        <v>550</v>
      </c>
      <c r="N280" s="6">
        <f t="shared" ref="N280:N283" si="141">H280*0.45%</f>
        <v>100.99838562110421</v>
      </c>
      <c r="O280" s="11">
        <f t="shared" si="130"/>
        <v>25.451593176518259</v>
      </c>
      <c r="P280">
        <f t="shared" si="131"/>
        <v>22469.537286755229</v>
      </c>
      <c r="Q280" t="s">
        <v>0</v>
      </c>
      <c r="R280">
        <f t="shared" si="132"/>
        <v>70.607834951354874</v>
      </c>
    </row>
    <row r="281" spans="1:18" x14ac:dyDescent="0.35">
      <c r="A281" t="s">
        <v>284</v>
      </c>
      <c r="B281" t="s">
        <v>5</v>
      </c>
      <c r="C281">
        <v>550</v>
      </c>
      <c r="E281">
        <f t="shared" si="133"/>
        <v>22469.537286755229</v>
      </c>
      <c r="F281" s="8">
        <f t="shared" si="140"/>
        <v>179.75629829404184</v>
      </c>
      <c r="G281" s="9">
        <f t="shared" si="128"/>
        <v>45.298587170098543</v>
      </c>
      <c r="H281">
        <f t="shared" si="129"/>
        <v>22514.835873925327</v>
      </c>
      <c r="K281" t="s">
        <v>6</v>
      </c>
      <c r="L281">
        <v>551</v>
      </c>
      <c r="N281" s="6">
        <f t="shared" si="141"/>
        <v>101.31676143266398</v>
      </c>
      <c r="O281" s="11">
        <f t="shared" si="130"/>
        <v>25.531823881031322</v>
      </c>
      <c r="P281">
        <f t="shared" si="131"/>
        <v>22540.36769780636</v>
      </c>
      <c r="Q281" t="s">
        <v>0</v>
      </c>
      <c r="R281">
        <f t="shared" si="132"/>
        <v>70.830411051129857</v>
      </c>
    </row>
    <row r="282" spans="1:18" x14ac:dyDescent="0.35">
      <c r="A282" t="s">
        <v>285</v>
      </c>
      <c r="B282" t="s">
        <v>5</v>
      </c>
      <c r="C282">
        <v>551</v>
      </c>
      <c r="E282">
        <f t="shared" si="133"/>
        <v>22540.36769780636</v>
      </c>
      <c r="F282" s="8">
        <f t="shared" si="140"/>
        <v>180.32294158245088</v>
      </c>
      <c r="G282" s="9">
        <f t="shared" si="128"/>
        <v>45.441381278777619</v>
      </c>
      <c r="H282">
        <f t="shared" si="129"/>
        <v>22585.809079085138</v>
      </c>
      <c r="K282" t="s">
        <v>6</v>
      </c>
      <c r="L282">
        <v>552</v>
      </c>
      <c r="N282" s="6">
        <f t="shared" si="141"/>
        <v>101.63614085588314</v>
      </c>
      <c r="O282" s="11">
        <f t="shared" si="130"/>
        <v>25.61230749568255</v>
      </c>
      <c r="P282">
        <f t="shared" si="131"/>
        <v>22611.42138658082</v>
      </c>
      <c r="Q282" t="s">
        <v>0</v>
      </c>
      <c r="R282">
        <f t="shared" si="132"/>
        <v>71.05368877446017</v>
      </c>
    </row>
    <row r="283" spans="1:18" x14ac:dyDescent="0.35">
      <c r="A283" t="s">
        <v>286</v>
      </c>
      <c r="B283" t="s">
        <v>5</v>
      </c>
      <c r="C283">
        <v>552</v>
      </c>
      <c r="E283">
        <f t="shared" si="133"/>
        <v>22611.42138658082</v>
      </c>
      <c r="F283" s="8">
        <f t="shared" si="140"/>
        <v>180.89137109264655</v>
      </c>
      <c r="G283" s="9">
        <f t="shared" si="128"/>
        <v>45.584625515346929</v>
      </c>
      <c r="H283">
        <f t="shared" si="129"/>
        <v>22657.006012096168</v>
      </c>
      <c r="K283" t="s">
        <v>6</v>
      </c>
      <c r="L283">
        <v>553</v>
      </c>
      <c r="N283" s="6">
        <f t="shared" si="141"/>
        <v>101.95652705443277</v>
      </c>
      <c r="O283" s="11">
        <f t="shared" si="130"/>
        <v>25.693044817717059</v>
      </c>
      <c r="P283">
        <f t="shared" si="131"/>
        <v>22682.699056913883</v>
      </c>
      <c r="Q283" t="s">
        <v>0</v>
      </c>
      <c r="R283">
        <f t="shared" si="132"/>
        <v>71.27767033306398</v>
      </c>
    </row>
    <row r="284" spans="1:18" s="6" customFormat="1" x14ac:dyDescent="0.35">
      <c r="A284" s="6" t="s">
        <v>287</v>
      </c>
      <c r="B284" s="6" t="s">
        <v>5</v>
      </c>
      <c r="C284" s="6">
        <v>553</v>
      </c>
      <c r="D284" s="7">
        <v>7.0000000000000001E-3</v>
      </c>
      <c r="E284" s="6">
        <f t="shared" si="133"/>
        <v>22682.699056913883</v>
      </c>
      <c r="F284" s="8">
        <f>E284*0.7%</f>
        <v>158.77889339839717</v>
      </c>
      <c r="G284" s="9">
        <f t="shared" si="128"/>
        <v>40.012281136396091</v>
      </c>
      <c r="H284" s="6">
        <f t="shared" si="129"/>
        <v>22722.711338050278</v>
      </c>
      <c r="K284" s="6" t="s">
        <v>6</v>
      </c>
      <c r="L284" s="6">
        <v>554</v>
      </c>
      <c r="M284" s="7">
        <v>3.5000000000108E-3</v>
      </c>
      <c r="N284" s="6">
        <f>H284*0.35%</f>
        <v>79.529489683175967</v>
      </c>
      <c r="O284" s="11">
        <f t="shared" si="130"/>
        <v>20.041431400160345</v>
      </c>
      <c r="P284" s="6">
        <f t="shared" si="131"/>
        <v>22742.752769450439</v>
      </c>
      <c r="Q284" s="6" t="s">
        <v>0</v>
      </c>
      <c r="R284" s="6">
        <f t="shared" si="132"/>
        <v>60.053712536556432</v>
      </c>
    </row>
    <row r="285" spans="1:18" x14ac:dyDescent="0.35">
      <c r="A285" t="s">
        <v>288</v>
      </c>
      <c r="B285" t="s">
        <v>5</v>
      </c>
      <c r="C285">
        <v>554</v>
      </c>
      <c r="E285">
        <f t="shared" si="133"/>
        <v>22742.752769450439</v>
      </c>
      <c r="F285" s="8">
        <f t="shared" ref="F285:F288" si="142">E285*0.7%</f>
        <v>159.19926938615305</v>
      </c>
      <c r="G285" s="9">
        <f t="shared" si="128"/>
        <v>40.118215885310569</v>
      </c>
      <c r="H285">
        <f t="shared" si="129"/>
        <v>22782.87098533575</v>
      </c>
      <c r="K285" t="s">
        <v>6</v>
      </c>
      <c r="L285">
        <v>555</v>
      </c>
      <c r="N285" s="6">
        <f t="shared" ref="N285:N288" si="143">H285*0.35%</f>
        <v>79.740048448675125</v>
      </c>
      <c r="O285" s="11">
        <f t="shared" si="130"/>
        <v>20.094492209066132</v>
      </c>
      <c r="P285">
        <f t="shared" si="131"/>
        <v>22802.965477544818</v>
      </c>
      <c r="Q285" t="s">
        <v>0</v>
      </c>
      <c r="R285">
        <f t="shared" si="132"/>
        <v>60.212708094376701</v>
      </c>
    </row>
    <row r="286" spans="1:18" x14ac:dyDescent="0.35">
      <c r="A286" t="s">
        <v>289</v>
      </c>
      <c r="B286" t="s">
        <v>5</v>
      </c>
      <c r="C286">
        <v>555</v>
      </c>
      <c r="E286">
        <f t="shared" si="133"/>
        <v>22802.965477544818</v>
      </c>
      <c r="F286" s="8">
        <f t="shared" si="142"/>
        <v>159.6207583428137</v>
      </c>
      <c r="G286" s="9">
        <f t="shared" si="128"/>
        <v>40.224431102389055</v>
      </c>
      <c r="H286">
        <f t="shared" si="129"/>
        <v>22843.189908647208</v>
      </c>
      <c r="K286" t="s">
        <v>6</v>
      </c>
      <c r="L286">
        <v>556</v>
      </c>
      <c r="N286" s="6">
        <f t="shared" si="143"/>
        <v>79.951164680265222</v>
      </c>
      <c r="O286" s="11">
        <f t="shared" si="130"/>
        <v>20.147693499426836</v>
      </c>
      <c r="P286">
        <f t="shared" si="131"/>
        <v>22863.337602146636</v>
      </c>
      <c r="Q286" t="s">
        <v>0</v>
      </c>
      <c r="R286">
        <f t="shared" si="132"/>
        <v>60.372124601815891</v>
      </c>
    </row>
    <row r="287" spans="1:18" x14ac:dyDescent="0.35">
      <c r="A287" t="s">
        <v>290</v>
      </c>
      <c r="B287" t="s">
        <v>5</v>
      </c>
      <c r="C287">
        <v>556</v>
      </c>
      <c r="E287">
        <f t="shared" si="133"/>
        <v>22863.337602146636</v>
      </c>
      <c r="F287" s="8">
        <f t="shared" si="142"/>
        <v>160.04336321502643</v>
      </c>
      <c r="G287" s="9">
        <f t="shared" si="128"/>
        <v>40.330927530186663</v>
      </c>
      <c r="H287">
        <f t="shared" si="129"/>
        <v>22903.668529676823</v>
      </c>
      <c r="K287" t="s">
        <v>6</v>
      </c>
      <c r="L287">
        <v>557</v>
      </c>
      <c r="N287" s="6">
        <f t="shared" si="143"/>
        <v>80.162839853868874</v>
      </c>
      <c r="O287" s="11">
        <f t="shared" si="130"/>
        <v>20.201035643174958</v>
      </c>
      <c r="P287">
        <f t="shared" si="131"/>
        <v>22923.869565319997</v>
      </c>
      <c r="Q287" t="s">
        <v>0</v>
      </c>
      <c r="R287">
        <f t="shared" si="132"/>
        <v>60.531963173361618</v>
      </c>
    </row>
    <row r="288" spans="1:18" x14ac:dyDescent="0.35">
      <c r="A288" t="s">
        <v>291</v>
      </c>
      <c r="B288" t="s">
        <v>5</v>
      </c>
      <c r="C288">
        <v>557</v>
      </c>
      <c r="E288">
        <f t="shared" si="133"/>
        <v>22923.869565319997</v>
      </c>
      <c r="F288" s="8">
        <f t="shared" si="142"/>
        <v>160.46708695723996</v>
      </c>
      <c r="G288" s="9">
        <f t="shared" si="128"/>
        <v>40.43770591322447</v>
      </c>
      <c r="H288">
        <f t="shared" si="129"/>
        <v>22964.307271233221</v>
      </c>
      <c r="K288" t="s">
        <v>6</v>
      </c>
      <c r="L288">
        <v>558</v>
      </c>
      <c r="N288" s="6">
        <f t="shared" si="143"/>
        <v>80.37507544931627</v>
      </c>
      <c r="O288" s="11">
        <f t="shared" si="130"/>
        <v>20.2545190132277</v>
      </c>
      <c r="P288">
        <f t="shared" si="131"/>
        <v>22984.561790246447</v>
      </c>
      <c r="Q288" t="s">
        <v>0</v>
      </c>
      <c r="R288">
        <f t="shared" si="132"/>
        <v>60.69222492645217</v>
      </c>
    </row>
    <row r="289" spans="1:18" s="6" customFormat="1" x14ac:dyDescent="0.35">
      <c r="A289" s="6" t="s">
        <v>292</v>
      </c>
      <c r="B289" s="6" t="s">
        <v>5</v>
      </c>
      <c r="C289" s="6">
        <v>558</v>
      </c>
      <c r="D289" s="7">
        <v>6.0000000000000001E-3</v>
      </c>
      <c r="E289" s="6">
        <f t="shared" si="133"/>
        <v>22984.561790246447</v>
      </c>
      <c r="F289" s="8">
        <f>E289*0.6%</f>
        <v>137.9073707414787</v>
      </c>
      <c r="G289" s="9">
        <f t="shared" si="128"/>
        <v>34.752657426852636</v>
      </c>
      <c r="H289" s="6">
        <f t="shared" si="129"/>
        <v>23019.3144476733</v>
      </c>
      <c r="K289" s="6" t="s">
        <v>12</v>
      </c>
      <c r="L289" s="6">
        <v>559</v>
      </c>
      <c r="M289" s="7">
        <v>7.0000000000000001E-3</v>
      </c>
      <c r="N289" s="6">
        <f>H289*0.7%</f>
        <v>161.13520113371308</v>
      </c>
      <c r="O289" s="11">
        <f t="shared" si="130"/>
        <v>40.606070685695698</v>
      </c>
      <c r="P289" s="6">
        <f t="shared" si="131"/>
        <v>23059.920518358995</v>
      </c>
      <c r="Q289" s="6" t="s">
        <v>0</v>
      </c>
      <c r="R289" s="6">
        <f t="shared" si="132"/>
        <v>75.358728112548334</v>
      </c>
    </row>
    <row r="290" spans="1:18" x14ac:dyDescent="0.35">
      <c r="A290" t="s">
        <v>293</v>
      </c>
      <c r="B290" t="s">
        <v>5</v>
      </c>
      <c r="C290">
        <v>559</v>
      </c>
      <c r="E290">
        <f t="shared" si="133"/>
        <v>23059.920518358995</v>
      </c>
      <c r="F290" s="8">
        <f t="shared" ref="F290:F293" si="144">E290*0.6%</f>
        <v>138.35952311015396</v>
      </c>
      <c r="G290" s="9">
        <f t="shared" si="128"/>
        <v>34.866599823758797</v>
      </c>
      <c r="H290">
        <f t="shared" si="129"/>
        <v>23094.787118182754</v>
      </c>
      <c r="K290" t="s">
        <v>12</v>
      </c>
      <c r="L290">
        <v>560</v>
      </c>
      <c r="N290" s="6">
        <f t="shared" ref="N290:N293" si="145">H290*0.7%</f>
        <v>161.66350982727926</v>
      </c>
      <c r="O290" s="11">
        <f t="shared" si="130"/>
        <v>40.73920447647437</v>
      </c>
      <c r="P290">
        <f t="shared" si="131"/>
        <v>23135.526322659229</v>
      </c>
      <c r="Q290" t="s">
        <v>0</v>
      </c>
      <c r="R290">
        <f t="shared" si="132"/>
        <v>75.60580430023316</v>
      </c>
    </row>
    <row r="291" spans="1:18" x14ac:dyDescent="0.35">
      <c r="A291" t="s">
        <v>294</v>
      </c>
      <c r="B291" t="s">
        <v>5</v>
      </c>
      <c r="C291">
        <v>560</v>
      </c>
      <c r="E291">
        <f t="shared" si="133"/>
        <v>23135.526322659229</v>
      </c>
      <c r="F291" s="8">
        <f t="shared" si="144"/>
        <v>138.81315793595539</v>
      </c>
      <c r="G291" s="9">
        <f t="shared" si="128"/>
        <v>34.98091579986076</v>
      </c>
      <c r="H291">
        <f t="shared" si="129"/>
        <v>23170.507238459089</v>
      </c>
      <c r="K291" t="s">
        <v>12</v>
      </c>
      <c r="L291">
        <v>561</v>
      </c>
      <c r="N291" s="6">
        <f t="shared" si="145"/>
        <v>162.19355066921361</v>
      </c>
      <c r="O291" s="11">
        <f t="shared" si="130"/>
        <v>40.872774768641833</v>
      </c>
      <c r="P291">
        <f t="shared" si="131"/>
        <v>23211.380013227732</v>
      </c>
      <c r="Q291" t="s">
        <v>0</v>
      </c>
      <c r="R291">
        <f t="shared" si="132"/>
        <v>75.8536905685026</v>
      </c>
    </row>
    <row r="292" spans="1:18" x14ac:dyDescent="0.35">
      <c r="A292" t="s">
        <v>295</v>
      </c>
      <c r="B292" t="s">
        <v>5</v>
      </c>
      <c r="C292">
        <v>561</v>
      </c>
      <c r="E292">
        <f t="shared" si="133"/>
        <v>23211.380013227732</v>
      </c>
      <c r="F292" s="8">
        <f t="shared" si="144"/>
        <v>139.26828007936641</v>
      </c>
      <c r="G292" s="9">
        <f t="shared" si="128"/>
        <v>35.095606580000336</v>
      </c>
      <c r="H292">
        <f t="shared" si="129"/>
        <v>23246.475619807734</v>
      </c>
      <c r="K292" t="s">
        <v>12</v>
      </c>
      <c r="L292">
        <v>562</v>
      </c>
      <c r="N292" s="6">
        <f t="shared" si="145"/>
        <v>162.72532933865412</v>
      </c>
      <c r="O292" s="11">
        <f t="shared" si="130"/>
        <v>41.006782993340842</v>
      </c>
      <c r="P292">
        <f t="shared" si="131"/>
        <v>23287.482402801073</v>
      </c>
      <c r="Q292" t="s">
        <v>0</v>
      </c>
      <c r="R292">
        <f t="shared" si="132"/>
        <v>76.102389573341185</v>
      </c>
    </row>
    <row r="293" spans="1:18" x14ac:dyDescent="0.35">
      <c r="A293" t="s">
        <v>296</v>
      </c>
      <c r="B293" t="s">
        <v>5</v>
      </c>
      <c r="C293">
        <v>562</v>
      </c>
      <c r="E293">
        <f t="shared" si="133"/>
        <v>23287.482402801073</v>
      </c>
      <c r="F293" s="8">
        <f t="shared" si="144"/>
        <v>139.72489441680645</v>
      </c>
      <c r="G293" s="9">
        <f t="shared" si="128"/>
        <v>35.210673393035222</v>
      </c>
      <c r="H293">
        <f t="shared" si="129"/>
        <v>23322.693076194108</v>
      </c>
      <c r="K293" t="s">
        <v>12</v>
      </c>
      <c r="L293">
        <v>563</v>
      </c>
      <c r="N293" s="6">
        <f t="shared" si="145"/>
        <v>163.25885153335872</v>
      </c>
      <c r="O293" s="11">
        <f t="shared" si="130"/>
        <v>41.141230586406401</v>
      </c>
      <c r="P293">
        <f t="shared" si="131"/>
        <v>23363.834306780514</v>
      </c>
      <c r="Q293" t="s">
        <v>0</v>
      </c>
      <c r="R293">
        <f t="shared" si="132"/>
        <v>76.35190397944163</v>
      </c>
    </row>
    <row r="294" spans="1:18" s="6" customFormat="1" x14ac:dyDescent="0.35">
      <c r="A294" s="6" t="s">
        <v>297</v>
      </c>
      <c r="B294" s="6" t="s">
        <v>6</v>
      </c>
      <c r="C294" s="6">
        <v>563</v>
      </c>
      <c r="D294" s="7">
        <v>5.4999999999999997E-3</v>
      </c>
      <c r="E294" s="6">
        <f t="shared" si="133"/>
        <v>23363.834306780514</v>
      </c>
      <c r="F294" s="8">
        <f t="shared" ref="F294" si="146">E294*0.9%</f>
        <v>210.27450876102466</v>
      </c>
      <c r="G294" s="9">
        <f t="shared" si="128"/>
        <v>52.989176207778215</v>
      </c>
      <c r="H294" s="6">
        <f t="shared" si="129"/>
        <v>23416.823482988293</v>
      </c>
      <c r="K294" s="6" t="s">
        <v>12</v>
      </c>
      <c r="L294" s="6">
        <v>564</v>
      </c>
      <c r="M294" s="7">
        <v>6.0000000000000001E-3</v>
      </c>
      <c r="N294" s="6">
        <f t="shared" ref="N294" si="147">H294*1%</f>
        <v>234.16823482988295</v>
      </c>
      <c r="O294" s="11">
        <f t="shared" si="130"/>
        <v>59.010395177130505</v>
      </c>
      <c r="P294" s="6">
        <f t="shared" si="131"/>
        <v>23475.833878165424</v>
      </c>
      <c r="Q294" s="6" t="s">
        <v>0</v>
      </c>
      <c r="R294" s="6">
        <f t="shared" si="132"/>
        <v>111.99957138490872</v>
      </c>
    </row>
    <row r="295" spans="1:18" x14ac:dyDescent="0.35">
      <c r="A295" t="s">
        <v>298</v>
      </c>
    </row>
    <row r="296" spans="1:18" x14ac:dyDescent="0.35">
      <c r="A296" t="s">
        <v>299</v>
      </c>
    </row>
    <row r="297" spans="1:18" x14ac:dyDescent="0.35">
      <c r="A297" t="s">
        <v>300</v>
      </c>
    </row>
    <row r="298" spans="1:18" x14ac:dyDescent="0.35">
      <c r="A298" t="s">
        <v>301</v>
      </c>
    </row>
    <row r="299" spans="1:18" x14ac:dyDescent="0.35">
      <c r="A299" t="s">
        <v>302</v>
      </c>
    </row>
    <row r="300" spans="1:18" x14ac:dyDescent="0.35">
      <c r="A300" t="s">
        <v>303</v>
      </c>
    </row>
    <row r="301" spans="1:18" x14ac:dyDescent="0.35">
      <c r="A301" t="s">
        <v>304</v>
      </c>
    </row>
    <row r="302" spans="1:18" x14ac:dyDescent="0.35">
      <c r="A302" t="s">
        <v>305</v>
      </c>
    </row>
    <row r="303" spans="1:18" x14ac:dyDescent="0.35">
      <c r="A303" s="20" t="s">
        <v>306</v>
      </c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</row>
    <row r="304" spans="1:18" x14ac:dyDescent="0.35">
      <c r="A304" t="s">
        <v>307</v>
      </c>
    </row>
    <row r="305" spans="1:1" x14ac:dyDescent="0.35">
      <c r="A305" t="s">
        <v>308</v>
      </c>
    </row>
    <row r="306" spans="1:1" x14ac:dyDescent="0.35">
      <c r="A306" t="s">
        <v>309</v>
      </c>
    </row>
    <row r="307" spans="1:1" x14ac:dyDescent="0.35">
      <c r="A307" t="s">
        <v>310</v>
      </c>
    </row>
    <row r="308" spans="1:1" x14ac:dyDescent="0.35">
      <c r="A308" t="s">
        <v>311</v>
      </c>
    </row>
    <row r="309" spans="1:1" x14ac:dyDescent="0.35">
      <c r="A309" t="s">
        <v>312</v>
      </c>
    </row>
    <row r="310" spans="1:1" x14ac:dyDescent="0.35">
      <c r="A310" t="s">
        <v>313</v>
      </c>
    </row>
    <row r="311" spans="1:1" x14ac:dyDescent="0.35">
      <c r="A311" t="s">
        <v>314</v>
      </c>
    </row>
    <row r="312" spans="1:1" x14ac:dyDescent="0.35">
      <c r="A312" t="s">
        <v>315</v>
      </c>
    </row>
    <row r="313" spans="1:1" x14ac:dyDescent="0.35">
      <c r="A313" t="s">
        <v>316</v>
      </c>
    </row>
    <row r="314" spans="1:1" x14ac:dyDescent="0.35">
      <c r="A314" t="s">
        <v>317</v>
      </c>
    </row>
    <row r="315" spans="1:1" x14ac:dyDescent="0.35">
      <c r="A315" t="s">
        <v>318</v>
      </c>
    </row>
    <row r="316" spans="1:1" x14ac:dyDescent="0.35">
      <c r="A316" t="s">
        <v>319</v>
      </c>
    </row>
    <row r="317" spans="1:1" x14ac:dyDescent="0.35">
      <c r="A317" t="s">
        <v>320</v>
      </c>
    </row>
    <row r="318" spans="1:1" x14ac:dyDescent="0.35">
      <c r="A318" t="s">
        <v>321</v>
      </c>
    </row>
    <row r="319" spans="1:1" x14ac:dyDescent="0.35">
      <c r="A319" t="s">
        <v>322</v>
      </c>
    </row>
    <row r="320" spans="1:1" x14ac:dyDescent="0.35">
      <c r="A320" t="s">
        <v>323</v>
      </c>
    </row>
    <row r="321" spans="1:18" x14ac:dyDescent="0.35">
      <c r="A321" t="s">
        <v>324</v>
      </c>
    </row>
    <row r="322" spans="1:18" x14ac:dyDescent="0.35">
      <c r="A322" t="s">
        <v>325</v>
      </c>
    </row>
    <row r="323" spans="1:18" x14ac:dyDescent="0.35">
      <c r="A323" t="s">
        <v>326</v>
      </c>
    </row>
    <row r="324" spans="1:18" x14ac:dyDescent="0.35">
      <c r="A324" t="s">
        <v>327</v>
      </c>
    </row>
    <row r="325" spans="1:18" x14ac:dyDescent="0.35">
      <c r="A325" t="s">
        <v>328</v>
      </c>
    </row>
    <row r="326" spans="1:18" x14ac:dyDescent="0.35">
      <c r="A326" t="s">
        <v>329</v>
      </c>
    </row>
    <row r="327" spans="1:18" x14ac:dyDescent="0.35">
      <c r="A327" t="s">
        <v>330</v>
      </c>
    </row>
    <row r="328" spans="1:18" x14ac:dyDescent="0.35">
      <c r="A328" t="s">
        <v>331</v>
      </c>
    </row>
    <row r="329" spans="1:18" x14ac:dyDescent="0.35">
      <c r="A329" t="s">
        <v>332</v>
      </c>
    </row>
    <row r="330" spans="1:18" x14ac:dyDescent="0.35">
      <c r="A330" t="s">
        <v>333</v>
      </c>
    </row>
    <row r="331" spans="1:18" x14ac:dyDescent="0.35">
      <c r="A331" t="s">
        <v>334</v>
      </c>
    </row>
    <row r="332" spans="1:18" x14ac:dyDescent="0.35">
      <c r="A332" t="s">
        <v>335</v>
      </c>
    </row>
    <row r="333" spans="1:18" x14ac:dyDescent="0.35">
      <c r="A333" s="20" t="s">
        <v>336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</row>
    <row r="334" spans="1:18" x14ac:dyDescent="0.35">
      <c r="A334" t="s">
        <v>337</v>
      </c>
    </row>
    <row r="335" spans="1:18" x14ac:dyDescent="0.35">
      <c r="A335" t="s">
        <v>338</v>
      </c>
    </row>
    <row r="336" spans="1:18" x14ac:dyDescent="0.35">
      <c r="A336" t="s">
        <v>339</v>
      </c>
    </row>
    <row r="337" spans="1:1" x14ac:dyDescent="0.35">
      <c r="A337" t="s">
        <v>340</v>
      </c>
    </row>
    <row r="338" spans="1:1" x14ac:dyDescent="0.35">
      <c r="A338" t="s">
        <v>341</v>
      </c>
    </row>
    <row r="339" spans="1:1" x14ac:dyDescent="0.35">
      <c r="A339" t="s">
        <v>342</v>
      </c>
    </row>
    <row r="340" spans="1:1" x14ac:dyDescent="0.35">
      <c r="A340" t="s">
        <v>343</v>
      </c>
    </row>
    <row r="341" spans="1:1" x14ac:dyDescent="0.35">
      <c r="A341" t="s">
        <v>344</v>
      </c>
    </row>
    <row r="342" spans="1:1" x14ac:dyDescent="0.35">
      <c r="A342" t="s">
        <v>345</v>
      </c>
    </row>
    <row r="343" spans="1:1" x14ac:dyDescent="0.35">
      <c r="A343" t="s">
        <v>346</v>
      </c>
    </row>
    <row r="344" spans="1:1" x14ac:dyDescent="0.35">
      <c r="A344" t="s">
        <v>347</v>
      </c>
    </row>
    <row r="345" spans="1:1" x14ac:dyDescent="0.35">
      <c r="A345" t="s">
        <v>348</v>
      </c>
    </row>
    <row r="346" spans="1:1" x14ac:dyDescent="0.35">
      <c r="A346" t="s">
        <v>349</v>
      </c>
    </row>
    <row r="347" spans="1:1" x14ac:dyDescent="0.35">
      <c r="A347" t="s">
        <v>350</v>
      </c>
    </row>
    <row r="348" spans="1:1" x14ac:dyDescent="0.35">
      <c r="A348" t="s">
        <v>351</v>
      </c>
    </row>
    <row r="349" spans="1:1" x14ac:dyDescent="0.35">
      <c r="A349" t="s">
        <v>352</v>
      </c>
    </row>
    <row r="350" spans="1:1" x14ac:dyDescent="0.35">
      <c r="A350" t="s">
        <v>353</v>
      </c>
    </row>
    <row r="351" spans="1:1" x14ac:dyDescent="0.35">
      <c r="A351" t="s">
        <v>354</v>
      </c>
    </row>
    <row r="352" spans="1:1" x14ac:dyDescent="0.35">
      <c r="A352" t="s">
        <v>355</v>
      </c>
    </row>
    <row r="353" spans="1:18" x14ac:dyDescent="0.35">
      <c r="A353" t="s">
        <v>356</v>
      </c>
    </row>
    <row r="354" spans="1:18" x14ac:dyDescent="0.35">
      <c r="A354" t="s">
        <v>357</v>
      </c>
    </row>
    <row r="355" spans="1:18" x14ac:dyDescent="0.35">
      <c r="A355" t="s">
        <v>358</v>
      </c>
    </row>
    <row r="356" spans="1:18" x14ac:dyDescent="0.35">
      <c r="A356" t="s">
        <v>359</v>
      </c>
    </row>
    <row r="357" spans="1:18" x14ac:dyDescent="0.35">
      <c r="A357" t="s">
        <v>360</v>
      </c>
    </row>
    <row r="358" spans="1:18" x14ac:dyDescent="0.35">
      <c r="A358" t="s">
        <v>361</v>
      </c>
    </row>
    <row r="359" spans="1:18" x14ac:dyDescent="0.35">
      <c r="A359" t="s">
        <v>362</v>
      </c>
    </row>
    <row r="360" spans="1:18" x14ac:dyDescent="0.35">
      <c r="A360" t="s">
        <v>363</v>
      </c>
    </row>
    <row r="361" spans="1:18" x14ac:dyDescent="0.35">
      <c r="A361" t="s">
        <v>364</v>
      </c>
    </row>
    <row r="362" spans="1:18" x14ac:dyDescent="0.35">
      <c r="A362" t="s">
        <v>365</v>
      </c>
    </row>
    <row r="363" spans="1:18" x14ac:dyDescent="0.35">
      <c r="A363" s="20" t="s">
        <v>366</v>
      </c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</row>
    <row r="364" spans="1:18" x14ac:dyDescent="0.35">
      <c r="A364" t="s">
        <v>367</v>
      </c>
    </row>
    <row r="365" spans="1:18" x14ac:dyDescent="0.35">
      <c r="A365" t="s">
        <v>368</v>
      </c>
    </row>
    <row r="366" spans="1:18" x14ac:dyDescent="0.35">
      <c r="A366" t="s">
        <v>369</v>
      </c>
    </row>
    <row r="367" spans="1:18" x14ac:dyDescent="0.35">
      <c r="A367" t="s">
        <v>370</v>
      </c>
    </row>
    <row r="368" spans="1:18" x14ac:dyDescent="0.35">
      <c r="A368" t="s">
        <v>371</v>
      </c>
    </row>
    <row r="369" spans="1:1" x14ac:dyDescent="0.35">
      <c r="A369" t="s">
        <v>372</v>
      </c>
    </row>
    <row r="370" spans="1:1" x14ac:dyDescent="0.35">
      <c r="A370" t="s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70"/>
  <sheetViews>
    <sheetView workbookViewId="0">
      <selection activeCell="A2" sqref="A2:XFD3"/>
    </sheetView>
  </sheetViews>
  <sheetFormatPr defaultRowHeight="14.5" x14ac:dyDescent="0.35"/>
  <cols>
    <col min="18" max="18" width="13.7265625" bestFit="1" customWidth="1"/>
  </cols>
  <sheetData>
    <row r="2" spans="1:18" x14ac:dyDescent="0.35">
      <c r="B2" t="s">
        <v>2379</v>
      </c>
      <c r="D2" s="1"/>
      <c r="E2" s="1" t="s">
        <v>2</v>
      </c>
      <c r="F2" s="1" t="s">
        <v>2376</v>
      </c>
      <c r="G2" s="2" t="s">
        <v>2377</v>
      </c>
      <c r="H2" s="1" t="s">
        <v>2378</v>
      </c>
      <c r="I2" s="1"/>
      <c r="J2" s="1"/>
      <c r="K2" s="1" t="s">
        <v>2381</v>
      </c>
      <c r="L2" s="1"/>
      <c r="M2" s="1"/>
      <c r="N2" s="1" t="s">
        <v>2376</v>
      </c>
      <c r="O2" s="2" t="s">
        <v>2377</v>
      </c>
      <c r="P2" s="1" t="s">
        <v>2378</v>
      </c>
      <c r="Q2" s="1"/>
      <c r="R2" s="1"/>
    </row>
    <row r="3" spans="1:18" x14ac:dyDescent="0.35">
      <c r="B3" t="s">
        <v>2380</v>
      </c>
      <c r="C3" s="3" t="s">
        <v>1</v>
      </c>
      <c r="E3" t="s">
        <v>0</v>
      </c>
      <c r="F3" s="4" t="s">
        <v>0</v>
      </c>
      <c r="G3" s="5">
        <v>0.25119999999999998</v>
      </c>
      <c r="K3" t="s">
        <v>2380</v>
      </c>
      <c r="L3" s="3" t="s">
        <v>1</v>
      </c>
      <c r="N3" s="4" t="s">
        <v>0</v>
      </c>
      <c r="O3" s="4">
        <v>0.25059999999999999</v>
      </c>
      <c r="R3" t="s">
        <v>3</v>
      </c>
    </row>
    <row r="4" spans="1:18" s="6" customFormat="1" x14ac:dyDescent="0.35">
      <c r="A4" s="6" t="s">
        <v>4</v>
      </c>
      <c r="B4" s="6" t="s">
        <v>5</v>
      </c>
      <c r="C4" s="6">
        <v>1</v>
      </c>
      <c r="D4" s="7">
        <v>1.5E-3</v>
      </c>
      <c r="E4" s="6">
        <v>22000</v>
      </c>
      <c r="F4" s="8">
        <f>E4*0.15%</f>
        <v>33</v>
      </c>
      <c r="G4" s="9">
        <f>F4*25.2%</f>
        <v>8.3160000000000007</v>
      </c>
      <c r="H4" s="6">
        <f>G4+E4</f>
        <v>22008.315999999999</v>
      </c>
      <c r="I4" s="10">
        <v>0.27</v>
      </c>
      <c r="J4" s="10"/>
      <c r="K4" s="10" t="s">
        <v>6</v>
      </c>
      <c r="L4" s="6">
        <v>2</v>
      </c>
      <c r="M4" s="7">
        <v>1E-3</v>
      </c>
      <c r="N4" s="6">
        <f>H4*0.1%</f>
        <v>22.008316000000001</v>
      </c>
      <c r="O4" s="11">
        <f>N4*25.2%</f>
        <v>5.5460956320000001</v>
      </c>
      <c r="P4" s="6">
        <f>O4+H4</f>
        <v>22013.862095631997</v>
      </c>
      <c r="Q4" s="12">
        <v>0.35</v>
      </c>
      <c r="R4" s="6">
        <f>O4+G4</f>
        <v>13.862095632000001</v>
      </c>
    </row>
    <row r="5" spans="1:18" x14ac:dyDescent="0.35">
      <c r="A5" t="s">
        <v>7</v>
      </c>
      <c r="B5" t="s">
        <v>5</v>
      </c>
      <c r="C5">
        <v>3</v>
      </c>
      <c r="E5">
        <f>P4</f>
        <v>22013.862095631997</v>
      </c>
      <c r="F5" s="8">
        <f t="shared" ref="F5:F8" si="0">E5*0.15%</f>
        <v>33.020793143447996</v>
      </c>
      <c r="G5" s="9">
        <f t="shared" ref="G5:G68" si="1">F5*25.2%</f>
        <v>8.3212398721488956</v>
      </c>
      <c r="H5">
        <f t="shared" ref="H5:H68" si="2">G5+E5</f>
        <v>22022.183335504145</v>
      </c>
      <c r="K5" t="s">
        <v>6</v>
      </c>
      <c r="L5">
        <v>4</v>
      </c>
      <c r="N5" s="6">
        <f t="shared" ref="N5:N8" si="3">H5*0.1%</f>
        <v>22.022183335504145</v>
      </c>
      <c r="O5" s="11">
        <f t="shared" ref="O5:O68" si="4">N5*25.2%</f>
        <v>5.549590200547045</v>
      </c>
      <c r="P5">
        <f t="shared" ref="P5:P68" si="5">O5+H5</f>
        <v>22027.732925704691</v>
      </c>
      <c r="R5">
        <f t="shared" ref="R5:R68" si="6">O5+G5</f>
        <v>13.870830072695941</v>
      </c>
    </row>
    <row r="6" spans="1:18" x14ac:dyDescent="0.35">
      <c r="A6" t="s">
        <v>8</v>
      </c>
      <c r="B6" t="s">
        <v>5</v>
      </c>
      <c r="C6">
        <v>5</v>
      </c>
      <c r="E6">
        <f t="shared" ref="E6:E69" si="7">P5</f>
        <v>22027.732925704691</v>
      </c>
      <c r="F6" s="8">
        <f t="shared" si="0"/>
        <v>33.041599388557039</v>
      </c>
      <c r="G6" s="9">
        <f t="shared" si="1"/>
        <v>8.3264830459163743</v>
      </c>
      <c r="H6">
        <f t="shared" si="2"/>
        <v>22036.059408750607</v>
      </c>
      <c r="K6" t="s">
        <v>6</v>
      </c>
      <c r="L6">
        <v>6</v>
      </c>
      <c r="N6" s="6">
        <f t="shared" si="3"/>
        <v>22.036059408750607</v>
      </c>
      <c r="O6" s="11">
        <f t="shared" si="4"/>
        <v>5.5530869710051531</v>
      </c>
      <c r="P6">
        <f t="shared" si="5"/>
        <v>22041.612495721613</v>
      </c>
      <c r="R6">
        <f t="shared" si="6"/>
        <v>13.879570016921527</v>
      </c>
    </row>
    <row r="7" spans="1:18" x14ac:dyDescent="0.35">
      <c r="A7" t="s">
        <v>9</v>
      </c>
      <c r="B7" t="s">
        <v>5</v>
      </c>
      <c r="C7">
        <v>7</v>
      </c>
      <c r="E7">
        <f t="shared" si="7"/>
        <v>22041.612495721613</v>
      </c>
      <c r="F7" s="8">
        <f t="shared" si="0"/>
        <v>33.06241874358242</v>
      </c>
      <c r="G7" s="9">
        <f t="shared" si="1"/>
        <v>8.3317295233827693</v>
      </c>
      <c r="H7">
        <f t="shared" si="2"/>
        <v>22049.944225244995</v>
      </c>
      <c r="K7" t="s">
        <v>6</v>
      </c>
      <c r="L7">
        <v>8</v>
      </c>
      <c r="N7" s="6">
        <f t="shared" si="3"/>
        <v>22.049944225244996</v>
      </c>
      <c r="O7" s="11">
        <f t="shared" si="4"/>
        <v>5.5565859447617392</v>
      </c>
      <c r="P7">
        <f t="shared" si="5"/>
        <v>22055.500811189759</v>
      </c>
      <c r="R7">
        <f t="shared" si="6"/>
        <v>13.888315468144508</v>
      </c>
    </row>
    <row r="8" spans="1:18" x14ac:dyDescent="0.35">
      <c r="A8" t="s">
        <v>10</v>
      </c>
      <c r="B8" t="s">
        <v>5</v>
      </c>
      <c r="C8">
        <v>9</v>
      </c>
      <c r="E8">
        <f t="shared" si="7"/>
        <v>22055.500811189759</v>
      </c>
      <c r="F8" s="8">
        <f t="shared" si="0"/>
        <v>33.083251216784639</v>
      </c>
      <c r="G8" s="9">
        <f t="shared" si="1"/>
        <v>8.3369793066297291</v>
      </c>
      <c r="H8">
        <f t="shared" si="2"/>
        <v>22063.837790496389</v>
      </c>
      <c r="K8" t="s">
        <v>6</v>
      </c>
      <c r="L8">
        <v>10</v>
      </c>
      <c r="N8" s="6">
        <f t="shared" si="3"/>
        <v>22.06383779049639</v>
      </c>
      <c r="O8" s="11">
        <f t="shared" si="4"/>
        <v>5.5600871232050899</v>
      </c>
      <c r="P8">
        <f t="shared" si="5"/>
        <v>22069.397877619595</v>
      </c>
      <c r="R8">
        <f t="shared" si="6"/>
        <v>13.897066429834819</v>
      </c>
    </row>
    <row r="9" spans="1:18" s="6" customFormat="1" x14ac:dyDescent="0.35">
      <c r="A9" s="6" t="s">
        <v>11</v>
      </c>
      <c r="B9" s="6" t="s">
        <v>6</v>
      </c>
      <c r="C9" s="6">
        <v>11</v>
      </c>
      <c r="D9" s="7">
        <v>5.0000000000000001E-4</v>
      </c>
      <c r="E9" s="6">
        <f t="shared" si="7"/>
        <v>22069.397877619595</v>
      </c>
      <c r="F9" s="8">
        <f>E9*0.05%</f>
        <v>11.034698938809797</v>
      </c>
      <c r="G9" s="9">
        <f t="shared" si="1"/>
        <v>2.7807441325800686</v>
      </c>
      <c r="H9" s="6">
        <f t="shared" si="2"/>
        <v>22072.178621752173</v>
      </c>
      <c r="K9" s="6" t="s">
        <v>12</v>
      </c>
      <c r="L9" s="6">
        <v>12</v>
      </c>
      <c r="M9" s="7">
        <v>2E-3</v>
      </c>
      <c r="N9" s="6">
        <f>H9*0.2%</f>
        <v>44.144357243504345</v>
      </c>
      <c r="O9" s="11">
        <f t="shared" si="4"/>
        <v>11.124378025363095</v>
      </c>
      <c r="P9" s="6">
        <f t="shared" si="5"/>
        <v>22083.302999777537</v>
      </c>
      <c r="R9" s="6">
        <f t="shared" si="6"/>
        <v>13.905122157943163</v>
      </c>
    </row>
    <row r="10" spans="1:18" x14ac:dyDescent="0.35">
      <c r="A10" t="s">
        <v>13</v>
      </c>
      <c r="B10" t="s">
        <v>6</v>
      </c>
      <c r="C10">
        <v>13</v>
      </c>
      <c r="E10">
        <f t="shared" si="7"/>
        <v>22083.302999777537</v>
      </c>
      <c r="F10" s="8">
        <f t="shared" ref="F10:F13" si="8">E10*0.05%</f>
        <v>11.041651499888768</v>
      </c>
      <c r="G10" s="9">
        <f t="shared" si="1"/>
        <v>2.7824961779719697</v>
      </c>
      <c r="H10">
        <f t="shared" si="2"/>
        <v>22086.085495955511</v>
      </c>
      <c r="K10" t="s">
        <v>12</v>
      </c>
      <c r="L10">
        <v>14</v>
      </c>
      <c r="N10" s="6">
        <f t="shared" ref="N10:N13" si="9">H10*0.2%</f>
        <v>44.172170991911024</v>
      </c>
      <c r="O10" s="11">
        <f t="shared" si="4"/>
        <v>11.131387089961578</v>
      </c>
      <c r="P10">
        <f t="shared" si="5"/>
        <v>22097.216883045472</v>
      </c>
      <c r="R10">
        <f t="shared" si="6"/>
        <v>13.913883267933548</v>
      </c>
    </row>
    <row r="11" spans="1:18" x14ac:dyDescent="0.35">
      <c r="A11" t="s">
        <v>14</v>
      </c>
      <c r="B11" t="s">
        <v>6</v>
      </c>
      <c r="C11">
        <v>15</v>
      </c>
      <c r="E11">
        <f t="shared" si="7"/>
        <v>22097.216883045472</v>
      </c>
      <c r="F11" s="8">
        <f t="shared" si="8"/>
        <v>11.048608441522736</v>
      </c>
      <c r="G11" s="9">
        <f t="shared" si="1"/>
        <v>2.7842493272637294</v>
      </c>
      <c r="H11">
        <f t="shared" si="2"/>
        <v>22100.001132372734</v>
      </c>
      <c r="K11" t="s">
        <v>12</v>
      </c>
      <c r="L11">
        <v>16</v>
      </c>
      <c r="N11" s="6">
        <f t="shared" si="9"/>
        <v>44.200002264745471</v>
      </c>
      <c r="O11" s="11">
        <f t="shared" si="4"/>
        <v>11.138400570715859</v>
      </c>
      <c r="P11">
        <f t="shared" si="5"/>
        <v>22111.139532943449</v>
      </c>
      <c r="R11">
        <f t="shared" si="6"/>
        <v>13.922649897979589</v>
      </c>
    </row>
    <row r="12" spans="1:18" x14ac:dyDescent="0.35">
      <c r="A12" t="s">
        <v>15</v>
      </c>
      <c r="B12" t="s">
        <v>6</v>
      </c>
      <c r="C12">
        <v>17</v>
      </c>
      <c r="E12">
        <f t="shared" si="7"/>
        <v>22111.139532943449</v>
      </c>
      <c r="F12" s="8">
        <f t="shared" si="8"/>
        <v>11.055569766471725</v>
      </c>
      <c r="G12" s="9">
        <f t="shared" si="1"/>
        <v>2.786003581150875</v>
      </c>
      <c r="H12">
        <f t="shared" si="2"/>
        <v>22113.925536524599</v>
      </c>
      <c r="K12" t="s">
        <v>12</v>
      </c>
      <c r="L12">
        <v>18</v>
      </c>
      <c r="N12" s="6">
        <f t="shared" si="9"/>
        <v>44.227851073049202</v>
      </c>
      <c r="O12" s="11">
        <f t="shared" si="4"/>
        <v>11.1454184704084</v>
      </c>
      <c r="P12">
        <f t="shared" si="5"/>
        <v>22125.070954995008</v>
      </c>
      <c r="R12">
        <f t="shared" si="6"/>
        <v>13.931422051559274</v>
      </c>
    </row>
    <row r="13" spans="1:18" x14ac:dyDescent="0.35">
      <c r="A13" t="s">
        <v>16</v>
      </c>
      <c r="B13" t="s">
        <v>6</v>
      </c>
      <c r="C13">
        <v>19</v>
      </c>
      <c r="E13">
        <f t="shared" si="7"/>
        <v>22125.070954995008</v>
      </c>
      <c r="F13" s="8">
        <f t="shared" si="8"/>
        <v>11.062535477497503</v>
      </c>
      <c r="G13" s="9">
        <f t="shared" si="1"/>
        <v>2.787758940329371</v>
      </c>
      <c r="H13">
        <f t="shared" si="2"/>
        <v>22127.858713935337</v>
      </c>
      <c r="K13" t="s">
        <v>12</v>
      </c>
      <c r="L13">
        <v>20</v>
      </c>
      <c r="N13" s="6">
        <f t="shared" si="9"/>
        <v>44.255717427870671</v>
      </c>
      <c r="O13" s="11">
        <f t="shared" si="4"/>
        <v>11.152440791823409</v>
      </c>
      <c r="P13">
        <f t="shared" si="5"/>
        <v>22139.011154727159</v>
      </c>
      <c r="R13">
        <f t="shared" si="6"/>
        <v>13.940199732152781</v>
      </c>
    </row>
    <row r="14" spans="1:18" s="6" customFormat="1" x14ac:dyDescent="0.35">
      <c r="A14" s="6" t="s">
        <v>17</v>
      </c>
      <c r="B14" s="6" t="s">
        <v>6</v>
      </c>
      <c r="C14" s="6">
        <v>21</v>
      </c>
      <c r="D14" s="7">
        <v>1.5E-3</v>
      </c>
      <c r="E14" s="6">
        <f t="shared" si="7"/>
        <v>22139.011154727159</v>
      </c>
      <c r="F14" s="8">
        <f>E14*0.15%</f>
        <v>33.208516732090736</v>
      </c>
      <c r="G14" s="9">
        <f t="shared" si="1"/>
        <v>8.368546216486866</v>
      </c>
      <c r="H14" s="6">
        <f t="shared" si="2"/>
        <v>22147.379700943646</v>
      </c>
      <c r="K14" s="6" t="s">
        <v>6</v>
      </c>
      <c r="L14" s="6">
        <v>22</v>
      </c>
      <c r="M14" s="7">
        <v>1E-3</v>
      </c>
      <c r="N14" s="6">
        <f>H14*0.1%</f>
        <v>22.147379700943645</v>
      </c>
      <c r="O14" s="11">
        <f t="shared" si="4"/>
        <v>5.5811396846377983</v>
      </c>
      <c r="P14" s="6">
        <f t="shared" si="5"/>
        <v>22152.960840628282</v>
      </c>
      <c r="R14" s="6">
        <f t="shared" si="6"/>
        <v>13.949685901124663</v>
      </c>
    </row>
    <row r="15" spans="1:18" x14ac:dyDescent="0.35">
      <c r="A15" t="s">
        <v>18</v>
      </c>
      <c r="B15" t="s">
        <v>6</v>
      </c>
      <c r="C15">
        <v>23</v>
      </c>
      <c r="E15">
        <f t="shared" si="7"/>
        <v>22152.960840628282</v>
      </c>
      <c r="F15" s="8">
        <f t="shared" ref="F15:F18" si="10">E15*0.15%</f>
        <v>33.229441260942423</v>
      </c>
      <c r="G15" s="9">
        <f t="shared" si="1"/>
        <v>8.3738191977574914</v>
      </c>
      <c r="H15">
        <f t="shared" si="2"/>
        <v>22161.33465982604</v>
      </c>
      <c r="K15" t="s">
        <v>6</v>
      </c>
      <c r="L15">
        <v>24</v>
      </c>
      <c r="N15" s="6">
        <f t="shared" ref="N15:N18" si="11">H15*0.1%</f>
        <v>22.161334659826039</v>
      </c>
      <c r="O15" s="11">
        <f t="shared" si="4"/>
        <v>5.5846563342761621</v>
      </c>
      <c r="P15">
        <f t="shared" si="5"/>
        <v>22166.919316160314</v>
      </c>
      <c r="R15">
        <f t="shared" si="6"/>
        <v>13.958475532033653</v>
      </c>
    </row>
    <row r="16" spans="1:18" x14ac:dyDescent="0.35">
      <c r="A16" t="s">
        <v>19</v>
      </c>
      <c r="B16" t="s">
        <v>6</v>
      </c>
      <c r="C16">
        <v>25</v>
      </c>
      <c r="E16">
        <f t="shared" si="7"/>
        <v>22166.919316160314</v>
      </c>
      <c r="F16" s="8">
        <f t="shared" si="10"/>
        <v>33.250378974240469</v>
      </c>
      <c r="G16" s="9">
        <f t="shared" si="1"/>
        <v>8.3790955015085977</v>
      </c>
      <c r="H16">
        <f t="shared" si="2"/>
        <v>22175.298411661825</v>
      </c>
      <c r="K16" t="s">
        <v>6</v>
      </c>
      <c r="L16">
        <v>26</v>
      </c>
      <c r="N16" s="6">
        <f t="shared" si="11"/>
        <v>22.175298411661824</v>
      </c>
      <c r="O16" s="11">
        <f t="shared" si="4"/>
        <v>5.5881751997387799</v>
      </c>
      <c r="P16">
        <f t="shared" si="5"/>
        <v>22180.886586861565</v>
      </c>
      <c r="R16">
        <f t="shared" si="6"/>
        <v>13.967270701247378</v>
      </c>
    </row>
    <row r="17" spans="1:18" x14ac:dyDescent="0.35">
      <c r="A17" t="s">
        <v>20</v>
      </c>
      <c r="B17" t="s">
        <v>6</v>
      </c>
      <c r="C17">
        <v>27</v>
      </c>
      <c r="E17">
        <f t="shared" si="7"/>
        <v>22180.886586861565</v>
      </c>
      <c r="F17" s="8">
        <f t="shared" si="10"/>
        <v>33.271329880292349</v>
      </c>
      <c r="G17" s="9">
        <f t="shared" si="1"/>
        <v>8.3843751298336713</v>
      </c>
      <c r="H17">
        <f t="shared" si="2"/>
        <v>22189.270961991399</v>
      </c>
      <c r="K17" t="s">
        <v>6</v>
      </c>
      <c r="L17">
        <v>28</v>
      </c>
      <c r="N17" s="6">
        <f t="shared" si="11"/>
        <v>22.189270961991397</v>
      </c>
      <c r="O17" s="11">
        <f t="shared" si="4"/>
        <v>5.5916962824218324</v>
      </c>
      <c r="P17">
        <f t="shared" si="5"/>
        <v>22194.862658273822</v>
      </c>
      <c r="R17">
        <f t="shared" si="6"/>
        <v>13.976071412255504</v>
      </c>
    </row>
    <row r="18" spans="1:18" x14ac:dyDescent="0.35">
      <c r="A18" t="s">
        <v>21</v>
      </c>
      <c r="B18" t="s">
        <v>6</v>
      </c>
      <c r="C18">
        <v>29</v>
      </c>
      <c r="E18">
        <f t="shared" si="7"/>
        <v>22194.862658273822</v>
      </c>
      <c r="F18" s="8">
        <f t="shared" si="10"/>
        <v>33.29229398741073</v>
      </c>
      <c r="G18" s="9">
        <f t="shared" si="1"/>
        <v>8.389658084827504</v>
      </c>
      <c r="H18">
        <f t="shared" si="2"/>
        <v>22203.252316358648</v>
      </c>
      <c r="K18" t="s">
        <v>6</v>
      </c>
      <c r="L18">
        <v>30</v>
      </c>
      <c r="N18" s="6">
        <f t="shared" si="11"/>
        <v>22.20325231635865</v>
      </c>
      <c r="O18" s="11">
        <f t="shared" si="4"/>
        <v>5.5952195837223799</v>
      </c>
      <c r="P18">
        <f t="shared" si="5"/>
        <v>22208.847535942372</v>
      </c>
      <c r="R18">
        <f t="shared" si="6"/>
        <v>13.984877668549885</v>
      </c>
    </row>
    <row r="19" spans="1:18" s="6" customFormat="1" x14ac:dyDescent="0.35">
      <c r="A19" s="6" t="s">
        <v>22</v>
      </c>
      <c r="B19" s="6" t="s">
        <v>5</v>
      </c>
      <c r="C19" s="6">
        <v>31</v>
      </c>
      <c r="D19" s="7">
        <v>2E-3</v>
      </c>
      <c r="E19" s="6">
        <f t="shared" si="7"/>
        <v>22208.847535942372</v>
      </c>
      <c r="F19" s="8">
        <f>E19*0.2%</f>
        <v>44.417695071884744</v>
      </c>
      <c r="G19" s="9">
        <f t="shared" si="1"/>
        <v>11.193259158114955</v>
      </c>
      <c r="H19" s="6">
        <f t="shared" si="2"/>
        <v>22220.040795100485</v>
      </c>
      <c r="K19" s="6" t="s">
        <v>12</v>
      </c>
      <c r="L19" s="6">
        <v>32</v>
      </c>
      <c r="M19" s="7">
        <v>2.5000000000000001E-3</v>
      </c>
      <c r="N19" s="6">
        <f>H19*0.25%</f>
        <v>55.550101987751212</v>
      </c>
      <c r="O19" s="11">
        <f t="shared" si="4"/>
        <v>13.998625700913305</v>
      </c>
      <c r="P19" s="6">
        <f t="shared" si="5"/>
        <v>22234.0394208014</v>
      </c>
      <c r="R19" s="6">
        <f t="shared" si="6"/>
        <v>25.19188485902826</v>
      </c>
    </row>
    <row r="20" spans="1:18" x14ac:dyDescent="0.35">
      <c r="A20" t="s">
        <v>23</v>
      </c>
      <c r="B20" t="s">
        <v>5</v>
      </c>
      <c r="C20">
        <v>33</v>
      </c>
      <c r="E20">
        <f t="shared" si="7"/>
        <v>22234.0394208014</v>
      </c>
      <c r="F20" s="8">
        <f t="shared" ref="F20:F23" si="12">E20*0.2%</f>
        <v>44.468078841602804</v>
      </c>
      <c r="G20" s="9">
        <f t="shared" si="1"/>
        <v>11.205955868083906</v>
      </c>
      <c r="H20">
        <f t="shared" si="2"/>
        <v>22245.245376669485</v>
      </c>
      <c r="K20" t="s">
        <v>12</v>
      </c>
      <c r="L20">
        <v>34</v>
      </c>
      <c r="N20" s="6">
        <f t="shared" ref="N20:N23" si="13">H20*0.25%</f>
        <v>55.613113441673711</v>
      </c>
      <c r="O20" s="11">
        <f t="shared" si="4"/>
        <v>14.014504587301776</v>
      </c>
      <c r="P20">
        <f t="shared" si="5"/>
        <v>22259.259881256789</v>
      </c>
      <c r="R20">
        <f t="shared" si="6"/>
        <v>25.220460455385684</v>
      </c>
    </row>
    <row r="21" spans="1:18" x14ac:dyDescent="0.35">
      <c r="A21" t="s">
        <v>24</v>
      </c>
      <c r="B21" t="s">
        <v>5</v>
      </c>
      <c r="C21">
        <v>35</v>
      </c>
      <c r="E21">
        <f t="shared" si="7"/>
        <v>22259.259881256789</v>
      </c>
      <c r="F21" s="8">
        <f t="shared" si="12"/>
        <v>44.518519762513577</v>
      </c>
      <c r="G21" s="9">
        <f t="shared" si="1"/>
        <v>11.218666980153422</v>
      </c>
      <c r="H21">
        <f t="shared" si="2"/>
        <v>22270.478548236941</v>
      </c>
      <c r="K21" t="s">
        <v>12</v>
      </c>
      <c r="L21">
        <v>36</v>
      </c>
      <c r="N21" s="6">
        <f t="shared" si="13"/>
        <v>55.676196370592351</v>
      </c>
      <c r="O21" s="11">
        <f t="shared" si="4"/>
        <v>14.030401485389273</v>
      </c>
      <c r="P21">
        <f t="shared" si="5"/>
        <v>22284.508949722331</v>
      </c>
      <c r="R21">
        <f t="shared" si="6"/>
        <v>25.249068465542695</v>
      </c>
    </row>
    <row r="22" spans="1:18" x14ac:dyDescent="0.35">
      <c r="A22" t="s">
        <v>25</v>
      </c>
      <c r="B22" t="s">
        <v>5</v>
      </c>
      <c r="C22">
        <v>37</v>
      </c>
      <c r="E22">
        <f t="shared" si="7"/>
        <v>22284.508949722331</v>
      </c>
      <c r="F22" s="8">
        <f t="shared" si="12"/>
        <v>44.56901789944466</v>
      </c>
      <c r="G22" s="9">
        <f t="shared" si="1"/>
        <v>11.231392510660054</v>
      </c>
      <c r="H22">
        <f t="shared" si="2"/>
        <v>22295.740342232992</v>
      </c>
      <c r="K22" t="s">
        <v>12</v>
      </c>
      <c r="L22">
        <v>38</v>
      </c>
      <c r="N22" s="6">
        <f t="shared" si="13"/>
        <v>55.739350855582479</v>
      </c>
      <c r="O22" s="11">
        <f t="shared" si="4"/>
        <v>14.046316415606785</v>
      </c>
      <c r="P22">
        <f t="shared" si="5"/>
        <v>22309.786658648598</v>
      </c>
      <c r="R22">
        <f t="shared" si="6"/>
        <v>25.27770892626684</v>
      </c>
    </row>
    <row r="23" spans="1:18" x14ac:dyDescent="0.35">
      <c r="A23" t="s">
        <v>26</v>
      </c>
      <c r="B23" t="s">
        <v>5</v>
      </c>
      <c r="C23">
        <v>39</v>
      </c>
      <c r="E23">
        <f t="shared" si="7"/>
        <v>22309.786658648598</v>
      </c>
      <c r="F23" s="8">
        <f t="shared" si="12"/>
        <v>44.619573317297196</v>
      </c>
      <c r="G23" s="9">
        <f t="shared" si="1"/>
        <v>11.244132475958894</v>
      </c>
      <c r="H23">
        <f t="shared" si="2"/>
        <v>22321.030791124558</v>
      </c>
      <c r="K23" t="s">
        <v>12</v>
      </c>
      <c r="L23">
        <v>40</v>
      </c>
      <c r="N23" s="6">
        <f t="shared" si="13"/>
        <v>55.802576977811398</v>
      </c>
      <c r="O23" s="11">
        <f t="shared" si="4"/>
        <v>14.062249398408472</v>
      </c>
      <c r="P23">
        <f t="shared" si="5"/>
        <v>22335.093040522966</v>
      </c>
      <c r="R23">
        <f t="shared" si="6"/>
        <v>25.306381874367368</v>
      </c>
    </row>
    <row r="24" spans="1:18" s="6" customFormat="1" x14ac:dyDescent="0.35">
      <c r="A24" s="6" t="s">
        <v>27</v>
      </c>
      <c r="B24" s="6" t="s">
        <v>5</v>
      </c>
      <c r="C24" s="6">
        <v>41</v>
      </c>
      <c r="D24" s="7">
        <v>2.5000000000000001E-3</v>
      </c>
      <c r="E24" s="6">
        <f t="shared" si="7"/>
        <v>22335.093040522966</v>
      </c>
      <c r="F24" s="8">
        <f>E24*0.25%</f>
        <v>55.837732601307415</v>
      </c>
      <c r="G24" s="9">
        <f t="shared" si="1"/>
        <v>14.071108615529468</v>
      </c>
      <c r="H24" s="6">
        <f t="shared" si="2"/>
        <v>22349.164149138494</v>
      </c>
      <c r="K24" s="6" t="s">
        <v>6</v>
      </c>
      <c r="L24" s="6">
        <v>42</v>
      </c>
      <c r="M24" s="7">
        <v>2E-3</v>
      </c>
      <c r="N24" s="6">
        <f>H24*0.2%</f>
        <v>44.698328298276991</v>
      </c>
      <c r="O24" s="11">
        <f t="shared" si="4"/>
        <v>11.263978731165802</v>
      </c>
      <c r="P24" s="6">
        <f t="shared" si="5"/>
        <v>22360.428127869662</v>
      </c>
      <c r="R24" s="6">
        <f t="shared" si="6"/>
        <v>25.335087346695268</v>
      </c>
    </row>
    <row r="25" spans="1:18" x14ac:dyDescent="0.35">
      <c r="A25" t="s">
        <v>28</v>
      </c>
      <c r="B25" t="s">
        <v>5</v>
      </c>
      <c r="C25">
        <v>43</v>
      </c>
      <c r="E25">
        <f t="shared" si="7"/>
        <v>22360.428127869662</v>
      </c>
      <c r="F25" s="8">
        <f t="shared" ref="F25:F28" si="14">E25*0.25%</f>
        <v>55.901070319674155</v>
      </c>
      <c r="G25" s="9">
        <f t="shared" si="1"/>
        <v>14.087069720557887</v>
      </c>
      <c r="H25">
        <f t="shared" si="2"/>
        <v>22374.515197590219</v>
      </c>
      <c r="K25" t="s">
        <v>6</v>
      </c>
      <c r="L25">
        <v>44</v>
      </c>
      <c r="N25" s="6">
        <f t="shared" ref="N25:N28" si="15">H25*0.2%</f>
        <v>44.749030395180441</v>
      </c>
      <c r="O25" s="11">
        <f t="shared" si="4"/>
        <v>11.27675565958547</v>
      </c>
      <c r="P25">
        <f t="shared" si="5"/>
        <v>22385.791953249805</v>
      </c>
      <c r="R25">
        <f t="shared" si="6"/>
        <v>25.363825380143357</v>
      </c>
    </row>
    <row r="26" spans="1:18" x14ac:dyDescent="0.35">
      <c r="A26" t="s">
        <v>29</v>
      </c>
      <c r="B26" t="s">
        <v>5</v>
      </c>
      <c r="C26">
        <v>45</v>
      </c>
      <c r="E26">
        <f t="shared" si="7"/>
        <v>22385.791953249805</v>
      </c>
      <c r="F26" s="8">
        <f t="shared" si="14"/>
        <v>55.964479883124511</v>
      </c>
      <c r="G26" s="9">
        <f t="shared" si="1"/>
        <v>14.103048930547377</v>
      </c>
      <c r="H26">
        <f t="shared" si="2"/>
        <v>22399.895002180354</v>
      </c>
      <c r="K26" t="s">
        <v>6</v>
      </c>
      <c r="L26">
        <v>46</v>
      </c>
      <c r="N26" s="6">
        <f t="shared" si="15"/>
        <v>44.799790004360709</v>
      </c>
      <c r="O26" s="11">
        <f t="shared" si="4"/>
        <v>11.289547081098899</v>
      </c>
      <c r="P26">
        <f t="shared" si="5"/>
        <v>22411.184549261452</v>
      </c>
      <c r="R26">
        <f t="shared" si="6"/>
        <v>25.392596011646276</v>
      </c>
    </row>
    <row r="27" spans="1:18" x14ac:dyDescent="0.35">
      <c r="A27" t="s">
        <v>30</v>
      </c>
      <c r="B27" t="s">
        <v>5</v>
      </c>
      <c r="C27">
        <v>47</v>
      </c>
      <c r="E27">
        <f t="shared" si="7"/>
        <v>22411.184549261452</v>
      </c>
      <c r="F27" s="8">
        <f t="shared" si="14"/>
        <v>56.02796137315363</v>
      </c>
      <c r="G27" s="9">
        <f t="shared" si="1"/>
        <v>14.119046266034715</v>
      </c>
      <c r="H27">
        <f t="shared" si="2"/>
        <v>22425.303595527486</v>
      </c>
      <c r="K27" t="s">
        <v>6</v>
      </c>
      <c r="L27">
        <v>48</v>
      </c>
      <c r="N27" s="6">
        <f t="shared" si="15"/>
        <v>44.850607191054976</v>
      </c>
      <c r="O27" s="11">
        <f t="shared" si="4"/>
        <v>11.302353012145854</v>
      </c>
      <c r="P27">
        <f t="shared" si="5"/>
        <v>22436.605948539633</v>
      </c>
      <c r="R27">
        <f t="shared" si="6"/>
        <v>25.421399278180569</v>
      </c>
    </row>
    <row r="28" spans="1:18" x14ac:dyDescent="0.35">
      <c r="A28" t="s">
        <v>31</v>
      </c>
      <c r="B28" t="s">
        <v>5</v>
      </c>
      <c r="C28">
        <v>49</v>
      </c>
      <c r="E28">
        <f t="shared" si="7"/>
        <v>22436.605948539633</v>
      </c>
      <c r="F28" s="8">
        <f t="shared" si="14"/>
        <v>56.091514871349084</v>
      </c>
      <c r="G28" s="9">
        <f t="shared" si="1"/>
        <v>14.13506174757997</v>
      </c>
      <c r="H28">
        <f t="shared" si="2"/>
        <v>22450.741010287213</v>
      </c>
      <c r="K28" t="s">
        <v>6</v>
      </c>
      <c r="L28">
        <v>50</v>
      </c>
      <c r="N28" s="6">
        <f t="shared" si="15"/>
        <v>44.901482020574427</v>
      </c>
      <c r="O28" s="11">
        <f t="shared" si="4"/>
        <v>11.315173469184757</v>
      </c>
      <c r="P28">
        <f t="shared" si="5"/>
        <v>22462.056183756398</v>
      </c>
      <c r="R28">
        <f t="shared" si="6"/>
        <v>25.450235216764725</v>
      </c>
    </row>
    <row r="29" spans="1:18" s="6" customFormat="1" x14ac:dyDescent="0.35">
      <c r="A29" s="6" t="s">
        <v>32</v>
      </c>
      <c r="B29" s="6" t="s">
        <v>5</v>
      </c>
      <c r="C29" s="6">
        <v>51</v>
      </c>
      <c r="D29" s="7">
        <v>3.0000000000000001E-3</v>
      </c>
      <c r="E29" s="6">
        <f t="shared" si="7"/>
        <v>22462.056183756398</v>
      </c>
      <c r="F29" s="8">
        <f>E29*0.3%</f>
        <v>67.386168551269193</v>
      </c>
      <c r="G29" s="9">
        <f t="shared" si="1"/>
        <v>16.981314474919838</v>
      </c>
      <c r="H29" s="6">
        <f t="shared" si="2"/>
        <v>22479.037498231319</v>
      </c>
      <c r="K29" s="6" t="s">
        <v>12</v>
      </c>
      <c r="L29" s="6">
        <v>52</v>
      </c>
      <c r="M29" s="7">
        <v>3.5000000000000001E-3</v>
      </c>
      <c r="N29" s="6">
        <f>H29*0.35%</f>
        <v>78.676631243809609</v>
      </c>
      <c r="O29" s="11">
        <f t="shared" si="4"/>
        <v>19.82651107344002</v>
      </c>
      <c r="P29" s="6">
        <f t="shared" si="5"/>
        <v>22498.864009304758</v>
      </c>
      <c r="R29" s="6">
        <f t="shared" si="6"/>
        <v>36.807825548359858</v>
      </c>
    </row>
    <row r="30" spans="1:18" x14ac:dyDescent="0.35">
      <c r="A30" t="s">
        <v>33</v>
      </c>
      <c r="B30" t="s">
        <v>5</v>
      </c>
      <c r="C30">
        <v>53</v>
      </c>
      <c r="E30">
        <f t="shared" si="7"/>
        <v>22498.864009304758</v>
      </c>
      <c r="F30" s="8">
        <f t="shared" ref="F30:F33" si="16">E30*0.3%</f>
        <v>67.496592027914275</v>
      </c>
      <c r="G30" s="9">
        <f t="shared" si="1"/>
        <v>17.009141191034399</v>
      </c>
      <c r="H30">
        <f t="shared" si="2"/>
        <v>22515.873150495794</v>
      </c>
      <c r="K30" t="s">
        <v>12</v>
      </c>
      <c r="L30">
        <v>54</v>
      </c>
      <c r="N30" s="6">
        <f t="shared" ref="N30:N33" si="17">H30*0.35%</f>
        <v>78.805556026735275</v>
      </c>
      <c r="O30" s="11">
        <f t="shared" si="4"/>
        <v>19.859000118737288</v>
      </c>
      <c r="P30">
        <f t="shared" si="5"/>
        <v>22535.732150614531</v>
      </c>
      <c r="R30">
        <f t="shared" si="6"/>
        <v>36.868141309771687</v>
      </c>
    </row>
    <row r="31" spans="1:18" x14ac:dyDescent="0.35">
      <c r="A31" t="s">
        <v>34</v>
      </c>
      <c r="B31" t="s">
        <v>5</v>
      </c>
      <c r="C31">
        <v>55</v>
      </c>
      <c r="E31">
        <f t="shared" si="7"/>
        <v>22535.732150614531</v>
      </c>
      <c r="F31" s="8">
        <f t="shared" si="16"/>
        <v>67.607196451843592</v>
      </c>
      <c r="G31" s="9">
        <f t="shared" si="1"/>
        <v>17.037013505864586</v>
      </c>
      <c r="H31">
        <f t="shared" si="2"/>
        <v>22552.769164120396</v>
      </c>
      <c r="K31" t="s">
        <v>12</v>
      </c>
      <c r="L31">
        <v>56</v>
      </c>
      <c r="N31" s="6">
        <f t="shared" si="17"/>
        <v>78.934692074421378</v>
      </c>
      <c r="O31" s="11">
        <f t="shared" si="4"/>
        <v>19.891542402754187</v>
      </c>
      <c r="P31">
        <f t="shared" si="5"/>
        <v>22572.660706523151</v>
      </c>
      <c r="R31">
        <f t="shared" si="6"/>
        <v>36.928555908618776</v>
      </c>
    </row>
    <row r="32" spans="1:18" x14ac:dyDescent="0.35">
      <c r="A32" t="s">
        <v>35</v>
      </c>
      <c r="B32" t="s">
        <v>5</v>
      </c>
      <c r="C32">
        <v>57</v>
      </c>
      <c r="E32">
        <f t="shared" si="7"/>
        <v>22572.660706523151</v>
      </c>
      <c r="F32" s="8">
        <f t="shared" si="16"/>
        <v>67.717982119569456</v>
      </c>
      <c r="G32" s="9">
        <f t="shared" si="1"/>
        <v>17.064931494131503</v>
      </c>
      <c r="H32">
        <f t="shared" si="2"/>
        <v>22589.725638017284</v>
      </c>
      <c r="K32" t="s">
        <v>12</v>
      </c>
      <c r="L32">
        <v>58</v>
      </c>
      <c r="N32" s="6">
        <f t="shared" si="17"/>
        <v>79.064039733060483</v>
      </c>
      <c r="O32" s="11">
        <f t="shared" si="4"/>
        <v>19.924138012731241</v>
      </c>
      <c r="P32">
        <f t="shared" si="5"/>
        <v>22609.649776030015</v>
      </c>
      <c r="R32">
        <f t="shared" si="6"/>
        <v>36.989069506862748</v>
      </c>
    </row>
    <row r="33" spans="1:18" s="13" customFormat="1" x14ac:dyDescent="0.35">
      <c r="A33" s="13" t="s">
        <v>36</v>
      </c>
      <c r="B33" s="13" t="s">
        <v>5</v>
      </c>
      <c r="C33" s="13">
        <v>59</v>
      </c>
      <c r="E33" s="13">
        <f t="shared" si="7"/>
        <v>22609.649776030015</v>
      </c>
      <c r="F33" s="14">
        <f t="shared" si="16"/>
        <v>67.828949328090047</v>
      </c>
      <c r="G33" s="9">
        <f t="shared" si="1"/>
        <v>17.092895230678693</v>
      </c>
      <c r="H33" s="13">
        <f t="shared" si="2"/>
        <v>22626.742671260694</v>
      </c>
      <c r="K33" s="13" t="s">
        <v>12</v>
      </c>
      <c r="L33" s="13">
        <v>60</v>
      </c>
      <c r="N33" s="13">
        <f t="shared" si="17"/>
        <v>79.193599349412423</v>
      </c>
      <c r="O33" s="11">
        <f t="shared" si="4"/>
        <v>19.956787036051931</v>
      </c>
      <c r="P33" s="13">
        <f t="shared" si="5"/>
        <v>22646.699458296745</v>
      </c>
      <c r="R33" s="13">
        <f t="shared" si="6"/>
        <v>37.049682266730628</v>
      </c>
    </row>
    <row r="34" spans="1:18" s="6" customFormat="1" x14ac:dyDescent="0.35">
      <c r="A34" s="6" t="s">
        <v>37</v>
      </c>
      <c r="B34" s="6" t="s">
        <v>6</v>
      </c>
      <c r="C34" s="6">
        <v>61</v>
      </c>
      <c r="D34" s="7">
        <v>2.5000000000000001E-3</v>
      </c>
      <c r="E34" s="6">
        <f t="shared" si="7"/>
        <v>22646.699458296745</v>
      </c>
      <c r="F34" s="8">
        <f>E34*0.25%</f>
        <v>56.616748645741865</v>
      </c>
      <c r="G34" s="9">
        <f t="shared" si="1"/>
        <v>14.26742065872695</v>
      </c>
      <c r="H34" s="6">
        <f t="shared" si="2"/>
        <v>22660.966878955471</v>
      </c>
      <c r="I34" s="12">
        <v>0.3</v>
      </c>
      <c r="J34" s="12"/>
      <c r="K34" s="12" t="s">
        <v>12</v>
      </c>
      <c r="L34" s="6">
        <v>62</v>
      </c>
      <c r="M34" s="7">
        <v>4.0000000000000001E-3</v>
      </c>
      <c r="N34" s="6">
        <f>H34*0.3%</f>
        <v>67.982900636866418</v>
      </c>
      <c r="O34" s="11">
        <f t="shared" si="4"/>
        <v>17.131690960490339</v>
      </c>
      <c r="P34" s="6">
        <f t="shared" si="5"/>
        <v>22678.098569915961</v>
      </c>
      <c r="Q34" s="10">
        <v>0.27</v>
      </c>
      <c r="R34" s="6">
        <f t="shared" si="6"/>
        <v>31.399111619217287</v>
      </c>
    </row>
    <row r="35" spans="1:18" x14ac:dyDescent="0.35">
      <c r="A35" t="s">
        <v>38</v>
      </c>
      <c r="B35" t="s">
        <v>6</v>
      </c>
      <c r="C35">
        <v>63</v>
      </c>
      <c r="E35">
        <f t="shared" si="7"/>
        <v>22678.098569915961</v>
      </c>
      <c r="F35" s="8">
        <f t="shared" ref="F35:F38" si="18">E35*0.25%</f>
        <v>56.6952464247899</v>
      </c>
      <c r="G35" s="9">
        <f t="shared" si="1"/>
        <v>14.287202099047056</v>
      </c>
      <c r="H35">
        <f t="shared" si="2"/>
        <v>22692.385772015008</v>
      </c>
      <c r="K35" t="s">
        <v>12</v>
      </c>
      <c r="L35">
        <v>64</v>
      </c>
      <c r="N35" s="6">
        <f t="shared" ref="N35:N38" si="19">H35*0.3%</f>
        <v>68.077157316045032</v>
      </c>
      <c r="O35" s="11">
        <f t="shared" si="4"/>
        <v>17.155443643643348</v>
      </c>
      <c r="P35">
        <f t="shared" si="5"/>
        <v>22709.54121565865</v>
      </c>
      <c r="R35">
        <f t="shared" si="6"/>
        <v>31.442645742690402</v>
      </c>
    </row>
    <row r="36" spans="1:18" x14ac:dyDescent="0.35">
      <c r="A36" t="s">
        <v>39</v>
      </c>
      <c r="B36" t="s">
        <v>6</v>
      </c>
      <c r="C36">
        <v>65</v>
      </c>
      <c r="E36">
        <f t="shared" si="7"/>
        <v>22709.54121565865</v>
      </c>
      <c r="F36" s="8">
        <f t="shared" si="18"/>
        <v>56.773853039146623</v>
      </c>
      <c r="G36" s="9">
        <f t="shared" si="1"/>
        <v>14.307010965864949</v>
      </c>
      <c r="H36">
        <f t="shared" si="2"/>
        <v>22723.848226624516</v>
      </c>
      <c r="K36" t="s">
        <v>12</v>
      </c>
      <c r="L36">
        <v>66</v>
      </c>
      <c r="N36" s="6">
        <f t="shared" si="19"/>
        <v>68.171544679873548</v>
      </c>
      <c r="O36" s="11">
        <f t="shared" si="4"/>
        <v>17.179229259328135</v>
      </c>
      <c r="P36">
        <f t="shared" si="5"/>
        <v>22741.027455883843</v>
      </c>
      <c r="R36">
        <f t="shared" si="6"/>
        <v>31.486240225193086</v>
      </c>
    </row>
    <row r="37" spans="1:18" x14ac:dyDescent="0.35">
      <c r="A37" t="s">
        <v>40</v>
      </c>
      <c r="B37" t="s">
        <v>6</v>
      </c>
      <c r="C37">
        <v>67</v>
      </c>
      <c r="E37">
        <f t="shared" si="7"/>
        <v>22741.027455883843</v>
      </c>
      <c r="F37" s="8">
        <f t="shared" si="18"/>
        <v>56.852568639709609</v>
      </c>
      <c r="G37" s="9">
        <f t="shared" si="1"/>
        <v>14.326847297206822</v>
      </c>
      <c r="H37">
        <f t="shared" si="2"/>
        <v>22755.354303181051</v>
      </c>
      <c r="K37" t="s">
        <v>12</v>
      </c>
      <c r="L37">
        <v>68</v>
      </c>
      <c r="N37" s="6">
        <f t="shared" si="19"/>
        <v>68.266062909543152</v>
      </c>
      <c r="O37" s="11">
        <f t="shared" si="4"/>
        <v>17.203047853204875</v>
      </c>
      <c r="P37">
        <f t="shared" si="5"/>
        <v>22772.557351034255</v>
      </c>
      <c r="R37">
        <f t="shared" si="6"/>
        <v>31.529895150411697</v>
      </c>
    </row>
    <row r="38" spans="1:18" x14ac:dyDescent="0.35">
      <c r="A38" t="s">
        <v>41</v>
      </c>
      <c r="B38" t="s">
        <v>6</v>
      </c>
      <c r="C38">
        <v>69</v>
      </c>
      <c r="E38">
        <f t="shared" si="7"/>
        <v>22772.557351034255</v>
      </c>
      <c r="F38" s="8">
        <f t="shared" si="18"/>
        <v>56.931393377585636</v>
      </c>
      <c r="G38" s="9">
        <f t="shared" si="1"/>
        <v>14.346711131151581</v>
      </c>
      <c r="H38">
        <f t="shared" si="2"/>
        <v>22786.904062165406</v>
      </c>
      <c r="K38" t="s">
        <v>12</v>
      </c>
      <c r="L38">
        <v>70</v>
      </c>
      <c r="N38" s="6">
        <f t="shared" si="19"/>
        <v>68.360712186496215</v>
      </c>
      <c r="O38" s="11">
        <f t="shared" si="4"/>
        <v>17.226899470997047</v>
      </c>
      <c r="P38">
        <f t="shared" si="5"/>
        <v>22804.130961636401</v>
      </c>
      <c r="R38">
        <f t="shared" si="6"/>
        <v>31.573610602148626</v>
      </c>
    </row>
    <row r="39" spans="1:18" s="6" customFormat="1" x14ac:dyDescent="0.35">
      <c r="A39" s="6" t="s">
        <v>42</v>
      </c>
      <c r="B39" s="6" t="s">
        <v>5</v>
      </c>
      <c r="C39" s="6">
        <v>71</v>
      </c>
      <c r="D39" s="7">
        <v>5.0000000000000001E-3</v>
      </c>
      <c r="E39" s="6">
        <f t="shared" si="7"/>
        <v>22804.130961636401</v>
      </c>
      <c r="F39" s="8">
        <f>E39*0.5%</f>
        <v>114.02065480818202</v>
      </c>
      <c r="G39" s="9">
        <f t="shared" si="1"/>
        <v>28.73320501166187</v>
      </c>
      <c r="H39" s="6">
        <f t="shared" si="2"/>
        <v>22832.864166648062</v>
      </c>
      <c r="K39" s="6" t="s">
        <v>6</v>
      </c>
      <c r="L39" s="6">
        <v>72</v>
      </c>
      <c r="M39" s="7">
        <v>4.4999999999999997E-3</v>
      </c>
      <c r="N39" s="6">
        <f>H39*0.45%</f>
        <v>102.74788874991629</v>
      </c>
      <c r="O39" s="11">
        <f t="shared" si="4"/>
        <v>25.892467964978906</v>
      </c>
      <c r="P39" s="6">
        <f t="shared" si="5"/>
        <v>22858.756634613041</v>
      </c>
      <c r="R39" s="6">
        <f t="shared" si="6"/>
        <v>54.625672976640772</v>
      </c>
    </row>
    <row r="40" spans="1:18" x14ac:dyDescent="0.35">
      <c r="A40" t="s">
        <v>43</v>
      </c>
      <c r="B40" t="s">
        <v>5</v>
      </c>
      <c r="C40">
        <v>73</v>
      </c>
      <c r="E40">
        <f t="shared" si="7"/>
        <v>22858.756634613041</v>
      </c>
      <c r="F40" s="8">
        <f t="shared" ref="F40:F43" si="20">E40*0.5%</f>
        <v>114.29378317306521</v>
      </c>
      <c r="G40" s="9">
        <f t="shared" si="1"/>
        <v>28.802033359612434</v>
      </c>
      <c r="H40">
        <f t="shared" si="2"/>
        <v>22887.558667972655</v>
      </c>
      <c r="K40" t="s">
        <v>6</v>
      </c>
      <c r="L40">
        <v>74</v>
      </c>
      <c r="N40" s="6">
        <f t="shared" ref="N40:N43" si="21">H40*0.45%</f>
        <v>102.99401400587696</v>
      </c>
      <c r="O40" s="11">
        <f t="shared" si="4"/>
        <v>25.954491529480993</v>
      </c>
      <c r="P40">
        <f t="shared" si="5"/>
        <v>22913.513159502138</v>
      </c>
      <c r="R40">
        <f t="shared" si="6"/>
        <v>54.756524889093427</v>
      </c>
    </row>
    <row r="41" spans="1:18" x14ac:dyDescent="0.35">
      <c r="A41" t="s">
        <v>44</v>
      </c>
      <c r="B41" t="s">
        <v>5</v>
      </c>
      <c r="C41">
        <v>75</v>
      </c>
      <c r="E41">
        <f t="shared" si="7"/>
        <v>22913.513159502138</v>
      </c>
      <c r="F41" s="8">
        <f t="shared" si="20"/>
        <v>114.5675657975107</v>
      </c>
      <c r="G41" s="9">
        <f t="shared" si="1"/>
        <v>28.871026580972696</v>
      </c>
      <c r="H41">
        <f t="shared" si="2"/>
        <v>22942.384186083109</v>
      </c>
      <c r="K41" t="s">
        <v>6</v>
      </c>
      <c r="L41">
        <v>76</v>
      </c>
      <c r="N41" s="6">
        <f t="shared" si="21"/>
        <v>103.24072883737401</v>
      </c>
      <c r="O41" s="11">
        <f t="shared" si="4"/>
        <v>26.01666366701825</v>
      </c>
      <c r="P41">
        <f t="shared" si="5"/>
        <v>22968.400849750127</v>
      </c>
      <c r="R41">
        <f t="shared" si="6"/>
        <v>54.887690247990946</v>
      </c>
    </row>
    <row r="42" spans="1:18" x14ac:dyDescent="0.35">
      <c r="A42" t="s">
        <v>45</v>
      </c>
      <c r="B42" t="s">
        <v>5</v>
      </c>
      <c r="C42">
        <v>77</v>
      </c>
      <c r="E42">
        <f t="shared" si="7"/>
        <v>22968.400849750127</v>
      </c>
      <c r="F42" s="8">
        <f t="shared" si="20"/>
        <v>114.84200424875064</v>
      </c>
      <c r="G42" s="9">
        <f t="shared" si="1"/>
        <v>28.94018507068516</v>
      </c>
      <c r="H42">
        <f t="shared" si="2"/>
        <v>22997.341034820813</v>
      </c>
      <c r="K42" t="s">
        <v>6</v>
      </c>
      <c r="L42">
        <v>78</v>
      </c>
      <c r="N42" s="6">
        <f t="shared" si="21"/>
        <v>103.48803465669367</v>
      </c>
      <c r="O42" s="11">
        <f t="shared" si="4"/>
        <v>26.078984733486806</v>
      </c>
      <c r="P42">
        <f t="shared" si="5"/>
        <v>23023.420019554298</v>
      </c>
      <c r="R42">
        <f t="shared" si="6"/>
        <v>55.019169804171966</v>
      </c>
    </row>
    <row r="43" spans="1:18" x14ac:dyDescent="0.35">
      <c r="A43" t="s">
        <v>46</v>
      </c>
      <c r="B43" t="s">
        <v>5</v>
      </c>
      <c r="C43">
        <v>79</v>
      </c>
      <c r="E43">
        <f t="shared" si="7"/>
        <v>23023.420019554298</v>
      </c>
      <c r="F43" s="8">
        <f t="shared" si="20"/>
        <v>115.1171000977715</v>
      </c>
      <c r="G43" s="9">
        <f t="shared" si="1"/>
        <v>29.009509224638418</v>
      </c>
      <c r="H43">
        <f t="shared" si="2"/>
        <v>23052.429528778935</v>
      </c>
      <c r="K43" t="s">
        <v>6</v>
      </c>
      <c r="L43">
        <v>80</v>
      </c>
      <c r="N43" s="6">
        <f t="shared" si="21"/>
        <v>103.73593287950523</v>
      </c>
      <c r="O43" s="11">
        <f t="shared" si="4"/>
        <v>26.141455085635318</v>
      </c>
      <c r="P43">
        <f t="shared" si="5"/>
        <v>23078.570983864571</v>
      </c>
      <c r="R43">
        <f t="shared" si="6"/>
        <v>55.150964310273736</v>
      </c>
    </row>
    <row r="44" spans="1:18" s="6" customFormat="1" x14ac:dyDescent="0.35">
      <c r="A44" s="6" t="s">
        <v>47</v>
      </c>
      <c r="B44" s="6" t="s">
        <v>6</v>
      </c>
      <c r="C44" s="6">
        <v>81</v>
      </c>
      <c r="D44" s="7">
        <v>4.4999999999999997E-3</v>
      </c>
      <c r="E44" s="6">
        <f t="shared" si="7"/>
        <v>23078.570983864571</v>
      </c>
      <c r="F44" s="8">
        <f>E44*0.45%</f>
        <v>103.85356942739058</v>
      </c>
      <c r="G44" s="9">
        <f t="shared" si="1"/>
        <v>26.171099495702428</v>
      </c>
      <c r="H44" s="6">
        <f t="shared" si="2"/>
        <v>23104.742083360274</v>
      </c>
      <c r="K44" s="6" t="s">
        <v>6</v>
      </c>
      <c r="L44" s="6">
        <v>82</v>
      </c>
      <c r="M44" s="7">
        <v>3.0000000000000001E-3</v>
      </c>
      <c r="N44" s="6">
        <f>H44*0.3%</f>
        <v>69.314226250080822</v>
      </c>
      <c r="O44" s="11">
        <f t="shared" si="4"/>
        <v>17.467185015020366</v>
      </c>
      <c r="P44" s="6">
        <f t="shared" si="5"/>
        <v>23122.209268375293</v>
      </c>
      <c r="R44" s="6">
        <f t="shared" si="6"/>
        <v>43.638284510722798</v>
      </c>
    </row>
    <row r="45" spans="1:18" x14ac:dyDescent="0.35">
      <c r="A45" t="s">
        <v>48</v>
      </c>
      <c r="B45" t="s">
        <v>6</v>
      </c>
      <c r="C45">
        <v>83</v>
      </c>
      <c r="E45">
        <f t="shared" si="7"/>
        <v>23122.209268375293</v>
      </c>
      <c r="F45" s="8">
        <f t="shared" ref="F45:F48" si="22">E45*0.45%</f>
        <v>104.04994170768883</v>
      </c>
      <c r="G45" s="9">
        <f t="shared" si="1"/>
        <v>26.220585310337587</v>
      </c>
      <c r="H45">
        <f t="shared" si="2"/>
        <v>23148.429853685629</v>
      </c>
      <c r="K45" t="s">
        <v>6</v>
      </c>
      <c r="L45">
        <v>84</v>
      </c>
      <c r="N45" s="6">
        <f t="shared" ref="N45:N48" si="23">H45*0.3%</f>
        <v>69.445289561056896</v>
      </c>
      <c r="O45" s="11">
        <f t="shared" si="4"/>
        <v>17.50021296938634</v>
      </c>
      <c r="P45">
        <f t="shared" si="5"/>
        <v>23165.930066655015</v>
      </c>
      <c r="R45">
        <f t="shared" si="6"/>
        <v>43.720798279723923</v>
      </c>
    </row>
    <row r="46" spans="1:18" x14ac:dyDescent="0.35">
      <c r="A46" t="s">
        <v>49</v>
      </c>
      <c r="B46" t="s">
        <v>6</v>
      </c>
      <c r="C46">
        <v>85</v>
      </c>
      <c r="E46">
        <f t="shared" si="7"/>
        <v>23165.930066655015</v>
      </c>
      <c r="F46" s="8">
        <f t="shared" si="22"/>
        <v>104.24668529994759</v>
      </c>
      <c r="G46" s="9">
        <f t="shared" si="1"/>
        <v>26.270164695586793</v>
      </c>
      <c r="H46">
        <f t="shared" si="2"/>
        <v>23192.200231350602</v>
      </c>
      <c r="K46" t="s">
        <v>6</v>
      </c>
      <c r="L46">
        <v>86</v>
      </c>
      <c r="N46" s="6">
        <f t="shared" si="23"/>
        <v>69.576600694051805</v>
      </c>
      <c r="O46" s="11">
        <f t="shared" si="4"/>
        <v>17.533303374901056</v>
      </c>
      <c r="P46">
        <f t="shared" si="5"/>
        <v>23209.733534725503</v>
      </c>
      <c r="R46">
        <f t="shared" si="6"/>
        <v>43.803468070487853</v>
      </c>
    </row>
    <row r="47" spans="1:18" x14ac:dyDescent="0.35">
      <c r="A47" t="s">
        <v>50</v>
      </c>
      <c r="B47" t="s">
        <v>6</v>
      </c>
      <c r="C47">
        <v>87</v>
      </c>
      <c r="E47">
        <f t="shared" si="7"/>
        <v>23209.733534725503</v>
      </c>
      <c r="F47" s="8">
        <f t="shared" si="22"/>
        <v>104.44380090626477</v>
      </c>
      <c r="G47" s="9">
        <f t="shared" si="1"/>
        <v>26.319837828378724</v>
      </c>
      <c r="H47">
        <f t="shared" si="2"/>
        <v>23236.053372553881</v>
      </c>
      <c r="K47" t="s">
        <v>6</v>
      </c>
      <c r="L47">
        <v>88</v>
      </c>
      <c r="N47" s="6">
        <f t="shared" si="23"/>
        <v>69.708160117661649</v>
      </c>
      <c r="O47" s="11">
        <f t="shared" si="4"/>
        <v>17.566456349650736</v>
      </c>
      <c r="P47">
        <f t="shared" si="5"/>
        <v>23253.619828903531</v>
      </c>
      <c r="R47">
        <f t="shared" si="6"/>
        <v>43.886294178029459</v>
      </c>
    </row>
    <row r="48" spans="1:18" x14ac:dyDescent="0.35">
      <c r="A48" t="s">
        <v>51</v>
      </c>
      <c r="B48" t="s">
        <v>6</v>
      </c>
      <c r="C48">
        <v>89</v>
      </c>
      <c r="E48">
        <f t="shared" si="7"/>
        <v>23253.619828903531</v>
      </c>
      <c r="F48" s="8">
        <f t="shared" si="22"/>
        <v>104.64128923006591</v>
      </c>
      <c r="G48" s="9">
        <f t="shared" si="1"/>
        <v>26.36960488597661</v>
      </c>
      <c r="H48">
        <f t="shared" si="2"/>
        <v>23279.989433789509</v>
      </c>
      <c r="K48" t="s">
        <v>6</v>
      </c>
      <c r="L48">
        <v>90</v>
      </c>
      <c r="N48" s="6">
        <f t="shared" si="23"/>
        <v>69.839968301368529</v>
      </c>
      <c r="O48" s="11">
        <f t="shared" si="4"/>
        <v>17.599672011944868</v>
      </c>
      <c r="P48">
        <f t="shared" si="5"/>
        <v>23297.589105801453</v>
      </c>
      <c r="R48">
        <f t="shared" si="6"/>
        <v>43.969276897921475</v>
      </c>
    </row>
    <row r="49" spans="1:18" s="6" customFormat="1" x14ac:dyDescent="0.35">
      <c r="A49" s="6" t="s">
        <v>52</v>
      </c>
      <c r="B49" s="6" t="s">
        <v>5</v>
      </c>
      <c r="C49" s="6">
        <v>91</v>
      </c>
      <c r="D49" s="7">
        <v>5.0000000000000001E-3</v>
      </c>
      <c r="E49" s="6">
        <f t="shared" si="7"/>
        <v>23297.589105801453</v>
      </c>
      <c r="F49" s="8">
        <f>E49*0.5%</f>
        <v>116.48794552900726</v>
      </c>
      <c r="G49" s="9">
        <f t="shared" si="1"/>
        <v>29.35496227330983</v>
      </c>
      <c r="H49" s="6">
        <f t="shared" si="2"/>
        <v>23326.944068074761</v>
      </c>
      <c r="K49" s="6" t="s">
        <v>6</v>
      </c>
      <c r="L49" s="6">
        <v>92</v>
      </c>
      <c r="M49" s="7">
        <v>4.4999999999999997E-3</v>
      </c>
      <c r="N49" s="6">
        <f>H49*0.45%</f>
        <v>104.97124830633643</v>
      </c>
      <c r="O49" s="11">
        <f t="shared" si="4"/>
        <v>26.452754573196781</v>
      </c>
      <c r="P49" s="6">
        <f t="shared" si="5"/>
        <v>23353.396822647959</v>
      </c>
      <c r="R49" s="6">
        <f t="shared" si="6"/>
        <v>55.807716846506608</v>
      </c>
    </row>
    <row r="50" spans="1:18" x14ac:dyDescent="0.35">
      <c r="A50" t="s">
        <v>53</v>
      </c>
      <c r="B50" t="s">
        <v>5</v>
      </c>
      <c r="C50">
        <v>93</v>
      </c>
      <c r="E50">
        <f t="shared" si="7"/>
        <v>23353.396822647959</v>
      </c>
      <c r="F50" s="8">
        <f t="shared" ref="F50:F53" si="24">E50*0.5%</f>
        <v>116.7669841132398</v>
      </c>
      <c r="G50" s="9">
        <f t="shared" si="1"/>
        <v>29.425279996536428</v>
      </c>
      <c r="H50">
        <f t="shared" si="2"/>
        <v>23382.822102644495</v>
      </c>
      <c r="K50" t="s">
        <v>6</v>
      </c>
      <c r="L50">
        <v>94</v>
      </c>
      <c r="N50" s="6">
        <f t="shared" ref="N50:N53" si="25">H50*0.45%</f>
        <v>105.22269946190025</v>
      </c>
      <c r="O50" s="11">
        <f t="shared" si="4"/>
        <v>26.516120264398864</v>
      </c>
      <c r="P50">
        <f t="shared" si="5"/>
        <v>23409.338222908893</v>
      </c>
      <c r="R50">
        <f t="shared" si="6"/>
        <v>55.941400260935296</v>
      </c>
    </row>
    <row r="51" spans="1:18" x14ac:dyDescent="0.35">
      <c r="A51" t="s">
        <v>54</v>
      </c>
      <c r="B51" t="s">
        <v>5</v>
      </c>
      <c r="C51">
        <v>95</v>
      </c>
      <c r="E51">
        <f t="shared" si="7"/>
        <v>23409.338222908893</v>
      </c>
      <c r="F51" s="8">
        <f t="shared" si="24"/>
        <v>117.04669111454447</v>
      </c>
      <c r="G51" s="9">
        <f t="shared" si="1"/>
        <v>29.495766160865209</v>
      </c>
      <c r="H51">
        <f t="shared" si="2"/>
        <v>23438.833989069757</v>
      </c>
      <c r="K51" t="s">
        <v>6</v>
      </c>
      <c r="L51">
        <v>96</v>
      </c>
      <c r="N51" s="6">
        <f t="shared" si="25"/>
        <v>105.47475295081392</v>
      </c>
      <c r="O51" s="11">
        <f t="shared" si="4"/>
        <v>26.579637743605108</v>
      </c>
      <c r="P51">
        <f t="shared" si="5"/>
        <v>23465.413626813362</v>
      </c>
      <c r="R51">
        <f t="shared" si="6"/>
        <v>56.075403904470321</v>
      </c>
    </row>
    <row r="52" spans="1:18" x14ac:dyDescent="0.35">
      <c r="A52" t="s">
        <v>55</v>
      </c>
      <c r="B52" t="s">
        <v>5</v>
      </c>
      <c r="C52">
        <v>97</v>
      </c>
      <c r="E52">
        <f t="shared" si="7"/>
        <v>23465.413626813362</v>
      </c>
      <c r="F52" s="8">
        <f t="shared" si="24"/>
        <v>117.32706813406682</v>
      </c>
      <c r="G52" s="9">
        <f t="shared" si="1"/>
        <v>29.566421169784839</v>
      </c>
      <c r="H52">
        <f t="shared" si="2"/>
        <v>23494.980047983147</v>
      </c>
      <c r="K52" t="s">
        <v>6</v>
      </c>
      <c r="L52">
        <v>98</v>
      </c>
      <c r="N52" s="6">
        <f t="shared" si="25"/>
        <v>105.72741021592417</v>
      </c>
      <c r="O52" s="11">
        <f t="shared" si="4"/>
        <v>26.643307374412892</v>
      </c>
      <c r="P52">
        <f t="shared" si="5"/>
        <v>23521.623355357558</v>
      </c>
      <c r="R52">
        <f t="shared" si="6"/>
        <v>56.209728544197731</v>
      </c>
    </row>
    <row r="53" spans="1:18" x14ac:dyDescent="0.35">
      <c r="A53" t="s">
        <v>56</v>
      </c>
      <c r="B53" t="s">
        <v>5</v>
      </c>
      <c r="C53">
        <v>99</v>
      </c>
      <c r="E53">
        <f t="shared" si="7"/>
        <v>23521.623355357558</v>
      </c>
      <c r="F53" s="8">
        <f t="shared" si="24"/>
        <v>117.6081167767878</v>
      </c>
      <c r="G53" s="9">
        <f t="shared" si="1"/>
        <v>29.637245427750525</v>
      </c>
      <c r="H53">
        <f t="shared" si="2"/>
        <v>23551.26060078531</v>
      </c>
      <c r="K53" t="s">
        <v>6</v>
      </c>
      <c r="L53">
        <v>100</v>
      </c>
      <c r="N53" s="6">
        <f t="shared" si="25"/>
        <v>105.98067270353391</v>
      </c>
      <c r="O53" s="11">
        <f t="shared" si="4"/>
        <v>26.707129521290547</v>
      </c>
      <c r="P53">
        <f t="shared" si="5"/>
        <v>23577.967730306602</v>
      </c>
      <c r="R53">
        <f t="shared" si="6"/>
        <v>56.344374949041068</v>
      </c>
    </row>
    <row r="54" spans="1:18" s="6" customFormat="1" x14ac:dyDescent="0.35">
      <c r="A54" s="6" t="s">
        <v>57</v>
      </c>
      <c r="B54" s="6" t="s">
        <v>6</v>
      </c>
      <c r="C54" s="6">
        <v>101</v>
      </c>
      <c r="D54" s="7">
        <v>4.4999999999999997E-3</v>
      </c>
      <c r="E54" s="6">
        <f t="shared" si="7"/>
        <v>23577.967730306602</v>
      </c>
      <c r="F54" s="8">
        <f>E54*0.45%</f>
        <v>106.10085478637973</v>
      </c>
      <c r="G54" s="9">
        <f t="shared" si="1"/>
        <v>26.737415406167692</v>
      </c>
      <c r="H54" s="6">
        <f t="shared" si="2"/>
        <v>23604.705145712771</v>
      </c>
      <c r="K54" s="6" t="s">
        <v>12</v>
      </c>
      <c r="L54" s="6">
        <v>102</v>
      </c>
      <c r="M54" s="7">
        <v>4.5999999999999999E-3</v>
      </c>
      <c r="N54" s="6">
        <f>H54*0.46%</f>
        <v>108.58164367027875</v>
      </c>
      <c r="O54" s="11">
        <f t="shared" si="4"/>
        <v>27.362574204910246</v>
      </c>
      <c r="P54" s="6">
        <f t="shared" si="5"/>
        <v>23632.067719917683</v>
      </c>
      <c r="R54" s="6">
        <f t="shared" si="6"/>
        <v>54.099989611077937</v>
      </c>
    </row>
    <row r="55" spans="1:18" x14ac:dyDescent="0.35">
      <c r="A55" t="s">
        <v>58</v>
      </c>
      <c r="B55" t="s">
        <v>6</v>
      </c>
      <c r="C55">
        <v>103</v>
      </c>
      <c r="E55">
        <f t="shared" si="7"/>
        <v>23632.067719917683</v>
      </c>
      <c r="F55" s="8">
        <f t="shared" ref="F55:F58" si="26">E55*0.45%</f>
        <v>106.34430473962958</v>
      </c>
      <c r="G55" s="9">
        <f t="shared" si="1"/>
        <v>26.798764794386653</v>
      </c>
      <c r="H55">
        <f t="shared" si="2"/>
        <v>23658.866484712071</v>
      </c>
      <c r="K55" t="s">
        <v>12</v>
      </c>
      <c r="L55">
        <v>104</v>
      </c>
      <c r="N55" s="6">
        <f t="shared" ref="N55:N57" si="27">H55*0.46%</f>
        <v>108.83078582967552</v>
      </c>
      <c r="O55" s="11">
        <f t="shared" si="4"/>
        <v>27.425358029078232</v>
      </c>
      <c r="P55">
        <f t="shared" si="5"/>
        <v>23686.29184274115</v>
      </c>
      <c r="R55">
        <f t="shared" si="6"/>
        <v>54.224122823464882</v>
      </c>
    </row>
    <row r="56" spans="1:18" x14ac:dyDescent="0.35">
      <c r="A56" t="s">
        <v>59</v>
      </c>
      <c r="B56" t="s">
        <v>6</v>
      </c>
      <c r="C56">
        <v>105</v>
      </c>
      <c r="E56">
        <f t="shared" si="7"/>
        <v>23686.29184274115</v>
      </c>
      <c r="F56" s="8">
        <f t="shared" si="26"/>
        <v>106.58831329233519</v>
      </c>
      <c r="G56" s="9">
        <f t="shared" si="1"/>
        <v>26.860254949668466</v>
      </c>
      <c r="H56">
        <f t="shared" si="2"/>
        <v>23713.152097690818</v>
      </c>
      <c r="K56" t="s">
        <v>12</v>
      </c>
      <c r="L56">
        <v>106</v>
      </c>
      <c r="N56" s="6">
        <f t="shared" si="27"/>
        <v>109.08049964937776</v>
      </c>
      <c r="O56" s="11">
        <f t="shared" si="4"/>
        <v>27.488285911643196</v>
      </c>
      <c r="P56">
        <f t="shared" si="5"/>
        <v>23740.640383602462</v>
      </c>
      <c r="R56">
        <f t="shared" si="6"/>
        <v>54.348540861311662</v>
      </c>
    </row>
    <row r="57" spans="1:18" x14ac:dyDescent="0.35">
      <c r="A57" t="s">
        <v>60</v>
      </c>
      <c r="B57" t="s">
        <v>6</v>
      </c>
      <c r="C57">
        <v>107</v>
      </c>
      <c r="E57">
        <f t="shared" si="7"/>
        <v>23740.640383602462</v>
      </c>
      <c r="F57" s="8">
        <f t="shared" si="26"/>
        <v>106.83288172621108</v>
      </c>
      <c r="G57" s="9">
        <f t="shared" si="1"/>
        <v>26.921886195005193</v>
      </c>
      <c r="H57">
        <f t="shared" si="2"/>
        <v>23767.562269797469</v>
      </c>
      <c r="K57" t="s">
        <v>12</v>
      </c>
      <c r="L57">
        <v>108</v>
      </c>
      <c r="N57" s="6">
        <f t="shared" si="27"/>
        <v>109.33078644106835</v>
      </c>
      <c r="O57" s="11">
        <f t="shared" si="4"/>
        <v>27.551358183149226</v>
      </c>
      <c r="P57">
        <f t="shared" si="5"/>
        <v>23795.11362798062</v>
      </c>
      <c r="R57">
        <f t="shared" si="6"/>
        <v>54.473244378154419</v>
      </c>
    </row>
    <row r="58" spans="1:18" x14ac:dyDescent="0.35">
      <c r="A58" t="s">
        <v>61</v>
      </c>
      <c r="B58" t="s">
        <v>6</v>
      </c>
      <c r="C58">
        <v>109</v>
      </c>
      <c r="E58">
        <f t="shared" si="7"/>
        <v>23795.11362798062</v>
      </c>
      <c r="F58" s="8">
        <f t="shared" si="26"/>
        <v>107.0780113259128</v>
      </c>
      <c r="G58" s="9">
        <f t="shared" si="1"/>
        <v>26.983658854130024</v>
      </c>
      <c r="H58">
        <f t="shared" si="2"/>
        <v>23822.097286834749</v>
      </c>
      <c r="K58" t="s">
        <v>12</v>
      </c>
      <c r="L58">
        <v>110</v>
      </c>
      <c r="N58" s="6">
        <f>H58*0.46%</f>
        <v>109.58164751943984</v>
      </c>
      <c r="O58" s="11">
        <f t="shared" si="4"/>
        <v>27.614575174898839</v>
      </c>
      <c r="P58">
        <f t="shared" si="5"/>
        <v>23849.711862009648</v>
      </c>
      <c r="R58">
        <f t="shared" si="6"/>
        <v>54.598234029028859</v>
      </c>
    </row>
    <row r="59" spans="1:18" s="6" customFormat="1" x14ac:dyDescent="0.35">
      <c r="A59" s="6" t="s">
        <v>62</v>
      </c>
      <c r="B59" s="6" t="s">
        <v>6</v>
      </c>
      <c r="C59" s="6">
        <v>111</v>
      </c>
      <c r="D59" s="7">
        <v>4.0000000000000001E-3</v>
      </c>
      <c r="E59" s="6">
        <f t="shared" si="7"/>
        <v>23849.711862009648</v>
      </c>
      <c r="F59" s="8">
        <f>E59*0.4%</f>
        <v>95.398847448038595</v>
      </c>
      <c r="G59" s="9">
        <f t="shared" si="1"/>
        <v>24.040509556905725</v>
      </c>
      <c r="H59" s="6">
        <f t="shared" si="2"/>
        <v>23873.752371566552</v>
      </c>
      <c r="K59" s="6" t="s">
        <v>6</v>
      </c>
      <c r="L59" s="6">
        <v>112</v>
      </c>
      <c r="M59" s="7">
        <v>3.5000000000000001E-3</v>
      </c>
      <c r="N59" s="6">
        <f>H59*0.35%</f>
        <v>83.558133300482922</v>
      </c>
      <c r="O59" s="11">
        <f t="shared" si="4"/>
        <v>21.056649591721698</v>
      </c>
      <c r="P59" s="6">
        <f t="shared" si="5"/>
        <v>23894.809021158275</v>
      </c>
      <c r="R59" s="6">
        <f t="shared" si="6"/>
        <v>45.097159148627426</v>
      </c>
    </row>
    <row r="60" spans="1:18" x14ac:dyDescent="0.35">
      <c r="A60" t="s">
        <v>63</v>
      </c>
      <c r="B60" t="s">
        <v>6</v>
      </c>
      <c r="C60">
        <v>113</v>
      </c>
      <c r="E60">
        <f t="shared" si="7"/>
        <v>23894.809021158275</v>
      </c>
      <c r="F60" s="8">
        <f t="shared" ref="F60:F63" si="28">E60*0.4%</f>
        <v>95.579236084633095</v>
      </c>
      <c r="G60" s="9">
        <f t="shared" si="1"/>
        <v>24.085967493327541</v>
      </c>
      <c r="H60">
        <f t="shared" si="2"/>
        <v>23918.894988651602</v>
      </c>
      <c r="K60" t="s">
        <v>6</v>
      </c>
      <c r="L60">
        <v>114</v>
      </c>
      <c r="N60" s="6">
        <f t="shared" ref="N60:N63" si="29">H60*0.35%</f>
        <v>83.716132460280605</v>
      </c>
      <c r="O60" s="11">
        <f t="shared" si="4"/>
        <v>21.096465379990711</v>
      </c>
      <c r="P60">
        <f t="shared" si="5"/>
        <v>23939.991454031591</v>
      </c>
      <c r="R60">
        <f t="shared" si="6"/>
        <v>45.182432873318248</v>
      </c>
    </row>
    <row r="61" spans="1:18" x14ac:dyDescent="0.35">
      <c r="A61" t="s">
        <v>64</v>
      </c>
      <c r="B61" t="s">
        <v>6</v>
      </c>
      <c r="C61">
        <v>115</v>
      </c>
      <c r="E61">
        <f t="shared" si="7"/>
        <v>23939.991454031591</v>
      </c>
      <c r="F61" s="8">
        <f t="shared" si="28"/>
        <v>95.759965816126368</v>
      </c>
      <c r="G61" s="9">
        <f t="shared" si="1"/>
        <v>24.131511385663845</v>
      </c>
      <c r="H61">
        <f t="shared" si="2"/>
        <v>23964.122965417257</v>
      </c>
      <c r="K61" t="s">
        <v>6</v>
      </c>
      <c r="L61">
        <v>116</v>
      </c>
      <c r="N61" s="6">
        <f t="shared" si="29"/>
        <v>83.874430378960383</v>
      </c>
      <c r="O61" s="11">
        <f t="shared" si="4"/>
        <v>21.136356455498017</v>
      </c>
      <c r="P61">
        <f t="shared" si="5"/>
        <v>23985.259321872756</v>
      </c>
      <c r="R61">
        <f t="shared" si="6"/>
        <v>45.267867841161859</v>
      </c>
    </row>
    <row r="62" spans="1:18" x14ac:dyDescent="0.35">
      <c r="A62" t="s">
        <v>65</v>
      </c>
      <c r="B62" t="s">
        <v>6</v>
      </c>
      <c r="C62">
        <v>117</v>
      </c>
      <c r="E62">
        <f t="shared" si="7"/>
        <v>23985.259321872756</v>
      </c>
      <c r="F62" s="8">
        <f t="shared" si="28"/>
        <v>95.941037287491028</v>
      </c>
      <c r="G62" s="9">
        <f t="shared" si="1"/>
        <v>24.177141396447738</v>
      </c>
      <c r="H62">
        <f t="shared" si="2"/>
        <v>24009.436463269205</v>
      </c>
      <c r="K62" t="s">
        <v>6</v>
      </c>
      <c r="L62">
        <v>118</v>
      </c>
      <c r="N62" s="6">
        <f t="shared" si="29"/>
        <v>84.033027621442216</v>
      </c>
      <c r="O62" s="11">
        <f t="shared" si="4"/>
        <v>21.176322960603439</v>
      </c>
      <c r="P62">
        <f t="shared" si="5"/>
        <v>24030.612786229809</v>
      </c>
      <c r="R62">
        <f t="shared" si="6"/>
        <v>45.35346435705118</v>
      </c>
    </row>
    <row r="63" spans="1:18" s="13" customFormat="1" x14ac:dyDescent="0.35">
      <c r="A63" s="13" t="s">
        <v>66</v>
      </c>
      <c r="B63" s="13" t="s">
        <v>6</v>
      </c>
      <c r="C63" s="13">
        <v>119</v>
      </c>
      <c r="E63" s="13">
        <f t="shared" si="7"/>
        <v>24030.612786229809</v>
      </c>
      <c r="F63" s="14">
        <f t="shared" si="28"/>
        <v>96.122451144919239</v>
      </c>
      <c r="G63" s="9">
        <f t="shared" si="1"/>
        <v>24.22285768851965</v>
      </c>
      <c r="H63" s="13">
        <f t="shared" si="2"/>
        <v>24054.83564391833</v>
      </c>
      <c r="K63" s="13" t="s">
        <v>6</v>
      </c>
      <c r="L63" s="13">
        <v>120</v>
      </c>
      <c r="N63" s="13">
        <f t="shared" si="29"/>
        <v>84.191924753714147</v>
      </c>
      <c r="O63" s="11">
        <f t="shared" si="4"/>
        <v>21.216365037935965</v>
      </c>
      <c r="P63" s="13">
        <f t="shared" si="5"/>
        <v>24076.052008956267</v>
      </c>
      <c r="R63" s="13">
        <f t="shared" si="6"/>
        <v>45.439222726455611</v>
      </c>
    </row>
    <row r="64" spans="1:18" s="6" customFormat="1" x14ac:dyDescent="0.35">
      <c r="A64" s="6" t="s">
        <v>67</v>
      </c>
      <c r="B64" s="6" t="s">
        <v>5</v>
      </c>
      <c r="C64" s="6">
        <v>121</v>
      </c>
      <c r="D64" s="7">
        <v>3.7000000000000002E-3</v>
      </c>
      <c r="E64" s="6">
        <f t="shared" si="7"/>
        <v>24076.052008956267</v>
      </c>
      <c r="F64" s="8">
        <f>E64*0.37%</f>
        <v>89.081392433138191</v>
      </c>
      <c r="G64" s="9">
        <f t="shared" si="1"/>
        <v>22.448510893150825</v>
      </c>
      <c r="H64" s="6">
        <f t="shared" si="2"/>
        <v>24098.500519849418</v>
      </c>
      <c r="I64" s="10">
        <v>0.35</v>
      </c>
      <c r="J64" s="10"/>
      <c r="K64" s="10" t="s">
        <v>6</v>
      </c>
      <c r="L64" s="6">
        <v>122</v>
      </c>
      <c r="M64" s="7">
        <v>3.0000000000000001E-3</v>
      </c>
      <c r="N64" s="6">
        <f>H64*0.3%</f>
        <v>72.295501559548256</v>
      </c>
      <c r="O64" s="11">
        <f t="shared" si="4"/>
        <v>18.21846639300616</v>
      </c>
      <c r="P64" s="6">
        <f t="shared" si="5"/>
        <v>24116.718986242424</v>
      </c>
      <c r="Q64" s="12">
        <v>0.4</v>
      </c>
      <c r="R64" s="6">
        <f t="shared" si="6"/>
        <v>40.666977286156985</v>
      </c>
    </row>
    <row r="65" spans="1:18" x14ac:dyDescent="0.35">
      <c r="A65" t="s">
        <v>68</v>
      </c>
      <c r="B65" t="s">
        <v>5</v>
      </c>
      <c r="C65">
        <v>123</v>
      </c>
      <c r="E65">
        <f t="shared" si="7"/>
        <v>24116.718986242424</v>
      </c>
      <c r="F65" s="8">
        <f t="shared" ref="F65:F68" si="30">E65*0.37%</f>
        <v>89.231860249096968</v>
      </c>
      <c r="G65" s="9">
        <f t="shared" si="1"/>
        <v>22.486428782772435</v>
      </c>
      <c r="H65">
        <f t="shared" si="2"/>
        <v>24139.205415025197</v>
      </c>
      <c r="K65" t="s">
        <v>6</v>
      </c>
      <c r="L65">
        <v>124</v>
      </c>
      <c r="N65" s="6">
        <f t="shared" ref="N65:N68" si="31">H65*0.3%</f>
        <v>72.417616245075592</v>
      </c>
      <c r="O65" s="11">
        <f t="shared" si="4"/>
        <v>18.24923929375905</v>
      </c>
      <c r="P65">
        <f t="shared" si="5"/>
        <v>24157.454654318957</v>
      </c>
      <c r="R65">
        <f t="shared" si="6"/>
        <v>40.735668076531482</v>
      </c>
    </row>
    <row r="66" spans="1:18" x14ac:dyDescent="0.35">
      <c r="A66" t="s">
        <v>69</v>
      </c>
      <c r="B66" t="s">
        <v>5</v>
      </c>
      <c r="C66">
        <v>125</v>
      </c>
      <c r="E66">
        <f t="shared" si="7"/>
        <v>24157.454654318957</v>
      </c>
      <c r="F66" s="8">
        <f t="shared" si="30"/>
        <v>89.38258222098014</v>
      </c>
      <c r="G66" s="9">
        <f t="shared" si="1"/>
        <v>22.524410719686994</v>
      </c>
      <c r="H66">
        <f t="shared" si="2"/>
        <v>24179.979065038646</v>
      </c>
      <c r="K66" t="s">
        <v>6</v>
      </c>
      <c r="L66">
        <v>126</v>
      </c>
      <c r="N66" s="6">
        <f t="shared" si="31"/>
        <v>72.53993719511594</v>
      </c>
      <c r="O66" s="11">
        <f t="shared" si="4"/>
        <v>18.280064173169215</v>
      </c>
      <c r="P66">
        <f t="shared" si="5"/>
        <v>24198.259129211816</v>
      </c>
      <c r="R66">
        <f t="shared" si="6"/>
        <v>40.804474892856206</v>
      </c>
    </row>
    <row r="67" spans="1:18" x14ac:dyDescent="0.35">
      <c r="A67" t="s">
        <v>70</v>
      </c>
      <c r="B67" t="s">
        <v>5</v>
      </c>
      <c r="C67">
        <v>127</v>
      </c>
      <c r="E67">
        <f t="shared" si="7"/>
        <v>24198.259129211816</v>
      </c>
      <c r="F67" s="8">
        <f t="shared" si="30"/>
        <v>89.533558778083716</v>
      </c>
      <c r="G67" s="9">
        <f t="shared" si="1"/>
        <v>22.562456812077098</v>
      </c>
      <c r="H67">
        <f t="shared" si="2"/>
        <v>24220.821586023892</v>
      </c>
      <c r="K67" t="s">
        <v>6</v>
      </c>
      <c r="L67">
        <v>128</v>
      </c>
      <c r="N67" s="6">
        <f t="shared" si="31"/>
        <v>72.662464758071678</v>
      </c>
      <c r="O67" s="11">
        <f t="shared" si="4"/>
        <v>18.310941119034062</v>
      </c>
      <c r="P67">
        <f t="shared" si="5"/>
        <v>24239.132527142927</v>
      </c>
      <c r="R67">
        <f t="shared" si="6"/>
        <v>40.873397931111157</v>
      </c>
    </row>
    <row r="68" spans="1:18" x14ac:dyDescent="0.35">
      <c r="A68" t="s">
        <v>71</v>
      </c>
      <c r="B68" t="s">
        <v>5</v>
      </c>
      <c r="C68">
        <v>129</v>
      </c>
      <c r="E68">
        <f t="shared" si="7"/>
        <v>24239.132527142927</v>
      </c>
      <c r="F68" s="8">
        <f t="shared" si="30"/>
        <v>89.684790350428827</v>
      </c>
      <c r="G68" s="9">
        <f t="shared" si="1"/>
        <v>22.600567168308064</v>
      </c>
      <c r="H68">
        <f t="shared" si="2"/>
        <v>24261.733094311236</v>
      </c>
      <c r="K68" t="s">
        <v>6</v>
      </c>
      <c r="L68">
        <v>130</v>
      </c>
      <c r="N68" s="6">
        <f t="shared" si="31"/>
        <v>72.785199282933704</v>
      </c>
      <c r="O68" s="11">
        <f t="shared" si="4"/>
        <v>18.341870219299292</v>
      </c>
      <c r="P68">
        <f t="shared" si="5"/>
        <v>24280.074964530533</v>
      </c>
      <c r="R68">
        <f t="shared" si="6"/>
        <v>40.942437387607356</v>
      </c>
    </row>
    <row r="69" spans="1:18" s="6" customFormat="1" x14ac:dyDescent="0.35">
      <c r="A69" s="6" t="s">
        <v>72</v>
      </c>
      <c r="B69" s="6" t="s">
        <v>6</v>
      </c>
      <c r="C69" s="6">
        <v>131</v>
      </c>
      <c r="D69" s="7">
        <v>3.0000000000000001E-3</v>
      </c>
      <c r="E69" s="6">
        <f t="shared" si="7"/>
        <v>24280.074964530533</v>
      </c>
      <c r="F69" s="8">
        <f t="shared" ref="F69:F73" si="32">E69*0.3%</f>
        <v>72.840224893591596</v>
      </c>
      <c r="G69" s="9">
        <f t="shared" ref="G69:G132" si="33">F69*25.2%</f>
        <v>18.355736673185081</v>
      </c>
      <c r="H69" s="6">
        <f t="shared" ref="H69:H132" si="34">G69+E69</f>
        <v>24298.430701203717</v>
      </c>
      <c r="K69" s="6" t="s">
        <v>12</v>
      </c>
      <c r="L69" s="6">
        <v>132</v>
      </c>
      <c r="M69" s="7">
        <v>4.0000000000000001E-3</v>
      </c>
      <c r="N69" s="6">
        <f t="shared" ref="N69:N73" si="35">H69*0.4%</f>
        <v>97.193722804814868</v>
      </c>
      <c r="O69" s="11">
        <f t="shared" ref="O69:O132" si="36">N69*25.2%</f>
        <v>24.492818146813345</v>
      </c>
      <c r="P69" s="6">
        <f t="shared" ref="P69:P132" si="37">O69+H69</f>
        <v>24322.92351935053</v>
      </c>
      <c r="R69" s="6">
        <f t="shared" ref="R69:R132" si="38">O69+G69</f>
        <v>42.848554819998427</v>
      </c>
    </row>
    <row r="70" spans="1:18" x14ac:dyDescent="0.35">
      <c r="A70" t="s">
        <v>73</v>
      </c>
      <c r="B70" t="s">
        <v>6</v>
      </c>
      <c r="C70">
        <v>133</v>
      </c>
      <c r="E70">
        <f t="shared" ref="E70:E133" si="39">P69</f>
        <v>24322.92351935053</v>
      </c>
      <c r="F70" s="8">
        <f t="shared" si="32"/>
        <v>72.968770558051588</v>
      </c>
      <c r="G70" s="9">
        <f t="shared" si="33"/>
        <v>18.388130180629002</v>
      </c>
      <c r="H70">
        <f t="shared" si="34"/>
        <v>24341.311649531159</v>
      </c>
      <c r="K70" t="s">
        <v>12</v>
      </c>
      <c r="L70">
        <v>134</v>
      </c>
      <c r="N70" s="6">
        <f t="shared" si="35"/>
        <v>97.365246598124642</v>
      </c>
      <c r="O70" s="11">
        <f t="shared" si="36"/>
        <v>24.53604214272741</v>
      </c>
      <c r="P70">
        <f t="shared" si="37"/>
        <v>24365.847691673887</v>
      </c>
      <c r="R70">
        <f t="shared" si="38"/>
        <v>42.924172323356416</v>
      </c>
    </row>
    <row r="71" spans="1:18" x14ac:dyDescent="0.35">
      <c r="A71" t="s">
        <v>74</v>
      </c>
      <c r="B71" t="s">
        <v>6</v>
      </c>
      <c r="C71">
        <v>135</v>
      </c>
      <c r="E71">
        <f t="shared" si="39"/>
        <v>24365.847691673887</v>
      </c>
      <c r="F71" s="8">
        <f t="shared" si="32"/>
        <v>73.097543075021662</v>
      </c>
      <c r="G71" s="9">
        <f t="shared" si="33"/>
        <v>18.420580854905459</v>
      </c>
      <c r="H71">
        <f t="shared" si="34"/>
        <v>24384.268272528792</v>
      </c>
      <c r="K71" t="s">
        <v>12</v>
      </c>
      <c r="L71">
        <v>136</v>
      </c>
      <c r="N71" s="6">
        <f t="shared" si="35"/>
        <v>97.537073090115172</v>
      </c>
      <c r="O71" s="11">
        <f t="shared" si="36"/>
        <v>24.579342418709022</v>
      </c>
      <c r="P71">
        <f t="shared" si="37"/>
        <v>24408.847614947503</v>
      </c>
      <c r="R71">
        <f t="shared" si="38"/>
        <v>42.999923273614485</v>
      </c>
    </row>
    <row r="72" spans="1:18" x14ac:dyDescent="0.35">
      <c r="A72" t="s">
        <v>75</v>
      </c>
      <c r="B72" t="s">
        <v>6</v>
      </c>
      <c r="C72">
        <v>137</v>
      </c>
      <c r="E72">
        <f t="shared" si="39"/>
        <v>24408.847614947503</v>
      </c>
      <c r="F72" s="8">
        <f t="shared" si="32"/>
        <v>73.226542844842513</v>
      </c>
      <c r="G72" s="9">
        <f t="shared" si="33"/>
        <v>18.453088796900314</v>
      </c>
      <c r="H72">
        <f t="shared" si="34"/>
        <v>24427.300703744404</v>
      </c>
      <c r="K72" t="s">
        <v>12</v>
      </c>
      <c r="L72">
        <v>138</v>
      </c>
      <c r="N72" s="6">
        <f t="shared" si="35"/>
        <v>97.709202814977616</v>
      </c>
      <c r="O72" s="11">
        <f t="shared" si="36"/>
        <v>24.622719109374358</v>
      </c>
      <c r="P72">
        <f t="shared" si="37"/>
        <v>24451.923422853779</v>
      </c>
      <c r="R72">
        <f t="shared" si="38"/>
        <v>43.075807906274676</v>
      </c>
    </row>
    <row r="73" spans="1:18" x14ac:dyDescent="0.35">
      <c r="A73" t="s">
        <v>76</v>
      </c>
      <c r="B73" t="s">
        <v>6</v>
      </c>
      <c r="C73">
        <v>139</v>
      </c>
      <c r="E73">
        <f t="shared" si="39"/>
        <v>24451.923422853779</v>
      </c>
      <c r="F73" s="8">
        <f t="shared" si="32"/>
        <v>73.355770268561344</v>
      </c>
      <c r="G73" s="9">
        <f t="shared" si="33"/>
        <v>18.485654107677458</v>
      </c>
      <c r="H73">
        <f t="shared" si="34"/>
        <v>24470.409076961456</v>
      </c>
      <c r="K73" t="s">
        <v>12</v>
      </c>
      <c r="L73">
        <v>140</v>
      </c>
      <c r="N73" s="6">
        <f t="shared" si="35"/>
        <v>97.881636307845824</v>
      </c>
      <c r="O73" s="11">
        <f t="shared" si="36"/>
        <v>24.666172349577149</v>
      </c>
      <c r="P73">
        <f t="shared" si="37"/>
        <v>24495.075249311034</v>
      </c>
      <c r="R73">
        <f t="shared" si="38"/>
        <v>43.151826457254607</v>
      </c>
    </row>
    <row r="74" spans="1:18" s="6" customFormat="1" x14ac:dyDescent="0.35">
      <c r="A74" s="6" t="s">
        <v>77</v>
      </c>
      <c r="B74" s="6" t="s">
        <v>5</v>
      </c>
      <c r="C74" s="6">
        <v>141</v>
      </c>
      <c r="D74" s="7">
        <v>4.0000000000000001E-3</v>
      </c>
      <c r="E74" s="6">
        <f t="shared" si="39"/>
        <v>24495.075249311034</v>
      </c>
      <c r="F74" s="8">
        <f>E74*0.4%</f>
        <v>97.980300997244143</v>
      </c>
      <c r="G74" s="9">
        <f t="shared" si="33"/>
        <v>24.691035851305525</v>
      </c>
      <c r="H74" s="6">
        <f t="shared" si="34"/>
        <v>24519.766285162339</v>
      </c>
      <c r="K74" s="6" t="s">
        <v>12</v>
      </c>
      <c r="L74" s="6">
        <v>142</v>
      </c>
      <c r="M74" s="7">
        <v>5.0000000000000001E-3</v>
      </c>
      <c r="N74" s="6">
        <f>H74*0.5%</f>
        <v>122.5988314258117</v>
      </c>
      <c r="O74" s="11">
        <f t="shared" si="36"/>
        <v>30.894905519304547</v>
      </c>
      <c r="P74" s="6">
        <f t="shared" si="37"/>
        <v>24550.661190681643</v>
      </c>
      <c r="R74" s="6">
        <f t="shared" si="38"/>
        <v>55.585941370610072</v>
      </c>
    </row>
    <row r="75" spans="1:18" x14ac:dyDescent="0.35">
      <c r="A75" t="s">
        <v>78</v>
      </c>
      <c r="B75" t="s">
        <v>5</v>
      </c>
      <c r="C75">
        <v>143</v>
      </c>
      <c r="E75">
        <f t="shared" si="39"/>
        <v>24550.661190681643</v>
      </c>
      <c r="F75" s="8">
        <f t="shared" ref="F75:F78" si="40">E75*0.4%</f>
        <v>98.202644762726578</v>
      </c>
      <c r="G75" s="9">
        <f t="shared" si="33"/>
        <v>24.747066480207099</v>
      </c>
      <c r="H75">
        <f t="shared" si="34"/>
        <v>24575.408257161849</v>
      </c>
      <c r="K75" t="s">
        <v>12</v>
      </c>
      <c r="L75">
        <v>144</v>
      </c>
      <c r="N75" s="6">
        <f t="shared" ref="N75:N78" si="41">H75*0.5%</f>
        <v>122.87704128580924</v>
      </c>
      <c r="O75" s="11">
        <f t="shared" si="36"/>
        <v>30.965014404023929</v>
      </c>
      <c r="P75">
        <f t="shared" si="37"/>
        <v>24606.373271565873</v>
      </c>
      <c r="R75">
        <f t="shared" si="38"/>
        <v>55.712080884231028</v>
      </c>
    </row>
    <row r="76" spans="1:18" x14ac:dyDescent="0.35">
      <c r="A76" t="s">
        <v>79</v>
      </c>
      <c r="B76" t="s">
        <v>5</v>
      </c>
      <c r="C76">
        <v>145</v>
      </c>
      <c r="E76">
        <f t="shared" si="39"/>
        <v>24606.373271565873</v>
      </c>
      <c r="F76" s="8">
        <f t="shared" si="40"/>
        <v>98.425493086263501</v>
      </c>
      <c r="G76" s="9">
        <f t="shared" si="33"/>
        <v>24.803224257738403</v>
      </c>
      <c r="H76">
        <f t="shared" si="34"/>
        <v>24631.176495823613</v>
      </c>
      <c r="K76" t="s">
        <v>12</v>
      </c>
      <c r="L76">
        <v>146</v>
      </c>
      <c r="N76" s="6">
        <f t="shared" si="41"/>
        <v>123.15588247911806</v>
      </c>
      <c r="O76" s="11">
        <f t="shared" si="36"/>
        <v>31.035282384737751</v>
      </c>
      <c r="P76">
        <f t="shared" si="37"/>
        <v>24662.211778208351</v>
      </c>
      <c r="R76">
        <f t="shared" si="38"/>
        <v>55.838506642476155</v>
      </c>
    </row>
    <row r="77" spans="1:18" x14ac:dyDescent="0.35">
      <c r="A77" t="s">
        <v>80</v>
      </c>
      <c r="B77" t="s">
        <v>5</v>
      </c>
      <c r="C77">
        <v>147</v>
      </c>
      <c r="E77">
        <f t="shared" si="39"/>
        <v>24662.211778208351</v>
      </c>
      <c r="F77" s="8">
        <f t="shared" si="40"/>
        <v>98.648847112833408</v>
      </c>
      <c r="G77" s="9">
        <f t="shared" si="33"/>
        <v>24.85950947243402</v>
      </c>
      <c r="H77">
        <f t="shared" si="34"/>
        <v>24687.071287680785</v>
      </c>
      <c r="K77" t="s">
        <v>12</v>
      </c>
      <c r="L77">
        <v>148</v>
      </c>
      <c r="N77" s="6">
        <f t="shared" si="41"/>
        <v>123.43535643840393</v>
      </c>
      <c r="O77" s="11">
        <f t="shared" si="36"/>
        <v>31.105709822477792</v>
      </c>
      <c r="P77">
        <f t="shared" si="37"/>
        <v>24718.176997503262</v>
      </c>
      <c r="R77">
        <f t="shared" si="38"/>
        <v>55.965219294911812</v>
      </c>
    </row>
    <row r="78" spans="1:18" x14ac:dyDescent="0.35">
      <c r="A78" t="s">
        <v>81</v>
      </c>
      <c r="B78" t="s">
        <v>5</v>
      </c>
      <c r="C78">
        <v>149</v>
      </c>
      <c r="E78">
        <f t="shared" si="39"/>
        <v>24718.176997503262</v>
      </c>
      <c r="F78" s="8">
        <f t="shared" si="40"/>
        <v>98.872707990013055</v>
      </c>
      <c r="G78" s="9">
        <f t="shared" si="33"/>
        <v>24.91592241348329</v>
      </c>
      <c r="H78">
        <f t="shared" si="34"/>
        <v>24743.092919916744</v>
      </c>
      <c r="K78" t="s">
        <v>12</v>
      </c>
      <c r="L78">
        <v>150</v>
      </c>
      <c r="N78" s="6">
        <f t="shared" si="41"/>
        <v>123.71546459958373</v>
      </c>
      <c r="O78" s="11">
        <f t="shared" si="36"/>
        <v>31.1762970790951</v>
      </c>
      <c r="P78">
        <f t="shared" si="37"/>
        <v>24774.269216995839</v>
      </c>
      <c r="R78">
        <f t="shared" si="38"/>
        <v>56.092219492578394</v>
      </c>
    </row>
    <row r="79" spans="1:18" s="6" customFormat="1" x14ac:dyDescent="0.35">
      <c r="A79" s="6" t="s">
        <v>82</v>
      </c>
      <c r="B79" s="6" t="s">
        <v>5</v>
      </c>
      <c r="C79" s="6">
        <v>151</v>
      </c>
      <c r="D79" s="7">
        <v>5.0000000000000001E-3</v>
      </c>
      <c r="E79" s="6">
        <f t="shared" si="39"/>
        <v>24774.269216995839</v>
      </c>
      <c r="F79" s="8">
        <f>E79*0.5%</f>
        <v>123.87134608497919</v>
      </c>
      <c r="G79" s="9">
        <f t="shared" si="33"/>
        <v>31.215579213414756</v>
      </c>
      <c r="H79" s="6">
        <f t="shared" si="34"/>
        <v>24805.484796209254</v>
      </c>
      <c r="K79" s="6" t="s">
        <v>6</v>
      </c>
      <c r="L79" s="6">
        <v>152</v>
      </c>
      <c r="M79" s="7">
        <v>4.4999999999999997E-3</v>
      </c>
      <c r="N79" s="6">
        <f>H79*0.45%</f>
        <v>111.62468158294165</v>
      </c>
      <c r="O79" s="11">
        <f t="shared" si="36"/>
        <v>28.129419758901296</v>
      </c>
      <c r="P79" s="6">
        <f t="shared" si="37"/>
        <v>24833.614215968155</v>
      </c>
      <c r="R79" s="6">
        <f t="shared" si="38"/>
        <v>59.344998972316048</v>
      </c>
    </row>
    <row r="80" spans="1:18" x14ac:dyDescent="0.35">
      <c r="A80" t="s">
        <v>83</v>
      </c>
      <c r="B80" t="s">
        <v>5</v>
      </c>
      <c r="C80">
        <v>153</v>
      </c>
      <c r="E80">
        <f t="shared" si="39"/>
        <v>24833.614215968155</v>
      </c>
      <c r="F80" s="8">
        <f t="shared" ref="F80:F83" si="42">E80*0.5%</f>
        <v>124.16807107984077</v>
      </c>
      <c r="G80" s="9">
        <f t="shared" si="33"/>
        <v>31.290353912119876</v>
      </c>
      <c r="H80">
        <f t="shared" si="34"/>
        <v>24864.904569880277</v>
      </c>
      <c r="K80" t="s">
        <v>6</v>
      </c>
      <c r="L80">
        <v>154</v>
      </c>
      <c r="N80" s="6">
        <f t="shared" ref="N80:N83" si="43">H80*0.45%</f>
        <v>111.89207056446126</v>
      </c>
      <c r="O80" s="11">
        <f t="shared" si="36"/>
        <v>28.19680178224424</v>
      </c>
      <c r="P80">
        <f t="shared" si="37"/>
        <v>24893.10137166252</v>
      </c>
      <c r="R80">
        <f t="shared" si="38"/>
        <v>59.48715569436412</v>
      </c>
    </row>
    <row r="81" spans="1:18" x14ac:dyDescent="0.35">
      <c r="A81" t="s">
        <v>84</v>
      </c>
      <c r="B81" t="s">
        <v>5</v>
      </c>
      <c r="C81">
        <v>155</v>
      </c>
      <c r="E81">
        <f t="shared" si="39"/>
        <v>24893.10137166252</v>
      </c>
      <c r="F81" s="8">
        <f t="shared" si="42"/>
        <v>124.46550685831261</v>
      </c>
      <c r="G81" s="9">
        <f t="shared" si="33"/>
        <v>31.365307728294777</v>
      </c>
      <c r="H81">
        <f t="shared" si="34"/>
        <v>24924.466679390815</v>
      </c>
      <c r="K81" t="s">
        <v>6</v>
      </c>
      <c r="L81">
        <v>156</v>
      </c>
      <c r="N81" s="6">
        <f t="shared" si="43"/>
        <v>112.16010005725867</v>
      </c>
      <c r="O81" s="11">
        <f t="shared" si="36"/>
        <v>28.264345214429188</v>
      </c>
      <c r="P81">
        <f t="shared" si="37"/>
        <v>24952.731024605244</v>
      </c>
      <c r="R81">
        <f t="shared" si="38"/>
        <v>59.629652942723965</v>
      </c>
    </row>
    <row r="82" spans="1:18" x14ac:dyDescent="0.35">
      <c r="A82" t="s">
        <v>85</v>
      </c>
      <c r="B82" t="s">
        <v>5</v>
      </c>
      <c r="C82">
        <v>157</v>
      </c>
      <c r="E82">
        <f t="shared" si="39"/>
        <v>24952.731024605244</v>
      </c>
      <c r="F82" s="8">
        <f t="shared" si="42"/>
        <v>124.76365512302623</v>
      </c>
      <c r="G82" s="9">
        <f t="shared" si="33"/>
        <v>31.440441091002608</v>
      </c>
      <c r="H82">
        <f t="shared" si="34"/>
        <v>24984.171465696247</v>
      </c>
      <c r="K82" t="s">
        <v>6</v>
      </c>
      <c r="L82">
        <v>158</v>
      </c>
      <c r="N82" s="6">
        <f t="shared" si="43"/>
        <v>112.42877159563312</v>
      </c>
      <c r="O82" s="11">
        <f t="shared" si="36"/>
        <v>28.332050442099547</v>
      </c>
      <c r="P82">
        <f t="shared" si="37"/>
        <v>25012.503516138346</v>
      </c>
      <c r="R82">
        <f t="shared" si="38"/>
        <v>59.772491533102155</v>
      </c>
    </row>
    <row r="83" spans="1:18" x14ac:dyDescent="0.35">
      <c r="A83" t="s">
        <v>86</v>
      </c>
      <c r="B83" t="s">
        <v>5</v>
      </c>
      <c r="C83">
        <v>159</v>
      </c>
      <c r="E83">
        <f t="shared" si="39"/>
        <v>25012.503516138346</v>
      </c>
      <c r="F83" s="8">
        <f t="shared" si="42"/>
        <v>125.06251758069173</v>
      </c>
      <c r="G83" s="9">
        <f t="shared" si="33"/>
        <v>31.515754430334315</v>
      </c>
      <c r="H83">
        <f t="shared" si="34"/>
        <v>25044.019270568679</v>
      </c>
      <c r="K83" t="s">
        <v>6</v>
      </c>
      <c r="L83">
        <v>160</v>
      </c>
      <c r="N83" s="6">
        <f t="shared" si="43"/>
        <v>112.69808671755906</v>
      </c>
      <c r="O83" s="11">
        <f t="shared" si="36"/>
        <v>28.399917852824885</v>
      </c>
      <c r="P83">
        <f t="shared" si="37"/>
        <v>25072.419188421503</v>
      </c>
      <c r="R83">
        <f t="shared" si="38"/>
        <v>59.915672283159196</v>
      </c>
    </row>
    <row r="84" spans="1:18" s="6" customFormat="1" x14ac:dyDescent="0.35">
      <c r="A84" s="6" t="s">
        <v>87</v>
      </c>
      <c r="B84" s="6" t="s">
        <v>5</v>
      </c>
      <c r="C84" s="6">
        <v>161</v>
      </c>
      <c r="D84" s="7">
        <v>6.0000000000000001E-3</v>
      </c>
      <c r="E84" s="6">
        <f t="shared" si="39"/>
        <v>25072.419188421503</v>
      </c>
      <c r="F84" s="8">
        <f>E84*0.6%</f>
        <v>150.43451513052904</v>
      </c>
      <c r="G84" s="9">
        <f t="shared" si="33"/>
        <v>37.909497812893321</v>
      </c>
      <c r="H84" s="6">
        <f t="shared" si="34"/>
        <v>25110.328686234396</v>
      </c>
      <c r="K84" s="6" t="s">
        <v>12</v>
      </c>
      <c r="L84" s="6">
        <v>162</v>
      </c>
      <c r="M84" s="7">
        <v>7.0000000000000001E-3</v>
      </c>
      <c r="N84" s="6">
        <f>H84*0.7%</f>
        <v>175.77230080364075</v>
      </c>
      <c r="O84" s="11">
        <f t="shared" si="36"/>
        <v>44.294619802517467</v>
      </c>
      <c r="P84" s="6">
        <f t="shared" si="37"/>
        <v>25154.623306036912</v>
      </c>
      <c r="R84" s="6">
        <f t="shared" si="38"/>
        <v>82.20411761541078</v>
      </c>
    </row>
    <row r="85" spans="1:18" x14ac:dyDescent="0.35">
      <c r="A85" t="s">
        <v>88</v>
      </c>
      <c r="B85" t="s">
        <v>5</v>
      </c>
      <c r="C85">
        <v>163</v>
      </c>
      <c r="E85">
        <f t="shared" si="39"/>
        <v>25154.623306036912</v>
      </c>
      <c r="F85" s="8">
        <f t="shared" ref="F85:F88" si="44">E85*0.6%</f>
        <v>150.92773983622146</v>
      </c>
      <c r="G85" s="9">
        <f t="shared" si="33"/>
        <v>38.033790438727806</v>
      </c>
      <c r="H85">
        <f t="shared" si="34"/>
        <v>25192.657096475639</v>
      </c>
      <c r="K85" t="s">
        <v>12</v>
      </c>
      <c r="L85">
        <v>164</v>
      </c>
      <c r="N85" s="6">
        <f t="shared" ref="N85:N88" si="45">H85*0.7%</f>
        <v>176.34859967532947</v>
      </c>
      <c r="O85" s="11">
        <f t="shared" si="36"/>
        <v>44.439847118183025</v>
      </c>
      <c r="P85">
        <f t="shared" si="37"/>
        <v>25237.096943593824</v>
      </c>
      <c r="R85">
        <f t="shared" si="38"/>
        <v>82.47363755691083</v>
      </c>
    </row>
    <row r="86" spans="1:18" x14ac:dyDescent="0.35">
      <c r="A86" t="s">
        <v>89</v>
      </c>
      <c r="B86" t="s">
        <v>5</v>
      </c>
      <c r="C86">
        <v>165</v>
      </c>
      <c r="E86">
        <f t="shared" si="39"/>
        <v>25237.096943593824</v>
      </c>
      <c r="F86" s="8">
        <f t="shared" si="44"/>
        <v>151.42258166156296</v>
      </c>
      <c r="G86" s="9">
        <f t="shared" si="33"/>
        <v>38.158490578713867</v>
      </c>
      <c r="H86">
        <f t="shared" si="34"/>
        <v>25275.255434172537</v>
      </c>
      <c r="K86" t="s">
        <v>12</v>
      </c>
      <c r="L86">
        <v>166</v>
      </c>
      <c r="N86" s="6">
        <f t="shared" si="45"/>
        <v>176.92678803920774</v>
      </c>
      <c r="O86" s="11">
        <f t="shared" si="36"/>
        <v>44.585550585880348</v>
      </c>
      <c r="P86">
        <f t="shared" si="37"/>
        <v>25319.840984758419</v>
      </c>
      <c r="R86">
        <f t="shared" si="38"/>
        <v>82.744041164594222</v>
      </c>
    </row>
    <row r="87" spans="1:18" x14ac:dyDescent="0.35">
      <c r="A87" t="s">
        <v>90</v>
      </c>
      <c r="B87" t="s">
        <v>5</v>
      </c>
      <c r="C87">
        <v>167</v>
      </c>
      <c r="E87">
        <f t="shared" si="39"/>
        <v>25319.840984758419</v>
      </c>
      <c r="F87" s="8">
        <f t="shared" si="44"/>
        <v>151.91904590855052</v>
      </c>
      <c r="G87" s="9">
        <f t="shared" si="33"/>
        <v>38.283599568954727</v>
      </c>
      <c r="H87">
        <f t="shared" si="34"/>
        <v>25358.124584327372</v>
      </c>
      <c r="K87" t="s">
        <v>12</v>
      </c>
      <c r="L87">
        <v>168</v>
      </c>
      <c r="N87" s="6">
        <f t="shared" si="45"/>
        <v>177.50687209029158</v>
      </c>
      <c r="O87" s="11">
        <f t="shared" si="36"/>
        <v>44.731731766753477</v>
      </c>
      <c r="P87">
        <f t="shared" si="37"/>
        <v>25402.856316094127</v>
      </c>
      <c r="R87">
        <f t="shared" si="38"/>
        <v>83.015331335708197</v>
      </c>
    </row>
    <row r="88" spans="1:18" x14ac:dyDescent="0.35">
      <c r="A88" t="s">
        <v>91</v>
      </c>
      <c r="B88" t="s">
        <v>5</v>
      </c>
      <c r="C88">
        <v>169</v>
      </c>
      <c r="E88">
        <f t="shared" si="39"/>
        <v>25402.856316094127</v>
      </c>
      <c r="F88" s="8">
        <f t="shared" si="44"/>
        <v>152.41713789656475</v>
      </c>
      <c r="G88" s="9">
        <f t="shared" si="33"/>
        <v>38.409118749934315</v>
      </c>
      <c r="H88">
        <f t="shared" si="34"/>
        <v>25441.265434844059</v>
      </c>
      <c r="K88" t="s">
        <v>12</v>
      </c>
      <c r="L88">
        <v>170</v>
      </c>
      <c r="N88" s="6">
        <f t="shared" si="45"/>
        <v>178.0888580439084</v>
      </c>
      <c r="O88" s="11">
        <f t="shared" si="36"/>
        <v>44.878392227064914</v>
      </c>
      <c r="P88">
        <f t="shared" si="37"/>
        <v>25486.143827071122</v>
      </c>
      <c r="R88">
        <f t="shared" si="38"/>
        <v>83.287510976999229</v>
      </c>
    </row>
    <row r="89" spans="1:18" s="6" customFormat="1" x14ac:dyDescent="0.35">
      <c r="A89" s="6" t="s">
        <v>92</v>
      </c>
      <c r="B89" s="6" t="s">
        <v>5</v>
      </c>
      <c r="C89" s="6">
        <v>171</v>
      </c>
      <c r="D89" s="7">
        <v>7.0000000000000001E-3</v>
      </c>
      <c r="E89" s="6">
        <f t="shared" si="39"/>
        <v>25486.143827071122</v>
      </c>
      <c r="F89" s="8">
        <f>E89*0.7%</f>
        <v>178.40300678949785</v>
      </c>
      <c r="G89" s="9">
        <f t="shared" si="33"/>
        <v>44.957557710953459</v>
      </c>
      <c r="H89" s="6">
        <f t="shared" si="34"/>
        <v>25531.101384782076</v>
      </c>
      <c r="K89" s="6" t="s">
        <v>12</v>
      </c>
      <c r="L89" s="6">
        <v>172</v>
      </c>
      <c r="M89" s="7">
        <v>8.0000000000000002E-3</v>
      </c>
      <c r="N89" s="6">
        <f>H89*0.8%</f>
        <v>204.24881107825661</v>
      </c>
      <c r="O89" s="11">
        <f t="shared" si="36"/>
        <v>51.470700391720669</v>
      </c>
      <c r="P89" s="6">
        <f t="shared" si="37"/>
        <v>25582.572085173797</v>
      </c>
      <c r="R89" s="6">
        <f t="shared" si="38"/>
        <v>96.428258102674135</v>
      </c>
    </row>
    <row r="90" spans="1:18" x14ac:dyDescent="0.35">
      <c r="A90" t="s">
        <v>93</v>
      </c>
      <c r="B90" t="s">
        <v>5</v>
      </c>
      <c r="C90">
        <v>173</v>
      </c>
      <c r="E90">
        <f t="shared" si="39"/>
        <v>25582.572085173797</v>
      </c>
      <c r="F90" s="8">
        <f t="shared" ref="F90:F93" si="46">E90*0.7%</f>
        <v>179.07800459621657</v>
      </c>
      <c r="G90" s="9">
        <f t="shared" si="33"/>
        <v>45.127657158246578</v>
      </c>
      <c r="H90">
        <f t="shared" si="34"/>
        <v>25627.699742332043</v>
      </c>
      <c r="K90" t="s">
        <v>12</v>
      </c>
      <c r="L90">
        <v>174</v>
      </c>
      <c r="N90" s="6">
        <f t="shared" ref="N90:N93" si="47">H90*0.8%</f>
        <v>205.02159793865636</v>
      </c>
      <c r="O90" s="11">
        <f t="shared" si="36"/>
        <v>51.665442680541403</v>
      </c>
      <c r="P90">
        <f t="shared" si="37"/>
        <v>25679.365185012583</v>
      </c>
      <c r="R90">
        <f t="shared" si="38"/>
        <v>96.793099838787981</v>
      </c>
    </row>
    <row r="91" spans="1:18" x14ac:dyDescent="0.35">
      <c r="A91" t="s">
        <v>94</v>
      </c>
      <c r="B91" t="s">
        <v>5</v>
      </c>
      <c r="C91">
        <v>175</v>
      </c>
      <c r="E91">
        <f t="shared" si="39"/>
        <v>25679.365185012583</v>
      </c>
      <c r="F91" s="8">
        <f t="shared" si="46"/>
        <v>179.75555629508807</v>
      </c>
      <c r="G91" s="9">
        <f t="shared" si="33"/>
        <v>45.298400186362194</v>
      </c>
      <c r="H91">
        <f t="shared" si="34"/>
        <v>25724.663585198945</v>
      </c>
      <c r="K91" t="s">
        <v>12</v>
      </c>
      <c r="L91">
        <v>176</v>
      </c>
      <c r="N91" s="6">
        <f t="shared" si="47"/>
        <v>205.79730868159157</v>
      </c>
      <c r="O91" s="11">
        <f t="shared" si="36"/>
        <v>51.860921787761079</v>
      </c>
      <c r="P91">
        <f t="shared" si="37"/>
        <v>25776.524506986705</v>
      </c>
      <c r="R91">
        <f t="shared" si="38"/>
        <v>97.159321974123273</v>
      </c>
    </row>
    <row r="92" spans="1:18" x14ac:dyDescent="0.35">
      <c r="A92" t="s">
        <v>95</v>
      </c>
      <c r="B92" t="s">
        <v>5</v>
      </c>
      <c r="C92">
        <v>177</v>
      </c>
      <c r="E92">
        <f t="shared" si="39"/>
        <v>25776.524506986705</v>
      </c>
      <c r="F92" s="8">
        <f t="shared" si="46"/>
        <v>180.43567154890692</v>
      </c>
      <c r="G92" s="9">
        <f t="shared" si="33"/>
        <v>45.469789230324544</v>
      </c>
      <c r="H92">
        <f t="shared" si="34"/>
        <v>25821.994296217028</v>
      </c>
      <c r="K92" t="s">
        <v>12</v>
      </c>
      <c r="L92">
        <v>178</v>
      </c>
      <c r="N92" s="6">
        <f t="shared" si="47"/>
        <v>206.57595436973622</v>
      </c>
      <c r="O92" s="11">
        <f t="shared" si="36"/>
        <v>52.057140501173528</v>
      </c>
      <c r="P92">
        <f t="shared" si="37"/>
        <v>25874.0514367182</v>
      </c>
      <c r="R92">
        <f t="shared" si="38"/>
        <v>97.526929731498072</v>
      </c>
    </row>
    <row r="93" spans="1:18" s="13" customFormat="1" x14ac:dyDescent="0.35">
      <c r="A93" s="13" t="s">
        <v>96</v>
      </c>
      <c r="B93" s="13" t="s">
        <v>5</v>
      </c>
      <c r="C93" s="13">
        <v>179</v>
      </c>
      <c r="E93" s="13">
        <f t="shared" si="39"/>
        <v>25874.0514367182</v>
      </c>
      <c r="F93" s="14">
        <f t="shared" si="46"/>
        <v>181.11836005702739</v>
      </c>
      <c r="G93" s="9">
        <f t="shared" si="33"/>
        <v>45.641826734370902</v>
      </c>
      <c r="H93" s="13">
        <f t="shared" si="34"/>
        <v>25919.693263452573</v>
      </c>
      <c r="K93" s="13" t="s">
        <v>12</v>
      </c>
      <c r="L93" s="13">
        <v>180</v>
      </c>
      <c r="N93" s="13">
        <f t="shared" si="47"/>
        <v>207.35754610762058</v>
      </c>
      <c r="O93" s="11">
        <f t="shared" si="36"/>
        <v>52.254101619120384</v>
      </c>
      <c r="P93" s="13">
        <f t="shared" si="37"/>
        <v>25971.947365071694</v>
      </c>
      <c r="R93" s="13">
        <f t="shared" si="38"/>
        <v>97.895928353491286</v>
      </c>
    </row>
    <row r="94" spans="1:18" s="6" customFormat="1" x14ac:dyDescent="0.35">
      <c r="A94" s="6" t="s">
        <v>97</v>
      </c>
      <c r="B94" s="6" t="s">
        <v>6</v>
      </c>
      <c r="C94" s="6">
        <v>181</v>
      </c>
      <c r="D94" s="7">
        <v>6.4999999999999997E-3</v>
      </c>
      <c r="E94" s="6">
        <f t="shared" si="39"/>
        <v>25971.947365071694</v>
      </c>
      <c r="F94" s="8">
        <f>E94*0.65%</f>
        <v>168.81765787296601</v>
      </c>
      <c r="G94" s="9">
        <f t="shared" si="33"/>
        <v>42.542049783987437</v>
      </c>
      <c r="H94" s="6">
        <f t="shared" si="34"/>
        <v>26014.489414855681</v>
      </c>
      <c r="I94" s="12">
        <v>0.45</v>
      </c>
      <c r="J94" s="12"/>
      <c r="K94" s="12" t="s">
        <v>12</v>
      </c>
      <c r="L94" s="6">
        <v>182</v>
      </c>
      <c r="M94" s="7">
        <v>8.9999999999999993E-3</v>
      </c>
      <c r="N94" s="6">
        <f>H94*0.9%</f>
        <v>234.13040473370117</v>
      </c>
      <c r="O94" s="11">
        <f t="shared" si="36"/>
        <v>59.000861992892695</v>
      </c>
      <c r="P94" s="6">
        <f t="shared" si="37"/>
        <v>26073.490276848574</v>
      </c>
      <c r="R94" s="6">
        <f t="shared" si="38"/>
        <v>101.54291177688013</v>
      </c>
    </row>
    <row r="95" spans="1:18" x14ac:dyDescent="0.35">
      <c r="A95" t="s">
        <v>98</v>
      </c>
      <c r="B95" t="s">
        <v>6</v>
      </c>
      <c r="C95">
        <v>183</v>
      </c>
      <c r="E95">
        <f t="shared" si="39"/>
        <v>26073.490276848574</v>
      </c>
      <c r="F95" s="8">
        <f t="shared" ref="F95:F98" si="48">E95*0.65%</f>
        <v>169.47768679951574</v>
      </c>
      <c r="G95" s="9">
        <f t="shared" si="33"/>
        <v>42.708377073477969</v>
      </c>
      <c r="H95">
        <f t="shared" si="34"/>
        <v>26116.198653922052</v>
      </c>
      <c r="K95" t="s">
        <v>12</v>
      </c>
      <c r="L95">
        <v>184</v>
      </c>
      <c r="N95" s="6">
        <f t="shared" ref="N95:N98" si="49">H95*0.9%</f>
        <v>235.04578788529849</v>
      </c>
      <c r="O95" s="11">
        <f t="shared" si="36"/>
        <v>59.231538547095219</v>
      </c>
      <c r="P95">
        <f t="shared" si="37"/>
        <v>26175.430192469146</v>
      </c>
      <c r="R95">
        <f t="shared" si="38"/>
        <v>101.93991562057319</v>
      </c>
    </row>
    <row r="96" spans="1:18" x14ac:dyDescent="0.35">
      <c r="A96" t="s">
        <v>99</v>
      </c>
      <c r="B96" t="s">
        <v>6</v>
      </c>
      <c r="C96">
        <v>185</v>
      </c>
      <c r="E96">
        <f t="shared" si="39"/>
        <v>26175.430192469146</v>
      </c>
      <c r="F96" s="8">
        <f t="shared" si="48"/>
        <v>170.14029625104948</v>
      </c>
      <c r="G96" s="9">
        <f t="shared" si="33"/>
        <v>42.875354655264466</v>
      </c>
      <c r="H96">
        <f t="shared" si="34"/>
        <v>26218.305547124412</v>
      </c>
      <c r="K96" t="s">
        <v>12</v>
      </c>
      <c r="L96">
        <v>186</v>
      </c>
      <c r="N96" s="6">
        <f t="shared" si="49"/>
        <v>235.96474992411973</v>
      </c>
      <c r="O96" s="11">
        <f t="shared" si="36"/>
        <v>59.463116980878169</v>
      </c>
      <c r="P96">
        <f t="shared" si="37"/>
        <v>26277.76866410529</v>
      </c>
      <c r="R96">
        <f t="shared" si="38"/>
        <v>102.33847163614263</v>
      </c>
    </row>
    <row r="97" spans="1:18" x14ac:dyDescent="0.35">
      <c r="A97" t="s">
        <v>100</v>
      </c>
      <c r="B97" t="s">
        <v>6</v>
      </c>
      <c r="C97">
        <v>187</v>
      </c>
      <c r="E97">
        <f t="shared" si="39"/>
        <v>26277.76866410529</v>
      </c>
      <c r="F97" s="8">
        <f t="shared" si="48"/>
        <v>170.80549631668441</v>
      </c>
      <c r="G97" s="9">
        <f t="shared" si="33"/>
        <v>43.042985071804473</v>
      </c>
      <c r="H97">
        <f t="shared" si="34"/>
        <v>26320.811649177092</v>
      </c>
      <c r="K97" t="s">
        <v>12</v>
      </c>
      <c r="L97">
        <v>188</v>
      </c>
      <c r="N97" s="6">
        <f t="shared" si="49"/>
        <v>236.88730484259386</v>
      </c>
      <c r="O97" s="11">
        <f t="shared" si="36"/>
        <v>59.695600820333652</v>
      </c>
      <c r="P97">
        <f t="shared" si="37"/>
        <v>26380.507249997427</v>
      </c>
      <c r="R97">
        <f t="shared" si="38"/>
        <v>102.73858589213813</v>
      </c>
    </row>
    <row r="98" spans="1:18" x14ac:dyDescent="0.35">
      <c r="A98" t="s">
        <v>101</v>
      </c>
      <c r="B98" t="s">
        <v>6</v>
      </c>
      <c r="C98">
        <v>189</v>
      </c>
      <c r="E98">
        <f t="shared" si="39"/>
        <v>26380.507249997427</v>
      </c>
      <c r="F98" s="8">
        <f t="shared" si="48"/>
        <v>171.47329712498328</v>
      </c>
      <c r="G98" s="9">
        <f t="shared" si="33"/>
        <v>43.211270875495785</v>
      </c>
      <c r="H98">
        <f t="shared" si="34"/>
        <v>26423.718520872924</v>
      </c>
      <c r="K98" t="s">
        <v>12</v>
      </c>
      <c r="L98">
        <v>190</v>
      </c>
      <c r="N98" s="6">
        <f t="shared" si="49"/>
        <v>237.81346668785633</v>
      </c>
      <c r="O98" s="11">
        <f t="shared" si="36"/>
        <v>59.928993605339798</v>
      </c>
      <c r="P98">
        <f t="shared" si="37"/>
        <v>26483.647514478263</v>
      </c>
      <c r="R98">
        <f t="shared" si="38"/>
        <v>103.14026448083558</v>
      </c>
    </row>
    <row r="99" spans="1:18" s="6" customFormat="1" x14ac:dyDescent="0.35">
      <c r="A99" s="6" t="s">
        <v>102</v>
      </c>
      <c r="B99" s="6" t="s">
        <v>6</v>
      </c>
      <c r="C99" s="6">
        <v>191</v>
      </c>
      <c r="D99" s="7">
        <v>6.0000000000000001E-3</v>
      </c>
      <c r="E99" s="6">
        <f t="shared" si="39"/>
        <v>26483.647514478263</v>
      </c>
      <c r="F99" s="8">
        <f>E99*0.6%</f>
        <v>158.90188508686958</v>
      </c>
      <c r="G99" s="9">
        <f t="shared" si="33"/>
        <v>40.043275041891135</v>
      </c>
      <c r="H99" s="6">
        <f t="shared" si="34"/>
        <v>26523.690789520155</v>
      </c>
      <c r="K99" s="6" t="s">
        <v>12</v>
      </c>
      <c r="L99" s="6">
        <v>192</v>
      </c>
      <c r="M99" s="7">
        <v>8.5000000000000006E-3</v>
      </c>
      <c r="N99" s="6">
        <f>H99*0.85%</f>
        <v>225.45137171092134</v>
      </c>
      <c r="O99" s="11">
        <f t="shared" si="36"/>
        <v>56.813745671152176</v>
      </c>
      <c r="P99" s="6">
        <f t="shared" si="37"/>
        <v>26580.504535191307</v>
      </c>
      <c r="R99" s="6">
        <f t="shared" si="38"/>
        <v>96.857020713043312</v>
      </c>
    </row>
    <row r="100" spans="1:18" x14ac:dyDescent="0.35">
      <c r="A100" t="s">
        <v>103</v>
      </c>
      <c r="B100" t="s">
        <v>6</v>
      </c>
      <c r="C100">
        <v>193</v>
      </c>
      <c r="E100">
        <f t="shared" si="39"/>
        <v>26580.504535191307</v>
      </c>
      <c r="F100" s="8">
        <f t="shared" ref="F100:F103" si="50">E100*0.6%</f>
        <v>159.48302721114786</v>
      </c>
      <c r="G100" s="9">
        <f t="shared" si="33"/>
        <v>40.189722857209262</v>
      </c>
      <c r="H100">
        <f t="shared" si="34"/>
        <v>26620.694258048516</v>
      </c>
      <c r="K100" t="s">
        <v>12</v>
      </c>
      <c r="L100">
        <v>194</v>
      </c>
      <c r="N100" s="6">
        <f t="shared" ref="N100:N103" si="51">H100*0.85%</f>
        <v>226.27590119341241</v>
      </c>
      <c r="O100" s="11">
        <f t="shared" si="36"/>
        <v>57.021527100739931</v>
      </c>
      <c r="P100">
        <f t="shared" si="37"/>
        <v>26677.715785149256</v>
      </c>
      <c r="R100">
        <f t="shared" si="38"/>
        <v>97.211249957949192</v>
      </c>
    </row>
    <row r="101" spans="1:18" x14ac:dyDescent="0.35">
      <c r="A101" t="s">
        <v>104</v>
      </c>
      <c r="B101" t="s">
        <v>6</v>
      </c>
      <c r="C101">
        <v>195</v>
      </c>
      <c r="E101">
        <f t="shared" si="39"/>
        <v>26677.715785149256</v>
      </c>
      <c r="F101" s="8">
        <f t="shared" si="50"/>
        <v>160.06629471089553</v>
      </c>
      <c r="G101" s="9">
        <f t="shared" si="33"/>
        <v>40.336706267145672</v>
      </c>
      <c r="H101">
        <f t="shared" si="34"/>
        <v>26718.052491416402</v>
      </c>
      <c r="K101" t="s">
        <v>12</v>
      </c>
      <c r="L101">
        <v>196</v>
      </c>
      <c r="N101" s="6">
        <f t="shared" si="51"/>
        <v>227.10344617703942</v>
      </c>
      <c r="O101" s="11">
        <f t="shared" si="36"/>
        <v>57.230068436613934</v>
      </c>
      <c r="P101">
        <f t="shared" si="37"/>
        <v>26775.282559853014</v>
      </c>
      <c r="R101">
        <f t="shared" si="38"/>
        <v>97.566774703759606</v>
      </c>
    </row>
    <row r="102" spans="1:18" x14ac:dyDescent="0.35">
      <c r="A102" t="s">
        <v>105</v>
      </c>
      <c r="B102" t="s">
        <v>6</v>
      </c>
      <c r="C102">
        <v>197</v>
      </c>
      <c r="E102">
        <f t="shared" si="39"/>
        <v>26775.282559853014</v>
      </c>
      <c r="F102" s="8">
        <f t="shared" si="50"/>
        <v>160.65169535911809</v>
      </c>
      <c r="G102" s="9">
        <f t="shared" si="33"/>
        <v>40.484227230497758</v>
      </c>
      <c r="H102">
        <f t="shared" si="34"/>
        <v>26815.766787083514</v>
      </c>
      <c r="K102" t="s">
        <v>12</v>
      </c>
      <c r="L102">
        <v>198</v>
      </c>
      <c r="N102" s="6">
        <f t="shared" si="51"/>
        <v>227.93401769020988</v>
      </c>
      <c r="O102" s="11">
        <f t="shared" si="36"/>
        <v>57.43937245793289</v>
      </c>
      <c r="P102">
        <f t="shared" si="37"/>
        <v>26873.206159541445</v>
      </c>
      <c r="R102">
        <f t="shared" si="38"/>
        <v>97.923599688430642</v>
      </c>
    </row>
    <row r="103" spans="1:18" x14ac:dyDescent="0.35">
      <c r="A103" t="s">
        <v>106</v>
      </c>
      <c r="B103" t="s">
        <v>6</v>
      </c>
      <c r="C103">
        <v>199</v>
      </c>
      <c r="E103">
        <f t="shared" si="39"/>
        <v>26873.206159541445</v>
      </c>
      <c r="F103" s="8">
        <f t="shared" si="50"/>
        <v>161.23923695724866</v>
      </c>
      <c r="G103" s="9">
        <f t="shared" si="33"/>
        <v>40.632287713226667</v>
      </c>
      <c r="H103">
        <f t="shared" si="34"/>
        <v>26913.838447254671</v>
      </c>
      <c r="K103" t="s">
        <v>12</v>
      </c>
      <c r="L103">
        <v>200</v>
      </c>
      <c r="N103" s="6">
        <f t="shared" si="51"/>
        <v>228.76762680166473</v>
      </c>
      <c r="O103" s="11">
        <f t="shared" si="36"/>
        <v>57.649441954019515</v>
      </c>
      <c r="P103">
        <f t="shared" si="37"/>
        <v>26971.487889208693</v>
      </c>
      <c r="R103">
        <f t="shared" si="38"/>
        <v>98.281729667246182</v>
      </c>
    </row>
    <row r="104" spans="1:18" s="6" customFormat="1" x14ac:dyDescent="0.35">
      <c r="A104" s="6" t="s">
        <v>107</v>
      </c>
      <c r="B104" s="6" t="s">
        <v>6</v>
      </c>
      <c r="C104" s="6">
        <v>201</v>
      </c>
      <c r="D104" s="7">
        <v>5.4999999999999997E-3</v>
      </c>
      <c r="E104" s="6">
        <f t="shared" si="39"/>
        <v>26971.487889208693</v>
      </c>
      <c r="F104" s="8">
        <f>E104*0.55%</f>
        <v>148.34318339064782</v>
      </c>
      <c r="G104" s="9">
        <f t="shared" si="33"/>
        <v>37.38248221444325</v>
      </c>
      <c r="H104" s="6">
        <f t="shared" si="34"/>
        <v>27008.870371423134</v>
      </c>
      <c r="K104" s="6" t="s">
        <v>12</v>
      </c>
      <c r="L104" s="6">
        <v>202</v>
      </c>
      <c r="M104" s="7">
        <v>8.0000000000000002E-3</v>
      </c>
      <c r="N104" s="6">
        <f>H104*0.8%</f>
        <v>216.07096297138509</v>
      </c>
      <c r="O104" s="11">
        <f t="shared" si="36"/>
        <v>54.449882668789044</v>
      </c>
      <c r="P104" s="6">
        <f t="shared" si="37"/>
        <v>27063.320254091923</v>
      </c>
      <c r="R104" s="6">
        <f t="shared" si="38"/>
        <v>91.832364883232287</v>
      </c>
    </row>
    <row r="105" spans="1:18" x14ac:dyDescent="0.35">
      <c r="A105" t="s">
        <v>108</v>
      </c>
      <c r="B105" t="s">
        <v>6</v>
      </c>
      <c r="C105">
        <v>203</v>
      </c>
      <c r="E105">
        <f t="shared" si="39"/>
        <v>27063.320254091923</v>
      </c>
      <c r="F105" s="8">
        <f t="shared" ref="F105:F108" si="52">E105*0.55%</f>
        <v>148.84826139750558</v>
      </c>
      <c r="G105" s="9">
        <f t="shared" si="33"/>
        <v>37.50976187217141</v>
      </c>
      <c r="H105">
        <f t="shared" si="34"/>
        <v>27100.830015964093</v>
      </c>
      <c r="K105" t="s">
        <v>12</v>
      </c>
      <c r="L105">
        <v>204</v>
      </c>
      <c r="N105" s="6">
        <f t="shared" ref="N105:N108" si="53">H105*0.8%</f>
        <v>216.80664012771274</v>
      </c>
      <c r="O105" s="11">
        <f t="shared" si="36"/>
        <v>54.635273312183614</v>
      </c>
      <c r="P105">
        <f t="shared" si="37"/>
        <v>27155.465289276275</v>
      </c>
      <c r="R105">
        <f t="shared" si="38"/>
        <v>92.145035184355024</v>
      </c>
    </row>
    <row r="106" spans="1:18" x14ac:dyDescent="0.35">
      <c r="A106" t="s">
        <v>109</v>
      </c>
      <c r="B106" t="s">
        <v>6</v>
      </c>
      <c r="C106">
        <v>205</v>
      </c>
      <c r="E106">
        <f t="shared" si="39"/>
        <v>27155.465289276275</v>
      </c>
      <c r="F106" s="8">
        <f t="shared" si="52"/>
        <v>149.35505909101954</v>
      </c>
      <c r="G106" s="9">
        <f t="shared" si="33"/>
        <v>37.637474890936922</v>
      </c>
      <c r="H106">
        <f t="shared" si="34"/>
        <v>27193.102764167212</v>
      </c>
      <c r="K106" t="s">
        <v>12</v>
      </c>
      <c r="L106">
        <v>206</v>
      </c>
      <c r="N106" s="6">
        <f t="shared" si="53"/>
        <v>217.54482211333769</v>
      </c>
      <c r="O106" s="11">
        <f t="shared" si="36"/>
        <v>54.821295172561101</v>
      </c>
      <c r="P106">
        <f t="shared" si="37"/>
        <v>27247.924059339774</v>
      </c>
      <c r="R106">
        <f t="shared" si="38"/>
        <v>92.458770063498022</v>
      </c>
    </row>
    <row r="107" spans="1:18" x14ac:dyDescent="0.35">
      <c r="A107" t="s">
        <v>110</v>
      </c>
      <c r="B107" t="s">
        <v>6</v>
      </c>
      <c r="C107">
        <v>207</v>
      </c>
      <c r="E107">
        <f t="shared" si="39"/>
        <v>27247.924059339774</v>
      </c>
      <c r="F107" s="8">
        <f t="shared" si="52"/>
        <v>149.86358232636877</v>
      </c>
      <c r="G107" s="9">
        <f t="shared" si="33"/>
        <v>37.765622746244929</v>
      </c>
      <c r="H107">
        <f t="shared" si="34"/>
        <v>27285.68968208602</v>
      </c>
      <c r="K107" t="s">
        <v>12</v>
      </c>
      <c r="L107">
        <v>208</v>
      </c>
      <c r="N107" s="6">
        <f t="shared" si="53"/>
        <v>218.28551745668815</v>
      </c>
      <c r="O107" s="11">
        <f t="shared" si="36"/>
        <v>55.007950399085416</v>
      </c>
      <c r="P107">
        <f t="shared" si="37"/>
        <v>27340.697632485106</v>
      </c>
      <c r="R107">
        <f t="shared" si="38"/>
        <v>92.773573145330346</v>
      </c>
    </row>
    <row r="108" spans="1:18" x14ac:dyDescent="0.35">
      <c r="A108" t="s">
        <v>111</v>
      </c>
      <c r="B108" t="s">
        <v>6</v>
      </c>
      <c r="C108">
        <v>209</v>
      </c>
      <c r="D108" s="15"/>
      <c r="E108">
        <f t="shared" si="39"/>
        <v>27340.697632485106</v>
      </c>
      <c r="F108" s="8">
        <f t="shared" si="52"/>
        <v>150.37383697866809</v>
      </c>
      <c r="G108" s="9">
        <f t="shared" si="33"/>
        <v>37.894206918624363</v>
      </c>
      <c r="H108">
        <f t="shared" si="34"/>
        <v>27378.591839403729</v>
      </c>
      <c r="K108" t="s">
        <v>12</v>
      </c>
      <c r="L108">
        <v>210</v>
      </c>
      <c r="N108" s="6">
        <f t="shared" si="53"/>
        <v>219.02873471522983</v>
      </c>
      <c r="O108" s="11">
        <f t="shared" si="36"/>
        <v>55.195241148237919</v>
      </c>
      <c r="P108">
        <f t="shared" si="37"/>
        <v>27433.787080551967</v>
      </c>
      <c r="R108">
        <f t="shared" si="38"/>
        <v>93.089448066862275</v>
      </c>
    </row>
    <row r="109" spans="1:18" s="6" customFormat="1" x14ac:dyDescent="0.35">
      <c r="A109" s="6" t="s">
        <v>112</v>
      </c>
      <c r="B109" s="6" t="s">
        <v>6</v>
      </c>
      <c r="C109" s="6">
        <v>211</v>
      </c>
      <c r="D109" s="7">
        <v>5.0000000000000001E-3</v>
      </c>
      <c r="E109" s="6">
        <f t="shared" si="39"/>
        <v>27433.787080551967</v>
      </c>
      <c r="F109" s="8">
        <f>E109*0.5%</f>
        <v>137.16893540275984</v>
      </c>
      <c r="G109" s="9">
        <f t="shared" si="33"/>
        <v>34.566571721495478</v>
      </c>
      <c r="H109" s="6">
        <f t="shared" si="34"/>
        <v>27468.353652273461</v>
      </c>
      <c r="K109" s="6" t="s">
        <v>12</v>
      </c>
      <c r="L109" s="6">
        <v>212</v>
      </c>
      <c r="M109" s="7">
        <v>7.4999999999999997E-3</v>
      </c>
      <c r="N109" s="6">
        <f>H109*0.75%</f>
        <v>206.01265239205094</v>
      </c>
      <c r="O109" s="11">
        <f t="shared" si="36"/>
        <v>51.915188402796836</v>
      </c>
      <c r="P109" s="6">
        <f t="shared" si="37"/>
        <v>27520.268840676257</v>
      </c>
      <c r="R109" s="6">
        <f t="shared" si="38"/>
        <v>86.481760124292322</v>
      </c>
    </row>
    <row r="110" spans="1:18" x14ac:dyDescent="0.35">
      <c r="A110" t="s">
        <v>113</v>
      </c>
      <c r="B110" t="s">
        <v>6</v>
      </c>
      <c r="C110">
        <v>213</v>
      </c>
      <c r="E110">
        <f t="shared" si="39"/>
        <v>27520.268840676257</v>
      </c>
      <c r="F110" s="8">
        <f t="shared" ref="F110:F113" si="54">E110*0.5%</f>
        <v>137.6013442033813</v>
      </c>
      <c r="G110" s="9">
        <f t="shared" si="33"/>
        <v>34.67553873925209</v>
      </c>
      <c r="H110">
        <f t="shared" si="34"/>
        <v>27554.944379415509</v>
      </c>
      <c r="K110" t="s">
        <v>12</v>
      </c>
      <c r="L110">
        <v>214</v>
      </c>
      <c r="N110" s="6">
        <f t="shared" ref="N110:N113" si="55">H110*0.75%</f>
        <v>206.66208284561631</v>
      </c>
      <c r="O110" s="11">
        <f t="shared" si="36"/>
        <v>52.078844877095314</v>
      </c>
      <c r="P110">
        <f t="shared" si="37"/>
        <v>27607.023224292603</v>
      </c>
      <c r="R110">
        <f t="shared" si="38"/>
        <v>86.754383616347411</v>
      </c>
    </row>
    <row r="111" spans="1:18" x14ac:dyDescent="0.35">
      <c r="A111" t="s">
        <v>114</v>
      </c>
      <c r="B111" t="s">
        <v>6</v>
      </c>
      <c r="C111">
        <v>215</v>
      </c>
      <c r="E111">
        <f t="shared" si="39"/>
        <v>27607.023224292603</v>
      </c>
      <c r="F111" s="8">
        <f t="shared" si="54"/>
        <v>138.03511612146301</v>
      </c>
      <c r="G111" s="9">
        <f t="shared" si="33"/>
        <v>34.784849262608681</v>
      </c>
      <c r="H111">
        <f t="shared" si="34"/>
        <v>27641.80807355521</v>
      </c>
      <c r="K111" t="s">
        <v>12</v>
      </c>
      <c r="L111">
        <v>216</v>
      </c>
      <c r="N111" s="6">
        <f t="shared" si="55"/>
        <v>207.31356055166407</v>
      </c>
      <c r="O111" s="11">
        <f t="shared" si="36"/>
        <v>52.243017259019346</v>
      </c>
      <c r="P111">
        <f t="shared" si="37"/>
        <v>27694.051090814231</v>
      </c>
      <c r="R111">
        <f t="shared" si="38"/>
        <v>87.027866521628027</v>
      </c>
    </row>
    <row r="112" spans="1:18" x14ac:dyDescent="0.35">
      <c r="A112" t="s">
        <v>115</v>
      </c>
      <c r="B112" t="s">
        <v>6</v>
      </c>
      <c r="C112">
        <v>217</v>
      </c>
      <c r="E112">
        <f t="shared" si="39"/>
        <v>27694.051090814231</v>
      </c>
      <c r="F112" s="8">
        <f t="shared" si="54"/>
        <v>138.47025545407115</v>
      </c>
      <c r="G112" s="9">
        <f t="shared" si="33"/>
        <v>34.894504374425928</v>
      </c>
      <c r="H112">
        <f t="shared" si="34"/>
        <v>27728.945595188656</v>
      </c>
      <c r="K112" t="s">
        <v>12</v>
      </c>
      <c r="L112">
        <v>218</v>
      </c>
      <c r="N112" s="6">
        <f t="shared" si="55"/>
        <v>207.9670919639149</v>
      </c>
      <c r="O112" s="11">
        <f t="shared" si="36"/>
        <v>52.407707174906555</v>
      </c>
      <c r="P112">
        <f t="shared" si="37"/>
        <v>27781.353302363561</v>
      </c>
      <c r="R112">
        <f t="shared" si="38"/>
        <v>87.302211549332483</v>
      </c>
    </row>
    <row r="113" spans="1:18" x14ac:dyDescent="0.35">
      <c r="A113" t="s">
        <v>116</v>
      </c>
      <c r="B113" t="s">
        <v>6</v>
      </c>
      <c r="C113">
        <v>219</v>
      </c>
      <c r="E113">
        <f t="shared" si="39"/>
        <v>27781.353302363561</v>
      </c>
      <c r="F113" s="8">
        <f t="shared" si="54"/>
        <v>138.90676651181781</v>
      </c>
      <c r="G113" s="9">
        <f t="shared" si="33"/>
        <v>35.004505160978084</v>
      </c>
      <c r="H113">
        <f t="shared" si="34"/>
        <v>27816.357807524539</v>
      </c>
      <c r="K113" t="s">
        <v>12</v>
      </c>
      <c r="L113">
        <v>220</v>
      </c>
      <c r="N113" s="6">
        <f t="shared" si="55"/>
        <v>208.62268355643403</v>
      </c>
      <c r="O113" s="11">
        <f t="shared" si="36"/>
        <v>52.572916256221376</v>
      </c>
      <c r="P113">
        <f t="shared" si="37"/>
        <v>27868.930723780759</v>
      </c>
      <c r="R113">
        <f t="shared" si="38"/>
        <v>87.57742141719946</v>
      </c>
    </row>
    <row r="114" spans="1:18" s="6" customFormat="1" x14ac:dyDescent="0.35">
      <c r="A114" s="6" t="s">
        <v>117</v>
      </c>
      <c r="B114" s="6" t="s">
        <v>6</v>
      </c>
      <c r="C114" s="6">
        <v>221</v>
      </c>
      <c r="D114" s="7">
        <v>4.4999999999999997E-3</v>
      </c>
      <c r="E114" s="6">
        <f t="shared" si="39"/>
        <v>27868.930723780759</v>
      </c>
      <c r="F114" s="8">
        <f>E114*0.45%</f>
        <v>125.41018825701343</v>
      </c>
      <c r="G114" s="9">
        <f t="shared" si="33"/>
        <v>31.603367440767386</v>
      </c>
      <c r="H114" s="6">
        <f t="shared" si="34"/>
        <v>27900.534091221525</v>
      </c>
      <c r="K114" s="6" t="s">
        <v>12</v>
      </c>
      <c r="L114" s="6">
        <v>222</v>
      </c>
      <c r="M114" s="7">
        <v>7.0000000000000097E-3</v>
      </c>
      <c r="N114" s="6">
        <f>H114*0.7%</f>
        <v>195.30373863855067</v>
      </c>
      <c r="O114" s="11">
        <f t="shared" si="36"/>
        <v>49.216542136914768</v>
      </c>
      <c r="P114" s="6">
        <f t="shared" si="37"/>
        <v>27949.750633358439</v>
      </c>
      <c r="R114" s="6">
        <f t="shared" si="38"/>
        <v>80.819909577682154</v>
      </c>
    </row>
    <row r="115" spans="1:18" x14ac:dyDescent="0.35">
      <c r="A115" t="s">
        <v>118</v>
      </c>
      <c r="B115" t="s">
        <v>6</v>
      </c>
      <c r="C115">
        <v>223</v>
      </c>
      <c r="E115">
        <f t="shared" si="39"/>
        <v>27949.750633358439</v>
      </c>
      <c r="F115" s="8">
        <f t="shared" ref="F115:F118" si="56">E115*0.45%</f>
        <v>125.773877850113</v>
      </c>
      <c r="G115" s="9">
        <f t="shared" si="33"/>
        <v>31.695017218228475</v>
      </c>
      <c r="H115">
        <f t="shared" si="34"/>
        <v>27981.445650576668</v>
      </c>
      <c r="K115" t="s">
        <v>12</v>
      </c>
      <c r="L115">
        <v>224</v>
      </c>
      <c r="N115" s="6">
        <f t="shared" ref="N115:N118" si="57">H115*0.7%</f>
        <v>195.87011955403665</v>
      </c>
      <c r="O115" s="11">
        <f t="shared" si="36"/>
        <v>49.359270127617236</v>
      </c>
      <c r="P115">
        <f t="shared" si="37"/>
        <v>28030.804920704286</v>
      </c>
      <c r="R115">
        <f t="shared" si="38"/>
        <v>81.054287345845708</v>
      </c>
    </row>
    <row r="116" spans="1:18" x14ac:dyDescent="0.35">
      <c r="A116" t="s">
        <v>119</v>
      </c>
      <c r="B116" t="s">
        <v>6</v>
      </c>
      <c r="C116">
        <v>225</v>
      </c>
      <c r="E116">
        <f t="shared" si="39"/>
        <v>28030.804920704286</v>
      </c>
      <c r="F116" s="8">
        <f t="shared" si="56"/>
        <v>126.1386221431693</v>
      </c>
      <c r="G116" s="9">
        <f t="shared" si="33"/>
        <v>31.786932780078665</v>
      </c>
      <c r="H116">
        <f t="shared" si="34"/>
        <v>28062.591853484366</v>
      </c>
      <c r="K116" t="s">
        <v>12</v>
      </c>
      <c r="L116">
        <v>226</v>
      </c>
      <c r="N116" s="6">
        <f t="shared" si="57"/>
        <v>196.43814297439053</v>
      </c>
      <c r="O116" s="11">
        <f t="shared" si="36"/>
        <v>49.502412029546413</v>
      </c>
      <c r="P116">
        <f t="shared" si="37"/>
        <v>28112.094265513912</v>
      </c>
      <c r="R116">
        <f t="shared" si="38"/>
        <v>81.289344809625078</v>
      </c>
    </row>
    <row r="117" spans="1:18" x14ac:dyDescent="0.35">
      <c r="A117" t="s">
        <v>120</v>
      </c>
      <c r="B117" t="s">
        <v>6</v>
      </c>
      <c r="C117">
        <v>227</v>
      </c>
      <c r="E117">
        <f t="shared" si="39"/>
        <v>28112.094265513912</v>
      </c>
      <c r="F117" s="8">
        <f t="shared" si="56"/>
        <v>126.50442419481261</v>
      </c>
      <c r="G117" s="9">
        <f t="shared" si="33"/>
        <v>31.87911489709278</v>
      </c>
      <c r="H117">
        <f t="shared" si="34"/>
        <v>28143.973380411004</v>
      </c>
      <c r="K117" t="s">
        <v>12</v>
      </c>
      <c r="L117">
        <v>228</v>
      </c>
      <c r="N117" s="6">
        <f t="shared" si="57"/>
        <v>197.007813662877</v>
      </c>
      <c r="O117" s="11">
        <f t="shared" si="36"/>
        <v>49.645969043045007</v>
      </c>
      <c r="P117">
        <f t="shared" si="37"/>
        <v>28193.619349454049</v>
      </c>
      <c r="R117">
        <f t="shared" si="38"/>
        <v>81.52508394013779</v>
      </c>
    </row>
    <row r="118" spans="1:18" x14ac:dyDescent="0.35">
      <c r="A118" t="s">
        <v>121</v>
      </c>
      <c r="B118" t="s">
        <v>6</v>
      </c>
      <c r="C118">
        <v>229</v>
      </c>
      <c r="E118">
        <f t="shared" si="39"/>
        <v>28193.619349454049</v>
      </c>
      <c r="F118" s="8">
        <f t="shared" si="56"/>
        <v>126.87128707254324</v>
      </c>
      <c r="G118" s="9">
        <f t="shared" si="33"/>
        <v>31.971564342280896</v>
      </c>
      <c r="H118">
        <f t="shared" si="34"/>
        <v>28225.590913796332</v>
      </c>
      <c r="K118" t="s">
        <v>12</v>
      </c>
      <c r="L118">
        <v>230</v>
      </c>
      <c r="N118" s="6">
        <f t="shared" si="57"/>
        <v>197.57913639657431</v>
      </c>
      <c r="O118" s="11">
        <f t="shared" si="36"/>
        <v>49.789942371936725</v>
      </c>
      <c r="P118">
        <f t="shared" si="37"/>
        <v>28275.380856168267</v>
      </c>
      <c r="R118">
        <f t="shared" si="38"/>
        <v>81.761506714217617</v>
      </c>
    </row>
    <row r="119" spans="1:18" s="6" customFormat="1" x14ac:dyDescent="0.35">
      <c r="A119" s="6" t="s">
        <v>122</v>
      </c>
      <c r="B119" s="6" t="s">
        <v>6</v>
      </c>
      <c r="C119" s="6">
        <v>231</v>
      </c>
      <c r="D119" s="7">
        <v>4.0000000000000001E-3</v>
      </c>
      <c r="E119" s="6">
        <f t="shared" si="39"/>
        <v>28275.380856168267</v>
      </c>
      <c r="F119" s="8">
        <f>E119*0.4%</f>
        <v>113.10152342467308</v>
      </c>
      <c r="G119" s="9">
        <f t="shared" si="33"/>
        <v>28.501583903017615</v>
      </c>
      <c r="H119" s="6">
        <f t="shared" si="34"/>
        <v>28303.882440071284</v>
      </c>
      <c r="K119" s="6" t="s">
        <v>12</v>
      </c>
      <c r="L119" s="6">
        <v>232</v>
      </c>
      <c r="M119" s="7">
        <v>6.5000000000000101E-3</v>
      </c>
      <c r="N119" s="6">
        <f>H119*0.65%</f>
        <v>183.97523586046336</v>
      </c>
      <c r="O119" s="11">
        <f t="shared" si="36"/>
        <v>46.361759436836763</v>
      </c>
      <c r="P119" s="6">
        <f t="shared" si="37"/>
        <v>28350.244199508121</v>
      </c>
      <c r="R119" s="6">
        <f t="shared" si="38"/>
        <v>74.863343339854381</v>
      </c>
    </row>
    <row r="120" spans="1:18" x14ac:dyDescent="0.35">
      <c r="A120" t="s">
        <v>123</v>
      </c>
      <c r="B120" t="s">
        <v>6</v>
      </c>
      <c r="C120">
        <v>233</v>
      </c>
      <c r="E120">
        <f t="shared" si="39"/>
        <v>28350.244199508121</v>
      </c>
      <c r="F120" s="8">
        <f t="shared" ref="F120:F123" si="58">E120*0.4%</f>
        <v>113.40097679803249</v>
      </c>
      <c r="G120" s="9">
        <f t="shared" si="33"/>
        <v>28.577046153104188</v>
      </c>
      <c r="H120">
        <f t="shared" si="34"/>
        <v>28378.821245661224</v>
      </c>
      <c r="K120" t="s">
        <v>12</v>
      </c>
      <c r="L120">
        <v>234</v>
      </c>
      <c r="N120" s="6">
        <f t="shared" ref="N120:N123" si="59">H120*0.65%</f>
        <v>184.46233809679796</v>
      </c>
      <c r="O120" s="11">
        <f t="shared" si="36"/>
        <v>46.484509200393084</v>
      </c>
      <c r="P120">
        <f t="shared" si="37"/>
        <v>28425.305754861616</v>
      </c>
      <c r="R120">
        <f t="shared" si="38"/>
        <v>75.061555353497269</v>
      </c>
    </row>
    <row r="121" spans="1:18" x14ac:dyDescent="0.35">
      <c r="A121" t="s">
        <v>124</v>
      </c>
      <c r="B121" t="s">
        <v>6</v>
      </c>
      <c r="C121">
        <v>235</v>
      </c>
      <c r="E121">
        <f t="shared" si="39"/>
        <v>28425.305754861616</v>
      </c>
      <c r="F121" s="8">
        <f t="shared" si="58"/>
        <v>113.70122301944647</v>
      </c>
      <c r="G121" s="9">
        <f t="shared" si="33"/>
        <v>28.652708200900513</v>
      </c>
      <c r="H121">
        <f t="shared" si="34"/>
        <v>28453.958463062518</v>
      </c>
      <c r="K121" t="s">
        <v>12</v>
      </c>
      <c r="L121">
        <v>236</v>
      </c>
      <c r="N121" s="6">
        <f t="shared" si="59"/>
        <v>184.95073000990638</v>
      </c>
      <c r="O121" s="11">
        <f t="shared" si="36"/>
        <v>46.607583962496406</v>
      </c>
      <c r="P121">
        <f t="shared" si="37"/>
        <v>28500.566047025015</v>
      </c>
      <c r="R121">
        <f t="shared" si="38"/>
        <v>75.260292163396912</v>
      </c>
    </row>
    <row r="122" spans="1:18" x14ac:dyDescent="0.35">
      <c r="A122" t="s">
        <v>125</v>
      </c>
      <c r="B122" t="s">
        <v>6</v>
      </c>
      <c r="C122">
        <v>237</v>
      </c>
      <c r="E122">
        <f t="shared" si="39"/>
        <v>28500.566047025015</v>
      </c>
      <c r="F122" s="8">
        <f t="shared" si="58"/>
        <v>114.00226418810006</v>
      </c>
      <c r="G122" s="9">
        <f t="shared" si="33"/>
        <v>28.728570575401214</v>
      </c>
      <c r="H122">
        <f t="shared" si="34"/>
        <v>28529.294617600415</v>
      </c>
      <c r="K122" t="s">
        <v>12</v>
      </c>
      <c r="L122">
        <v>238</v>
      </c>
      <c r="N122" s="6">
        <f t="shared" si="59"/>
        <v>185.4404150144027</v>
      </c>
      <c r="O122" s="11">
        <f t="shared" si="36"/>
        <v>46.730984583629478</v>
      </c>
      <c r="P122">
        <f t="shared" si="37"/>
        <v>28576.025602184043</v>
      </c>
      <c r="R122">
        <f t="shared" si="38"/>
        <v>75.459555159030685</v>
      </c>
    </row>
    <row r="123" spans="1:18" s="13" customFormat="1" x14ac:dyDescent="0.35">
      <c r="A123" s="13" t="s">
        <v>126</v>
      </c>
      <c r="B123" s="13" t="s">
        <v>6</v>
      </c>
      <c r="C123" s="13">
        <v>239</v>
      </c>
      <c r="E123" s="13">
        <f t="shared" si="39"/>
        <v>28576.025602184043</v>
      </c>
      <c r="F123" s="14">
        <f t="shared" si="58"/>
        <v>114.30410240873617</v>
      </c>
      <c r="G123" s="9">
        <f t="shared" si="33"/>
        <v>28.804633807001515</v>
      </c>
      <c r="H123" s="13">
        <f t="shared" si="34"/>
        <v>28604.830235991045</v>
      </c>
      <c r="K123" s="13" t="s">
        <v>12</v>
      </c>
      <c r="L123" s="13">
        <v>240</v>
      </c>
      <c r="N123" s="13">
        <f t="shared" si="59"/>
        <v>185.93139653394181</v>
      </c>
      <c r="O123" s="11">
        <f t="shared" si="36"/>
        <v>46.854711926553335</v>
      </c>
      <c r="P123" s="13">
        <f t="shared" si="37"/>
        <v>28651.684947917598</v>
      </c>
      <c r="R123" s="13">
        <f t="shared" si="38"/>
        <v>75.659345733554858</v>
      </c>
    </row>
    <row r="124" spans="1:18" s="6" customFormat="1" x14ac:dyDescent="0.35">
      <c r="A124" s="6" t="s">
        <v>127</v>
      </c>
      <c r="B124" s="6" t="s">
        <v>6</v>
      </c>
      <c r="C124" s="6">
        <v>241</v>
      </c>
      <c r="D124" s="7">
        <v>5.0000000000000001E-3</v>
      </c>
      <c r="E124" s="6">
        <f t="shared" si="39"/>
        <v>28651.684947917598</v>
      </c>
      <c r="F124" s="8">
        <f>E124*0.5%</f>
        <v>143.25842473958798</v>
      </c>
      <c r="G124" s="9">
        <f t="shared" si="33"/>
        <v>36.101123034376172</v>
      </c>
      <c r="H124" s="6">
        <f t="shared" si="34"/>
        <v>28687.786070951974</v>
      </c>
      <c r="K124" s="6" t="s">
        <v>12</v>
      </c>
      <c r="L124" s="6">
        <v>242</v>
      </c>
      <c r="M124" s="7">
        <v>6.0000000000000097E-3</v>
      </c>
      <c r="N124" s="6">
        <f>H124*0.6%</f>
        <v>172.12671642571183</v>
      </c>
      <c r="O124" s="11">
        <f t="shared" si="36"/>
        <v>43.375932539279383</v>
      </c>
      <c r="P124" s="6">
        <f t="shared" si="37"/>
        <v>28731.162003491252</v>
      </c>
      <c r="R124" s="6">
        <f t="shared" si="38"/>
        <v>79.477055573655548</v>
      </c>
    </row>
    <row r="125" spans="1:18" x14ac:dyDescent="0.35">
      <c r="A125" t="s">
        <v>128</v>
      </c>
      <c r="B125" t="s">
        <v>6</v>
      </c>
      <c r="C125">
        <v>243</v>
      </c>
      <c r="E125">
        <f t="shared" si="39"/>
        <v>28731.162003491252</v>
      </c>
      <c r="F125" s="8">
        <f t="shared" ref="F125:F128" si="60">E125*0.5%</f>
        <v>143.65581001745628</v>
      </c>
      <c r="G125" s="9">
        <f t="shared" si="33"/>
        <v>36.201264124398982</v>
      </c>
      <c r="H125">
        <f t="shared" si="34"/>
        <v>28767.363267615652</v>
      </c>
      <c r="K125" t="s">
        <v>12</v>
      </c>
      <c r="L125">
        <v>244</v>
      </c>
      <c r="N125" s="6">
        <f t="shared" ref="N125:N128" si="61">H125*0.6%</f>
        <v>172.60417960569393</v>
      </c>
      <c r="O125" s="11">
        <f t="shared" si="36"/>
        <v>43.496253260634873</v>
      </c>
      <c r="P125">
        <f t="shared" si="37"/>
        <v>28810.859520876285</v>
      </c>
      <c r="R125">
        <f t="shared" si="38"/>
        <v>79.697517385033848</v>
      </c>
    </row>
    <row r="126" spans="1:18" x14ac:dyDescent="0.35">
      <c r="A126" t="s">
        <v>129</v>
      </c>
      <c r="B126" t="s">
        <v>6</v>
      </c>
      <c r="C126">
        <v>245</v>
      </c>
      <c r="E126">
        <f t="shared" si="39"/>
        <v>28810.859520876285</v>
      </c>
      <c r="F126" s="8">
        <f t="shared" si="60"/>
        <v>144.05429760438142</v>
      </c>
      <c r="G126" s="9">
        <f t="shared" si="33"/>
        <v>36.301682996304116</v>
      </c>
      <c r="H126">
        <f t="shared" si="34"/>
        <v>28847.161203872591</v>
      </c>
      <c r="K126" t="s">
        <v>12</v>
      </c>
      <c r="L126">
        <v>246</v>
      </c>
      <c r="N126" s="6">
        <f t="shared" si="61"/>
        <v>173.08296722323556</v>
      </c>
      <c r="O126" s="11">
        <f t="shared" si="36"/>
        <v>43.616907740255364</v>
      </c>
      <c r="P126">
        <f t="shared" si="37"/>
        <v>28890.778111612846</v>
      </c>
      <c r="R126">
        <f t="shared" si="38"/>
        <v>79.91859073655948</v>
      </c>
    </row>
    <row r="127" spans="1:18" x14ac:dyDescent="0.35">
      <c r="A127" t="s">
        <v>130</v>
      </c>
      <c r="B127" t="s">
        <v>6</v>
      </c>
      <c r="C127">
        <v>247</v>
      </c>
      <c r="E127">
        <f t="shared" si="39"/>
        <v>28890.778111612846</v>
      </c>
      <c r="F127" s="8">
        <f t="shared" si="60"/>
        <v>144.45389055806424</v>
      </c>
      <c r="G127" s="9">
        <f t="shared" si="33"/>
        <v>36.402380420632191</v>
      </c>
      <c r="H127">
        <f t="shared" si="34"/>
        <v>28927.18049203348</v>
      </c>
      <c r="K127" t="s">
        <v>12</v>
      </c>
      <c r="L127">
        <v>248</v>
      </c>
      <c r="N127" s="6">
        <f t="shared" si="61"/>
        <v>173.56308295220089</v>
      </c>
      <c r="O127" s="11">
        <f t="shared" si="36"/>
        <v>43.737896903954621</v>
      </c>
      <c r="P127">
        <f t="shared" si="37"/>
        <v>28970.918388937436</v>
      </c>
      <c r="R127">
        <f t="shared" si="38"/>
        <v>80.140277324586805</v>
      </c>
    </row>
    <row r="128" spans="1:18" x14ac:dyDescent="0.35">
      <c r="A128" t="s">
        <v>131</v>
      </c>
      <c r="B128" t="s">
        <v>6</v>
      </c>
      <c r="C128">
        <v>249</v>
      </c>
      <c r="E128">
        <f t="shared" si="39"/>
        <v>28970.918388937436</v>
      </c>
      <c r="F128" s="8">
        <f t="shared" si="60"/>
        <v>144.85459194468717</v>
      </c>
      <c r="G128" s="9">
        <f t="shared" si="33"/>
        <v>36.503357170061165</v>
      </c>
      <c r="H128">
        <f t="shared" si="34"/>
        <v>29007.421746107499</v>
      </c>
      <c r="K128" t="s">
        <v>12</v>
      </c>
      <c r="L128">
        <v>250</v>
      </c>
      <c r="N128" s="6">
        <f t="shared" si="61"/>
        <v>174.04453047664501</v>
      </c>
      <c r="O128" s="11">
        <f t="shared" si="36"/>
        <v>43.859221680114544</v>
      </c>
      <c r="P128">
        <f t="shared" si="37"/>
        <v>29051.280967787614</v>
      </c>
      <c r="R128">
        <f t="shared" si="38"/>
        <v>80.362578850175709</v>
      </c>
    </row>
    <row r="129" spans="1:18" s="6" customFormat="1" x14ac:dyDescent="0.35">
      <c r="A129" s="6" t="s">
        <v>132</v>
      </c>
      <c r="B129" s="6" t="s">
        <v>5</v>
      </c>
      <c r="C129" s="6">
        <v>251</v>
      </c>
      <c r="D129" s="7">
        <v>6.0000000000000001E-3</v>
      </c>
      <c r="E129" s="6">
        <f t="shared" si="39"/>
        <v>29051.280967787614</v>
      </c>
      <c r="F129" s="8">
        <f>E129*0.6%</f>
        <v>174.30768580672569</v>
      </c>
      <c r="G129" s="9">
        <f t="shared" si="33"/>
        <v>43.92553682329487</v>
      </c>
      <c r="H129" s="6">
        <f t="shared" si="34"/>
        <v>29095.206504610909</v>
      </c>
      <c r="K129" s="6" t="s">
        <v>6</v>
      </c>
      <c r="L129" s="6">
        <v>252</v>
      </c>
      <c r="M129" s="7">
        <v>5.5000000000000101E-3</v>
      </c>
      <c r="N129" s="6">
        <f>H129*0.55%</f>
        <v>160.02363577536002</v>
      </c>
      <c r="O129" s="11">
        <f t="shared" si="36"/>
        <v>40.325956215390725</v>
      </c>
      <c r="P129" s="6">
        <f t="shared" si="37"/>
        <v>29135.5324608263</v>
      </c>
      <c r="R129" s="6">
        <f t="shared" si="38"/>
        <v>84.251493038685595</v>
      </c>
    </row>
    <row r="130" spans="1:18" x14ac:dyDescent="0.35">
      <c r="A130" t="s">
        <v>133</v>
      </c>
      <c r="B130" t="s">
        <v>5</v>
      </c>
      <c r="C130">
        <v>253</v>
      </c>
      <c r="E130">
        <f t="shared" si="39"/>
        <v>29135.5324608263</v>
      </c>
      <c r="F130" s="8">
        <f t="shared" ref="F130:F133" si="62">E130*0.6%</f>
        <v>174.81319476495781</v>
      </c>
      <c r="G130" s="9">
        <f t="shared" si="33"/>
        <v>44.05292508076937</v>
      </c>
      <c r="H130">
        <f t="shared" si="34"/>
        <v>29179.58538590707</v>
      </c>
      <c r="K130" t="s">
        <v>6</v>
      </c>
      <c r="L130">
        <v>254</v>
      </c>
      <c r="N130" s="6">
        <f t="shared" ref="N130:N133" si="63">H130*0.55%</f>
        <v>160.4877196224889</v>
      </c>
      <c r="O130" s="11">
        <f t="shared" si="36"/>
        <v>40.442905344867199</v>
      </c>
      <c r="P130">
        <f t="shared" si="37"/>
        <v>29220.028291251936</v>
      </c>
      <c r="R130">
        <f t="shared" si="38"/>
        <v>84.495830425636569</v>
      </c>
    </row>
    <row r="131" spans="1:18" x14ac:dyDescent="0.35">
      <c r="A131" t="s">
        <v>134</v>
      </c>
      <c r="B131" t="s">
        <v>5</v>
      </c>
      <c r="C131">
        <v>255</v>
      </c>
      <c r="E131">
        <f t="shared" si="39"/>
        <v>29220.028291251936</v>
      </c>
      <c r="F131" s="8">
        <f t="shared" si="62"/>
        <v>175.32016974751161</v>
      </c>
      <c r="G131" s="9">
        <f t="shared" si="33"/>
        <v>44.180682776372926</v>
      </c>
      <c r="H131">
        <f t="shared" si="34"/>
        <v>29264.208974028308</v>
      </c>
      <c r="K131" t="s">
        <v>6</v>
      </c>
      <c r="L131">
        <v>256</v>
      </c>
      <c r="N131" s="6">
        <f t="shared" si="63"/>
        <v>160.95314935715572</v>
      </c>
      <c r="O131" s="11">
        <f t="shared" si="36"/>
        <v>40.560193638003241</v>
      </c>
      <c r="P131">
        <f t="shared" si="37"/>
        <v>29304.769167666313</v>
      </c>
      <c r="R131">
        <f t="shared" si="38"/>
        <v>84.740876414376174</v>
      </c>
    </row>
    <row r="132" spans="1:18" x14ac:dyDescent="0.35">
      <c r="A132" t="s">
        <v>135</v>
      </c>
      <c r="B132" t="s">
        <v>5</v>
      </c>
      <c r="C132">
        <v>257</v>
      </c>
      <c r="E132">
        <f t="shared" si="39"/>
        <v>29304.769167666313</v>
      </c>
      <c r="F132" s="8">
        <f t="shared" si="62"/>
        <v>175.82861500599788</v>
      </c>
      <c r="G132" s="9">
        <f t="shared" si="33"/>
        <v>44.308810981511463</v>
      </c>
      <c r="H132">
        <f t="shared" si="34"/>
        <v>29349.077978647823</v>
      </c>
      <c r="K132" t="s">
        <v>6</v>
      </c>
      <c r="L132">
        <v>258</v>
      </c>
      <c r="N132" s="6">
        <f t="shared" si="63"/>
        <v>161.41992888256306</v>
      </c>
      <c r="O132" s="11">
        <f t="shared" si="36"/>
        <v>40.677822078405889</v>
      </c>
      <c r="P132">
        <f t="shared" si="37"/>
        <v>29389.755800726231</v>
      </c>
      <c r="R132">
        <f t="shared" si="38"/>
        <v>84.986633059917352</v>
      </c>
    </row>
    <row r="133" spans="1:18" x14ac:dyDescent="0.35">
      <c r="A133" t="s">
        <v>136</v>
      </c>
      <c r="B133" t="s">
        <v>5</v>
      </c>
      <c r="C133">
        <v>259</v>
      </c>
      <c r="D133" s="15"/>
      <c r="E133">
        <f t="shared" si="39"/>
        <v>29389.755800726231</v>
      </c>
      <c r="F133" s="8">
        <f t="shared" si="62"/>
        <v>176.33853480435738</v>
      </c>
      <c r="G133" s="9">
        <f t="shared" ref="G133:G196" si="64">F133*25.2%</f>
        <v>44.437310770698062</v>
      </c>
      <c r="H133">
        <f t="shared" ref="H133:H196" si="65">G133+E133</f>
        <v>29434.19311149693</v>
      </c>
      <c r="K133" t="s">
        <v>6</v>
      </c>
      <c r="L133">
        <v>260</v>
      </c>
      <c r="N133" s="6">
        <f t="shared" si="63"/>
        <v>161.88806211323313</v>
      </c>
      <c r="O133" s="11">
        <f t="shared" ref="O133:O196" si="66">N133*25.2%</f>
        <v>40.795791652534753</v>
      </c>
      <c r="P133">
        <f t="shared" ref="P133:P196" si="67">O133+H133</f>
        <v>29474.988903149464</v>
      </c>
      <c r="R133">
        <f t="shared" ref="R133:R196" si="68">O133+G133</f>
        <v>85.233102423232822</v>
      </c>
    </row>
    <row r="134" spans="1:18" s="6" customFormat="1" x14ac:dyDescent="0.35">
      <c r="A134" s="6" t="s">
        <v>137</v>
      </c>
      <c r="B134" s="6" t="s">
        <v>5</v>
      </c>
      <c r="C134" s="6">
        <v>261</v>
      </c>
      <c r="D134" s="7">
        <v>7.0000000000000001E-3</v>
      </c>
      <c r="E134" s="6">
        <f t="shared" ref="E134:E197" si="69">P133</f>
        <v>29474.988903149464</v>
      </c>
      <c r="F134" s="8">
        <f>E134*0.7%</f>
        <v>206.32492232204623</v>
      </c>
      <c r="G134" s="9">
        <f t="shared" si="64"/>
        <v>51.993880425155652</v>
      </c>
      <c r="H134" s="6">
        <f t="shared" si="65"/>
        <v>29526.982783574618</v>
      </c>
      <c r="K134" s="6" t="s">
        <v>6</v>
      </c>
      <c r="L134" s="6">
        <v>262</v>
      </c>
      <c r="M134" s="7">
        <v>5.0000000000000096E-3</v>
      </c>
      <c r="N134" s="6">
        <f>H134*0.5%</f>
        <v>147.63491391787309</v>
      </c>
      <c r="O134" s="11">
        <f t="shared" si="66"/>
        <v>37.203998307304019</v>
      </c>
      <c r="P134" s="6">
        <f t="shared" si="67"/>
        <v>29564.186781881923</v>
      </c>
      <c r="R134" s="6">
        <f t="shared" si="68"/>
        <v>89.197878732459671</v>
      </c>
    </row>
    <row r="135" spans="1:18" x14ac:dyDescent="0.35">
      <c r="A135" t="s">
        <v>138</v>
      </c>
      <c r="B135" t="s">
        <v>5</v>
      </c>
      <c r="C135">
        <v>263</v>
      </c>
      <c r="E135">
        <f t="shared" si="69"/>
        <v>29564.186781881923</v>
      </c>
      <c r="F135" s="8">
        <f t="shared" ref="F135:F138" si="70">E135*0.7%</f>
        <v>206.94930747317343</v>
      </c>
      <c r="G135" s="9">
        <f t="shared" si="64"/>
        <v>52.151225483239706</v>
      </c>
      <c r="H135">
        <f t="shared" si="65"/>
        <v>29616.338007365164</v>
      </c>
      <c r="K135" t="s">
        <v>6</v>
      </c>
      <c r="L135">
        <v>264</v>
      </c>
      <c r="N135" s="6">
        <f t="shared" ref="N135:N138" si="71">H135*0.5%</f>
        <v>148.08169003682582</v>
      </c>
      <c r="O135" s="11">
        <f t="shared" si="66"/>
        <v>37.316585889280105</v>
      </c>
      <c r="P135">
        <f t="shared" si="67"/>
        <v>29653.654593254443</v>
      </c>
      <c r="R135">
        <f t="shared" si="68"/>
        <v>89.467811372519805</v>
      </c>
    </row>
    <row r="136" spans="1:18" x14ac:dyDescent="0.35">
      <c r="A136" t="s">
        <v>139</v>
      </c>
      <c r="B136" t="s">
        <v>5</v>
      </c>
      <c r="C136">
        <v>265</v>
      </c>
      <c r="E136">
        <f t="shared" si="69"/>
        <v>29653.654593254443</v>
      </c>
      <c r="F136" s="8">
        <f t="shared" si="70"/>
        <v>207.57558215278107</v>
      </c>
      <c r="G136" s="9">
        <f t="shared" si="64"/>
        <v>52.309046702500829</v>
      </c>
      <c r="H136">
        <f t="shared" si="65"/>
        <v>29705.963639956943</v>
      </c>
      <c r="K136" t="s">
        <v>6</v>
      </c>
      <c r="L136">
        <v>266</v>
      </c>
      <c r="N136" s="6">
        <f t="shared" si="71"/>
        <v>148.52981819978473</v>
      </c>
      <c r="O136" s="11">
        <f t="shared" si="66"/>
        <v>37.429514186345749</v>
      </c>
      <c r="P136">
        <f t="shared" si="67"/>
        <v>29743.393154143287</v>
      </c>
      <c r="R136">
        <f t="shared" si="68"/>
        <v>89.738560888846578</v>
      </c>
    </row>
    <row r="137" spans="1:18" x14ac:dyDescent="0.35">
      <c r="A137" t="s">
        <v>140</v>
      </c>
      <c r="B137" t="s">
        <v>5</v>
      </c>
      <c r="C137">
        <v>267</v>
      </c>
      <c r="E137">
        <f t="shared" si="69"/>
        <v>29743.393154143287</v>
      </c>
      <c r="F137" s="8">
        <f t="shared" si="70"/>
        <v>208.20375207900298</v>
      </c>
      <c r="G137" s="9">
        <f t="shared" si="64"/>
        <v>52.467345523908755</v>
      </c>
      <c r="H137">
        <f t="shared" si="65"/>
        <v>29795.860499667197</v>
      </c>
      <c r="K137" t="s">
        <v>6</v>
      </c>
      <c r="L137">
        <v>268</v>
      </c>
      <c r="N137" s="6">
        <f t="shared" si="71"/>
        <v>148.97930249833598</v>
      </c>
      <c r="O137" s="11">
        <f t="shared" si="66"/>
        <v>37.542784229580668</v>
      </c>
      <c r="P137">
        <f t="shared" si="67"/>
        <v>29833.403283896776</v>
      </c>
      <c r="R137">
        <f t="shared" si="68"/>
        <v>90.010129753489423</v>
      </c>
    </row>
    <row r="138" spans="1:18" x14ac:dyDescent="0.35">
      <c r="A138" t="s">
        <v>141</v>
      </c>
      <c r="B138" t="s">
        <v>5</v>
      </c>
      <c r="C138">
        <v>269</v>
      </c>
      <c r="E138">
        <f t="shared" si="69"/>
        <v>29833.403283896776</v>
      </c>
      <c r="F138" s="8">
        <f t="shared" si="70"/>
        <v>208.83382298727741</v>
      </c>
      <c r="G138" s="9">
        <f t="shared" si="64"/>
        <v>52.626123392793907</v>
      </c>
      <c r="H138">
        <f t="shared" si="65"/>
        <v>29886.02940728957</v>
      </c>
      <c r="K138" t="s">
        <v>6</v>
      </c>
      <c r="L138">
        <v>270</v>
      </c>
      <c r="N138" s="6">
        <f t="shared" si="71"/>
        <v>149.43014703644786</v>
      </c>
      <c r="O138" s="11">
        <f t="shared" si="66"/>
        <v>37.656397053184861</v>
      </c>
      <c r="P138">
        <f t="shared" si="67"/>
        <v>29923.685804342756</v>
      </c>
      <c r="R138">
        <f t="shared" si="68"/>
        <v>90.282520445978776</v>
      </c>
    </row>
    <row r="139" spans="1:18" s="6" customFormat="1" x14ac:dyDescent="0.35">
      <c r="A139" s="6" t="s">
        <v>142</v>
      </c>
      <c r="B139" s="6" t="s">
        <v>5</v>
      </c>
      <c r="C139" s="6">
        <v>271</v>
      </c>
      <c r="D139" s="7">
        <v>8.0000000000000002E-3</v>
      </c>
      <c r="E139" s="6">
        <f t="shared" si="69"/>
        <v>29923.685804342756</v>
      </c>
      <c r="F139" s="8">
        <f>E139*0.8%</f>
        <v>239.38948643474205</v>
      </c>
      <c r="G139" s="9">
        <f t="shared" si="64"/>
        <v>60.326150581554998</v>
      </c>
      <c r="H139" s="6">
        <f t="shared" si="65"/>
        <v>29984.01195492431</v>
      </c>
      <c r="K139" s="6" t="s">
        <v>6</v>
      </c>
      <c r="L139" s="6">
        <v>272</v>
      </c>
      <c r="M139" s="7">
        <v>4.5000000000000101E-3</v>
      </c>
      <c r="N139" s="6">
        <f>H139*0.45%</f>
        <v>134.92805379715941</v>
      </c>
      <c r="O139" s="11">
        <f t="shared" si="66"/>
        <v>34.001869556884174</v>
      </c>
      <c r="P139" s="6">
        <f t="shared" si="67"/>
        <v>30018.013824481193</v>
      </c>
      <c r="R139" s="6">
        <f t="shared" si="68"/>
        <v>94.328020138439172</v>
      </c>
    </row>
    <row r="140" spans="1:18" x14ac:dyDescent="0.35">
      <c r="A140" t="s">
        <v>143</v>
      </c>
      <c r="B140" t="s">
        <v>5</v>
      </c>
      <c r="C140">
        <v>273</v>
      </c>
      <c r="E140">
        <f t="shared" si="69"/>
        <v>30018.013824481193</v>
      </c>
      <c r="F140" s="8">
        <f t="shared" ref="F140:F143" si="72">E140*0.8%</f>
        <v>240.14411059584955</v>
      </c>
      <c r="G140" s="9">
        <f t="shared" si="64"/>
        <v>60.516315870154088</v>
      </c>
      <c r="H140">
        <f t="shared" si="65"/>
        <v>30078.530140351348</v>
      </c>
      <c r="K140" t="s">
        <v>6</v>
      </c>
      <c r="L140">
        <v>274</v>
      </c>
      <c r="N140" s="6">
        <f t="shared" ref="N140:N143" si="73">H140*0.45%</f>
        <v>135.35338563158109</v>
      </c>
      <c r="O140" s="11">
        <f t="shared" si="66"/>
        <v>34.109053179158437</v>
      </c>
      <c r="P140">
        <f t="shared" si="67"/>
        <v>30112.639193530507</v>
      </c>
      <c r="R140">
        <f t="shared" si="68"/>
        <v>94.625369049312525</v>
      </c>
    </row>
    <row r="141" spans="1:18" x14ac:dyDescent="0.35">
      <c r="A141" t="s">
        <v>144</v>
      </c>
      <c r="B141" t="s">
        <v>5</v>
      </c>
      <c r="C141">
        <v>275</v>
      </c>
      <c r="E141">
        <f t="shared" si="69"/>
        <v>30112.639193530507</v>
      </c>
      <c r="F141" s="8">
        <f t="shared" si="72"/>
        <v>240.90111354824407</v>
      </c>
      <c r="G141" s="9">
        <f t="shared" si="64"/>
        <v>60.707080614157505</v>
      </c>
      <c r="H141">
        <f t="shared" si="65"/>
        <v>30173.346274144664</v>
      </c>
      <c r="K141" t="s">
        <v>6</v>
      </c>
      <c r="L141">
        <v>276</v>
      </c>
      <c r="N141" s="6">
        <f t="shared" si="73"/>
        <v>135.780058233651</v>
      </c>
      <c r="O141" s="11">
        <f t="shared" si="66"/>
        <v>34.21657467488005</v>
      </c>
      <c r="P141">
        <f t="shared" si="67"/>
        <v>30207.562848819543</v>
      </c>
      <c r="R141">
        <f t="shared" si="68"/>
        <v>94.923655289037555</v>
      </c>
    </row>
    <row r="142" spans="1:18" x14ac:dyDescent="0.35">
      <c r="A142" t="s">
        <v>145</v>
      </c>
      <c r="B142" t="s">
        <v>5</v>
      </c>
      <c r="C142">
        <v>277</v>
      </c>
      <c r="E142">
        <f t="shared" si="69"/>
        <v>30207.562848819543</v>
      </c>
      <c r="F142" s="8">
        <f t="shared" si="72"/>
        <v>241.66050279055636</v>
      </c>
      <c r="G142" s="9">
        <f t="shared" si="64"/>
        <v>60.898446703220202</v>
      </c>
      <c r="H142">
        <f t="shared" si="65"/>
        <v>30268.461295522764</v>
      </c>
      <c r="K142" t="s">
        <v>6</v>
      </c>
      <c r="L142">
        <v>278</v>
      </c>
      <c r="N142" s="6">
        <f t="shared" si="73"/>
        <v>136.20807582985245</v>
      </c>
      <c r="O142" s="11">
        <f t="shared" si="66"/>
        <v>34.324435109122817</v>
      </c>
      <c r="P142">
        <f t="shared" si="67"/>
        <v>30302.785730631887</v>
      </c>
      <c r="R142">
        <f t="shared" si="68"/>
        <v>95.222881812343019</v>
      </c>
    </row>
    <row r="143" spans="1:18" x14ac:dyDescent="0.35">
      <c r="A143" t="s">
        <v>146</v>
      </c>
      <c r="B143" t="s">
        <v>5</v>
      </c>
      <c r="C143">
        <v>279</v>
      </c>
      <c r="D143" s="15"/>
      <c r="E143">
        <f t="shared" si="69"/>
        <v>30302.785730631887</v>
      </c>
      <c r="F143" s="8">
        <f t="shared" si="72"/>
        <v>242.42228584505511</v>
      </c>
      <c r="G143" s="9">
        <f t="shared" si="64"/>
        <v>61.09041603295389</v>
      </c>
      <c r="H143">
        <f t="shared" si="65"/>
        <v>30363.876146664843</v>
      </c>
      <c r="K143" t="s">
        <v>6</v>
      </c>
      <c r="L143">
        <v>280</v>
      </c>
      <c r="N143" s="6">
        <f t="shared" si="73"/>
        <v>136.63744265999182</v>
      </c>
      <c r="O143" s="11">
        <f t="shared" si="66"/>
        <v>34.43263555031794</v>
      </c>
      <c r="P143">
        <f t="shared" si="67"/>
        <v>30398.308782215161</v>
      </c>
      <c r="R143">
        <f t="shared" si="68"/>
        <v>95.523051583271837</v>
      </c>
    </row>
    <row r="144" spans="1:18" s="6" customFormat="1" x14ac:dyDescent="0.35">
      <c r="A144" s="6" t="s">
        <v>147</v>
      </c>
      <c r="B144" s="6" t="s">
        <v>5</v>
      </c>
      <c r="C144" s="6">
        <v>281</v>
      </c>
      <c r="D144" s="7">
        <v>8.9999999999999993E-3</v>
      </c>
      <c r="E144" s="6">
        <f t="shared" si="69"/>
        <v>30398.308782215161</v>
      </c>
      <c r="F144" s="8">
        <f>E144*0.9%</f>
        <v>273.58477903993651</v>
      </c>
      <c r="G144" s="9">
        <f t="shared" si="64"/>
        <v>68.943364318063999</v>
      </c>
      <c r="H144" s="6">
        <f t="shared" si="65"/>
        <v>30467.252146533225</v>
      </c>
      <c r="K144" s="6" t="s">
        <v>6</v>
      </c>
      <c r="L144" s="6">
        <v>282</v>
      </c>
      <c r="M144" s="7">
        <v>4.0000000000000096E-3</v>
      </c>
      <c r="N144" s="6">
        <f>H144*0.4%</f>
        <v>121.86900858613291</v>
      </c>
      <c r="O144" s="11">
        <f t="shared" si="66"/>
        <v>30.710990163705493</v>
      </c>
      <c r="P144" s="6">
        <f t="shared" si="67"/>
        <v>30497.96313669693</v>
      </c>
      <c r="R144" s="6">
        <f t="shared" si="68"/>
        <v>99.654354481769488</v>
      </c>
    </row>
    <row r="145" spans="1:18" x14ac:dyDescent="0.35">
      <c r="A145" t="s">
        <v>148</v>
      </c>
      <c r="B145" t="s">
        <v>5</v>
      </c>
      <c r="C145">
        <v>283</v>
      </c>
      <c r="E145">
        <f t="shared" si="69"/>
        <v>30497.96313669693</v>
      </c>
      <c r="F145" s="8">
        <f t="shared" ref="F145:F148" si="74">E145*0.9%</f>
        <v>274.48166823027242</v>
      </c>
      <c r="G145" s="9">
        <f t="shared" si="64"/>
        <v>69.16938039402865</v>
      </c>
      <c r="H145">
        <f t="shared" si="65"/>
        <v>30567.132517090959</v>
      </c>
      <c r="K145" t="s">
        <v>6</v>
      </c>
      <c r="L145">
        <v>284</v>
      </c>
      <c r="N145" s="6">
        <f t="shared" ref="N145:N148" si="75">H145*0.4%</f>
        <v>122.26853006836383</v>
      </c>
      <c r="O145" s="11">
        <f t="shared" si="66"/>
        <v>30.811669577227686</v>
      </c>
      <c r="P145">
        <f t="shared" si="67"/>
        <v>30597.944186668185</v>
      </c>
      <c r="R145">
        <f t="shared" si="68"/>
        <v>99.98104997125634</v>
      </c>
    </row>
    <row r="146" spans="1:18" x14ac:dyDescent="0.35">
      <c r="A146" t="s">
        <v>149</v>
      </c>
      <c r="B146" t="s">
        <v>5</v>
      </c>
      <c r="C146">
        <v>285</v>
      </c>
      <c r="E146">
        <f t="shared" si="69"/>
        <v>30597.944186668185</v>
      </c>
      <c r="F146" s="8">
        <f t="shared" si="74"/>
        <v>275.38149768001369</v>
      </c>
      <c r="G146" s="9">
        <f t="shared" si="64"/>
        <v>69.396137415363455</v>
      </c>
      <c r="H146">
        <f t="shared" si="65"/>
        <v>30667.340324083547</v>
      </c>
      <c r="K146" t="s">
        <v>6</v>
      </c>
      <c r="L146">
        <v>286</v>
      </c>
      <c r="N146" s="6">
        <f t="shared" si="75"/>
        <v>122.66936129633419</v>
      </c>
      <c r="O146" s="11">
        <f t="shared" si="66"/>
        <v>30.912679046676214</v>
      </c>
      <c r="P146">
        <f t="shared" si="67"/>
        <v>30698.253003130223</v>
      </c>
      <c r="R146">
        <f t="shared" si="68"/>
        <v>100.30881646203967</v>
      </c>
    </row>
    <row r="147" spans="1:18" x14ac:dyDescent="0.35">
      <c r="A147" t="s">
        <v>150</v>
      </c>
      <c r="B147" t="s">
        <v>5</v>
      </c>
      <c r="C147">
        <v>287</v>
      </c>
      <c r="E147">
        <f t="shared" si="69"/>
        <v>30698.253003130223</v>
      </c>
      <c r="F147" s="8">
        <f t="shared" si="74"/>
        <v>276.28427702817203</v>
      </c>
      <c r="G147" s="9">
        <f t="shared" si="64"/>
        <v>69.623637811099357</v>
      </c>
      <c r="H147">
        <f t="shared" si="65"/>
        <v>30767.876640941322</v>
      </c>
      <c r="K147" t="s">
        <v>6</v>
      </c>
      <c r="L147">
        <v>288</v>
      </c>
      <c r="N147" s="6">
        <f t="shared" si="75"/>
        <v>123.0715065637653</v>
      </c>
      <c r="O147" s="11">
        <f t="shared" si="66"/>
        <v>31.014019654068854</v>
      </c>
      <c r="P147">
        <f t="shared" si="67"/>
        <v>30798.890660595393</v>
      </c>
      <c r="R147">
        <f t="shared" si="68"/>
        <v>100.63765746516822</v>
      </c>
    </row>
    <row r="148" spans="1:18" x14ac:dyDescent="0.35">
      <c r="A148" t="s">
        <v>151</v>
      </c>
      <c r="B148" t="s">
        <v>5</v>
      </c>
      <c r="C148">
        <v>289</v>
      </c>
      <c r="E148">
        <f t="shared" si="69"/>
        <v>30798.890660595393</v>
      </c>
      <c r="F148" s="8">
        <f t="shared" si="74"/>
        <v>277.19001594535854</v>
      </c>
      <c r="G148" s="9">
        <f t="shared" si="64"/>
        <v>69.851884018230351</v>
      </c>
      <c r="H148">
        <f t="shared" si="65"/>
        <v>30868.742544613622</v>
      </c>
      <c r="K148" t="s">
        <v>6</v>
      </c>
      <c r="L148">
        <v>290</v>
      </c>
      <c r="N148" s="6">
        <f t="shared" si="75"/>
        <v>123.4749701784545</v>
      </c>
      <c r="O148" s="11">
        <f t="shared" si="66"/>
        <v>31.115692484970534</v>
      </c>
      <c r="P148">
        <f t="shared" si="67"/>
        <v>30899.858237098593</v>
      </c>
      <c r="R148">
        <f t="shared" si="68"/>
        <v>100.96757650320089</v>
      </c>
    </row>
    <row r="149" spans="1:18" s="6" customFormat="1" x14ac:dyDescent="0.35">
      <c r="A149" s="6" t="s">
        <v>152</v>
      </c>
      <c r="B149" s="6" t="s">
        <v>5</v>
      </c>
      <c r="C149" s="6">
        <v>291</v>
      </c>
      <c r="D149" s="7">
        <v>8.0000000000000002E-3</v>
      </c>
      <c r="E149" s="6">
        <f t="shared" si="69"/>
        <v>30899.858237098593</v>
      </c>
      <c r="F149" s="8">
        <f>E149*0.8%</f>
        <v>247.19886589678876</v>
      </c>
      <c r="G149" s="9">
        <f t="shared" si="64"/>
        <v>62.294114205990766</v>
      </c>
      <c r="H149" s="6">
        <f t="shared" si="65"/>
        <v>30962.152351304583</v>
      </c>
      <c r="K149" s="6" t="s">
        <v>6</v>
      </c>
      <c r="L149" s="6">
        <v>292</v>
      </c>
      <c r="M149" s="7">
        <v>4.4999999999999997E-3</v>
      </c>
      <c r="N149" s="6">
        <f>H149*0.45%</f>
        <v>139.32968558087063</v>
      </c>
      <c r="O149" s="11">
        <f t="shared" si="66"/>
        <v>35.111080766379402</v>
      </c>
      <c r="P149" s="6">
        <f t="shared" si="67"/>
        <v>30997.263432070962</v>
      </c>
      <c r="R149" s="6">
        <f t="shared" si="68"/>
        <v>97.405194972370168</v>
      </c>
    </row>
    <row r="150" spans="1:18" x14ac:dyDescent="0.35">
      <c r="A150" t="s">
        <v>153</v>
      </c>
      <c r="B150" t="s">
        <v>5</v>
      </c>
      <c r="C150">
        <v>293</v>
      </c>
      <c r="E150">
        <f t="shared" si="69"/>
        <v>30997.263432070962</v>
      </c>
      <c r="F150" s="8">
        <f t="shared" ref="F150:F153" si="76">E150*0.8%</f>
        <v>247.9781074565677</v>
      </c>
      <c r="G150" s="9">
        <f t="shared" si="64"/>
        <v>62.490483079055061</v>
      </c>
      <c r="H150">
        <f t="shared" si="65"/>
        <v>31059.753915150017</v>
      </c>
      <c r="K150" t="s">
        <v>6</v>
      </c>
      <c r="L150">
        <v>294</v>
      </c>
      <c r="N150" s="6">
        <f t="shared" ref="N150:N153" si="77">H150*0.45%</f>
        <v>139.7688926181751</v>
      </c>
      <c r="O150" s="11">
        <f t="shared" si="66"/>
        <v>35.221760939780125</v>
      </c>
      <c r="P150">
        <f t="shared" si="67"/>
        <v>31094.975676089798</v>
      </c>
      <c r="R150">
        <f t="shared" si="68"/>
        <v>97.712244018835179</v>
      </c>
    </row>
    <row r="151" spans="1:18" x14ac:dyDescent="0.35">
      <c r="A151" t="s">
        <v>154</v>
      </c>
      <c r="B151" t="s">
        <v>5</v>
      </c>
      <c r="C151">
        <v>295</v>
      </c>
      <c r="E151">
        <f t="shared" si="69"/>
        <v>31094.975676089798</v>
      </c>
      <c r="F151" s="8">
        <f t="shared" si="76"/>
        <v>248.75980540871839</v>
      </c>
      <c r="G151" s="9">
        <f t="shared" si="64"/>
        <v>62.687470962997033</v>
      </c>
      <c r="H151">
        <f t="shared" si="65"/>
        <v>31157.663147052794</v>
      </c>
      <c r="K151" t="s">
        <v>6</v>
      </c>
      <c r="L151">
        <v>296</v>
      </c>
      <c r="N151" s="6">
        <f t="shared" si="77"/>
        <v>140.20948416173758</v>
      </c>
      <c r="O151" s="11">
        <f t="shared" si="66"/>
        <v>35.332790008757868</v>
      </c>
      <c r="P151">
        <f t="shared" si="67"/>
        <v>31192.995937061551</v>
      </c>
      <c r="R151">
        <f t="shared" si="68"/>
        <v>98.020260971754908</v>
      </c>
    </row>
    <row r="152" spans="1:18" x14ac:dyDescent="0.35">
      <c r="A152" t="s">
        <v>155</v>
      </c>
      <c r="B152" t="s">
        <v>5</v>
      </c>
      <c r="C152">
        <v>297</v>
      </c>
      <c r="E152">
        <f t="shared" si="69"/>
        <v>31192.995937061551</v>
      </c>
      <c r="F152" s="8">
        <f t="shared" si="76"/>
        <v>249.5439674964924</v>
      </c>
      <c r="G152" s="9">
        <f t="shared" si="64"/>
        <v>62.885079809116085</v>
      </c>
      <c r="H152">
        <f t="shared" si="65"/>
        <v>31255.881016870666</v>
      </c>
      <c r="K152" t="s">
        <v>6</v>
      </c>
      <c r="L152">
        <v>298</v>
      </c>
      <c r="N152" s="6">
        <f t="shared" si="77"/>
        <v>140.65146457591803</v>
      </c>
      <c r="O152" s="11">
        <f t="shared" si="66"/>
        <v>35.444169073131341</v>
      </c>
      <c r="P152">
        <f t="shared" si="67"/>
        <v>31291.325185943799</v>
      </c>
      <c r="R152">
        <f t="shared" si="68"/>
        <v>98.329248882247427</v>
      </c>
    </row>
    <row r="153" spans="1:18" s="13" customFormat="1" x14ac:dyDescent="0.35">
      <c r="A153" s="13" t="s">
        <v>156</v>
      </c>
      <c r="B153" s="13" t="s">
        <v>5</v>
      </c>
      <c r="C153" s="13">
        <v>299</v>
      </c>
      <c r="E153" s="13">
        <f t="shared" si="69"/>
        <v>31291.325185943799</v>
      </c>
      <c r="F153" s="14">
        <f t="shared" si="76"/>
        <v>250.33060148755038</v>
      </c>
      <c r="G153" s="9">
        <f t="shared" si="64"/>
        <v>63.083311574862698</v>
      </c>
      <c r="H153" s="13">
        <f t="shared" si="65"/>
        <v>31354.40849751866</v>
      </c>
      <c r="K153" s="13" t="s">
        <v>6</v>
      </c>
      <c r="L153" s="13">
        <v>300</v>
      </c>
      <c r="N153" s="13">
        <f t="shared" si="77"/>
        <v>141.09483823883397</v>
      </c>
      <c r="O153" s="11">
        <f t="shared" si="66"/>
        <v>35.555899236186164</v>
      </c>
      <c r="P153" s="13">
        <f t="shared" si="67"/>
        <v>31389.964396754847</v>
      </c>
      <c r="R153" s="13">
        <f t="shared" si="68"/>
        <v>98.639210811048855</v>
      </c>
    </row>
    <row r="154" spans="1:18" s="6" customFormat="1" x14ac:dyDescent="0.35">
      <c r="A154" s="6" t="s">
        <v>157</v>
      </c>
      <c r="B154" s="6" t="s">
        <v>5</v>
      </c>
      <c r="C154" s="6">
        <v>301</v>
      </c>
      <c r="D154" s="7">
        <v>7.0000000000000001E-3</v>
      </c>
      <c r="E154" s="6">
        <f t="shared" si="69"/>
        <v>31389.964396754847</v>
      </c>
      <c r="F154" s="8">
        <f>E154*0.7%</f>
        <v>219.7297507772839</v>
      </c>
      <c r="G154" s="9">
        <f t="shared" si="64"/>
        <v>55.37189719587554</v>
      </c>
      <c r="H154" s="6">
        <f t="shared" si="65"/>
        <v>31445.336293950724</v>
      </c>
      <c r="K154" s="6" t="s">
        <v>6</v>
      </c>
      <c r="L154" s="6">
        <v>302</v>
      </c>
      <c r="M154" s="7">
        <v>4.9999999999999897E-3</v>
      </c>
      <c r="N154" s="6">
        <f>H154*0.5%</f>
        <v>157.22668146975363</v>
      </c>
      <c r="O154" s="11">
        <f t="shared" si="66"/>
        <v>39.621123730377917</v>
      </c>
      <c r="P154" s="6">
        <f t="shared" si="67"/>
        <v>31484.957417681104</v>
      </c>
      <c r="R154" s="6">
        <f t="shared" si="68"/>
        <v>94.99302092625345</v>
      </c>
    </row>
    <row r="155" spans="1:18" x14ac:dyDescent="0.35">
      <c r="A155" t="s">
        <v>158</v>
      </c>
      <c r="B155" t="s">
        <v>5</v>
      </c>
      <c r="C155">
        <v>303</v>
      </c>
      <c r="E155">
        <f t="shared" si="69"/>
        <v>31484.957417681104</v>
      </c>
      <c r="F155" s="8">
        <f t="shared" ref="F155:F158" si="78">E155*0.7%</f>
        <v>220.39470192376771</v>
      </c>
      <c r="G155" s="9">
        <f t="shared" si="64"/>
        <v>55.539464884789467</v>
      </c>
      <c r="H155">
        <f t="shared" si="65"/>
        <v>31540.496882565894</v>
      </c>
      <c r="K155" t="s">
        <v>6</v>
      </c>
      <c r="L155">
        <v>304</v>
      </c>
      <c r="N155" s="6">
        <f t="shared" ref="N155:N158" si="79">H155*0.5%</f>
        <v>157.70248441282948</v>
      </c>
      <c r="O155" s="11">
        <f t="shared" si="66"/>
        <v>39.74102607203303</v>
      </c>
      <c r="P155">
        <f t="shared" si="67"/>
        <v>31580.237908637926</v>
      </c>
      <c r="R155">
        <f t="shared" si="68"/>
        <v>95.28049095682249</v>
      </c>
    </row>
    <row r="156" spans="1:18" x14ac:dyDescent="0.35">
      <c r="A156" t="s">
        <v>159</v>
      </c>
      <c r="B156" t="s">
        <v>5</v>
      </c>
      <c r="C156">
        <v>305</v>
      </c>
      <c r="E156">
        <f t="shared" si="69"/>
        <v>31580.237908637926</v>
      </c>
      <c r="F156" s="8">
        <f t="shared" si="78"/>
        <v>221.06166536046547</v>
      </c>
      <c r="G156" s="9">
        <f t="shared" si="64"/>
        <v>55.707539670837299</v>
      </c>
      <c r="H156">
        <f t="shared" si="65"/>
        <v>31635.945448308765</v>
      </c>
      <c r="K156" t="s">
        <v>6</v>
      </c>
      <c r="L156">
        <v>306</v>
      </c>
      <c r="N156" s="6">
        <f t="shared" si="79"/>
        <v>158.17972724154382</v>
      </c>
      <c r="O156" s="11">
        <f t="shared" si="66"/>
        <v>39.861291264869045</v>
      </c>
      <c r="P156">
        <f t="shared" si="67"/>
        <v>31675.806739573633</v>
      </c>
      <c r="R156">
        <f t="shared" si="68"/>
        <v>95.568830935706345</v>
      </c>
    </row>
    <row r="157" spans="1:18" x14ac:dyDescent="0.35">
      <c r="A157" t="s">
        <v>160</v>
      </c>
      <c r="B157" t="s">
        <v>5</v>
      </c>
      <c r="C157">
        <v>307</v>
      </c>
      <c r="E157">
        <f t="shared" si="69"/>
        <v>31675.806739573633</v>
      </c>
      <c r="F157" s="8">
        <f t="shared" si="78"/>
        <v>221.73064717701541</v>
      </c>
      <c r="G157" s="9">
        <f t="shared" si="64"/>
        <v>55.876123088607883</v>
      </c>
      <c r="H157">
        <f t="shared" si="65"/>
        <v>31731.682862662241</v>
      </c>
      <c r="K157" t="s">
        <v>6</v>
      </c>
      <c r="L157">
        <v>308</v>
      </c>
      <c r="N157" s="6">
        <f t="shared" si="79"/>
        <v>158.6584143133112</v>
      </c>
      <c r="O157" s="11">
        <f t="shared" si="66"/>
        <v>39.981920406954423</v>
      </c>
      <c r="P157">
        <f t="shared" si="67"/>
        <v>31771.664783069195</v>
      </c>
      <c r="R157">
        <f t="shared" si="68"/>
        <v>95.858043495562299</v>
      </c>
    </row>
    <row r="158" spans="1:18" x14ac:dyDescent="0.35">
      <c r="A158" t="s">
        <v>161</v>
      </c>
      <c r="B158" t="s">
        <v>5</v>
      </c>
      <c r="C158">
        <v>309</v>
      </c>
      <c r="E158">
        <f t="shared" si="69"/>
        <v>31771.664783069195</v>
      </c>
      <c r="F158" s="8">
        <f t="shared" si="78"/>
        <v>222.40165348148435</v>
      </c>
      <c r="G158" s="9">
        <f t="shared" si="64"/>
        <v>56.045216677334054</v>
      </c>
      <c r="H158">
        <f t="shared" si="65"/>
        <v>31827.70999974653</v>
      </c>
      <c r="K158" t="s">
        <v>6</v>
      </c>
      <c r="L158">
        <v>310</v>
      </c>
      <c r="N158" s="6">
        <f t="shared" si="79"/>
        <v>159.13854999873266</v>
      </c>
      <c r="O158" s="11">
        <f t="shared" si="66"/>
        <v>40.102914599680631</v>
      </c>
      <c r="P158">
        <f t="shared" si="67"/>
        <v>31867.81291434621</v>
      </c>
      <c r="R158">
        <f t="shared" si="68"/>
        <v>96.148131277014684</v>
      </c>
    </row>
    <row r="159" spans="1:18" s="6" customFormat="1" x14ac:dyDescent="0.35">
      <c r="A159" s="6" t="s">
        <v>162</v>
      </c>
      <c r="B159" s="6" t="s">
        <v>5</v>
      </c>
      <c r="C159" s="6">
        <v>311</v>
      </c>
      <c r="D159" s="7">
        <v>6.0000000000000001E-3</v>
      </c>
      <c r="E159" s="6">
        <f t="shared" si="69"/>
        <v>31867.81291434621</v>
      </c>
      <c r="F159" s="8">
        <f>E159*0.6%</f>
        <v>191.20687748607727</v>
      </c>
      <c r="G159" s="9">
        <f t="shared" si="64"/>
        <v>48.184133126491474</v>
      </c>
      <c r="H159" s="6">
        <f t="shared" si="65"/>
        <v>31915.997047472702</v>
      </c>
      <c r="K159" s="6" t="s">
        <v>6</v>
      </c>
      <c r="L159" s="6">
        <v>312</v>
      </c>
      <c r="M159" s="7">
        <v>5.4999999999999797E-3</v>
      </c>
      <c r="N159" s="6">
        <f>H159*0.55%</f>
        <v>175.53798376109987</v>
      </c>
      <c r="O159" s="11">
        <f t="shared" si="66"/>
        <v>44.235571907797166</v>
      </c>
      <c r="P159" s="6">
        <f t="shared" si="67"/>
        <v>31960.232619380498</v>
      </c>
      <c r="R159" s="6">
        <f t="shared" si="68"/>
        <v>92.41970503428864</v>
      </c>
    </row>
    <row r="160" spans="1:18" x14ac:dyDescent="0.35">
      <c r="A160" t="s">
        <v>163</v>
      </c>
      <c r="B160" t="s">
        <v>5</v>
      </c>
      <c r="C160">
        <v>313</v>
      </c>
      <c r="E160">
        <f t="shared" si="69"/>
        <v>31960.232619380498</v>
      </c>
      <c r="F160" s="8">
        <f t="shared" ref="F160:F163" si="80">E160*0.6%</f>
        <v>191.761395716283</v>
      </c>
      <c r="G160" s="9">
        <f t="shared" si="64"/>
        <v>48.32387172050332</v>
      </c>
      <c r="H160">
        <f t="shared" si="65"/>
        <v>32008.556491101001</v>
      </c>
      <c r="K160" t="s">
        <v>6</v>
      </c>
      <c r="L160">
        <v>314</v>
      </c>
      <c r="N160" s="6">
        <f t="shared" ref="N160:N163" si="81">H160*0.55%</f>
        <v>176.04706070105553</v>
      </c>
      <c r="O160" s="11">
        <f t="shared" si="66"/>
        <v>44.363859296665993</v>
      </c>
      <c r="P160">
        <f t="shared" si="67"/>
        <v>32052.920350397668</v>
      </c>
      <c r="R160">
        <f t="shared" si="68"/>
        <v>92.687731017169313</v>
      </c>
    </row>
    <row r="161" spans="1:18" x14ac:dyDescent="0.35">
      <c r="A161" t="s">
        <v>164</v>
      </c>
      <c r="B161" t="s">
        <v>5</v>
      </c>
      <c r="C161">
        <v>315</v>
      </c>
      <c r="E161">
        <f t="shared" si="69"/>
        <v>32052.920350397668</v>
      </c>
      <c r="F161" s="8">
        <f t="shared" si="80"/>
        <v>192.31752210238602</v>
      </c>
      <c r="G161" s="9">
        <f t="shared" si="64"/>
        <v>48.464015569801276</v>
      </c>
      <c r="H161">
        <f t="shared" si="65"/>
        <v>32101.384365967468</v>
      </c>
      <c r="K161" t="s">
        <v>6</v>
      </c>
      <c r="L161">
        <v>316</v>
      </c>
      <c r="N161" s="6">
        <f t="shared" si="81"/>
        <v>176.55761401282109</v>
      </c>
      <c r="O161" s="11">
        <f t="shared" si="66"/>
        <v>44.492518731230916</v>
      </c>
      <c r="P161">
        <f t="shared" si="67"/>
        <v>32145.876884698697</v>
      </c>
      <c r="R161">
        <f t="shared" si="68"/>
        <v>92.956534301032193</v>
      </c>
    </row>
    <row r="162" spans="1:18" x14ac:dyDescent="0.35">
      <c r="A162" t="s">
        <v>165</v>
      </c>
      <c r="B162" t="s">
        <v>5</v>
      </c>
      <c r="C162">
        <v>317</v>
      </c>
      <c r="E162">
        <f t="shared" si="69"/>
        <v>32145.876884698697</v>
      </c>
      <c r="F162" s="8">
        <f t="shared" si="80"/>
        <v>192.87526130819219</v>
      </c>
      <c r="G162" s="9">
        <f t="shared" si="64"/>
        <v>48.604565849664432</v>
      </c>
      <c r="H162">
        <f t="shared" si="65"/>
        <v>32194.481450548363</v>
      </c>
      <c r="K162" t="s">
        <v>6</v>
      </c>
      <c r="L162">
        <v>318</v>
      </c>
      <c r="N162" s="6">
        <f t="shared" si="81"/>
        <v>177.06964797801601</v>
      </c>
      <c r="O162" s="11">
        <f t="shared" si="66"/>
        <v>44.621551290460033</v>
      </c>
      <c r="P162">
        <f t="shared" si="67"/>
        <v>32239.103001838823</v>
      </c>
      <c r="R162">
        <f t="shared" si="68"/>
        <v>93.226117140124472</v>
      </c>
    </row>
    <row r="163" spans="1:18" x14ac:dyDescent="0.35">
      <c r="A163" t="s">
        <v>166</v>
      </c>
      <c r="B163" t="s">
        <v>5</v>
      </c>
      <c r="C163">
        <v>319</v>
      </c>
      <c r="E163">
        <f t="shared" si="69"/>
        <v>32239.103001838823</v>
      </c>
      <c r="F163" s="8">
        <f t="shared" si="80"/>
        <v>193.43461801103294</v>
      </c>
      <c r="G163" s="9">
        <f t="shared" si="64"/>
        <v>48.7455237387803</v>
      </c>
      <c r="H163">
        <f t="shared" si="65"/>
        <v>32287.848525577603</v>
      </c>
      <c r="K163" t="s">
        <v>6</v>
      </c>
      <c r="L163">
        <v>320</v>
      </c>
      <c r="M163" s="15"/>
      <c r="N163" s="6">
        <f t="shared" si="81"/>
        <v>177.58316689067684</v>
      </c>
      <c r="O163" s="11">
        <f t="shared" si="66"/>
        <v>44.750958056450564</v>
      </c>
      <c r="P163">
        <f t="shared" si="67"/>
        <v>32332.599483634054</v>
      </c>
      <c r="R163">
        <f t="shared" si="68"/>
        <v>93.496481795230864</v>
      </c>
    </row>
    <row r="164" spans="1:18" s="6" customFormat="1" x14ac:dyDescent="0.35">
      <c r="A164" s="6" t="s">
        <v>167</v>
      </c>
      <c r="B164" s="6" t="s">
        <v>6</v>
      </c>
      <c r="C164" s="6">
        <v>321</v>
      </c>
      <c r="D164" s="7">
        <v>5.0000000000000001E-3</v>
      </c>
      <c r="E164" s="6">
        <f t="shared" si="69"/>
        <v>32332.599483634054</v>
      </c>
      <c r="F164" s="8">
        <f>E164*0.5%</f>
        <v>161.66299741817028</v>
      </c>
      <c r="G164" s="9">
        <f t="shared" si="64"/>
        <v>40.739075349378908</v>
      </c>
      <c r="H164" s="6">
        <f t="shared" si="65"/>
        <v>32373.338558983432</v>
      </c>
      <c r="K164" s="6" t="s">
        <v>12</v>
      </c>
      <c r="L164" s="6">
        <v>322</v>
      </c>
      <c r="M164" s="7">
        <v>5.9999999999999698E-3</v>
      </c>
      <c r="N164" s="6">
        <f>H164*0.6%</f>
        <v>194.2400313539006</v>
      </c>
      <c r="O164" s="11">
        <f t="shared" si="66"/>
        <v>48.948487901182951</v>
      </c>
      <c r="P164" s="6">
        <f t="shared" si="67"/>
        <v>32422.287046884616</v>
      </c>
      <c r="R164" s="6">
        <f t="shared" si="68"/>
        <v>89.687563250561851</v>
      </c>
    </row>
    <row r="165" spans="1:18" x14ac:dyDescent="0.35">
      <c r="A165" t="s">
        <v>168</v>
      </c>
      <c r="B165" t="s">
        <v>6</v>
      </c>
      <c r="C165">
        <v>323</v>
      </c>
      <c r="E165">
        <f t="shared" si="69"/>
        <v>32422.287046884616</v>
      </c>
      <c r="F165" s="8">
        <f t="shared" ref="F165:F168" si="82">E165*0.5%</f>
        <v>162.11143523442308</v>
      </c>
      <c r="G165" s="9">
        <f t="shared" si="64"/>
        <v>40.852081679074615</v>
      </c>
      <c r="H165">
        <f t="shared" si="65"/>
        <v>32463.139128563689</v>
      </c>
      <c r="K165" t="s">
        <v>12</v>
      </c>
      <c r="L165">
        <v>324</v>
      </c>
      <c r="N165" s="6">
        <f t="shared" ref="N165:N168" si="83">H165*0.6%</f>
        <v>194.77883477138215</v>
      </c>
      <c r="O165" s="11">
        <f t="shared" si="66"/>
        <v>49.084266362388306</v>
      </c>
      <c r="P165">
        <f t="shared" si="67"/>
        <v>32512.223394926077</v>
      </c>
      <c r="R165">
        <f t="shared" si="68"/>
        <v>89.936348041462921</v>
      </c>
    </row>
    <row r="166" spans="1:18" x14ac:dyDescent="0.35">
      <c r="A166" t="s">
        <v>169</v>
      </c>
      <c r="B166" t="s">
        <v>6</v>
      </c>
      <c r="C166">
        <v>325</v>
      </c>
      <c r="E166">
        <f t="shared" si="69"/>
        <v>32512.223394926077</v>
      </c>
      <c r="F166" s="8">
        <f t="shared" si="82"/>
        <v>162.56111697463038</v>
      </c>
      <c r="G166" s="9">
        <f t="shared" si="64"/>
        <v>40.965401477606854</v>
      </c>
      <c r="H166">
        <f t="shared" si="65"/>
        <v>32553.188796403683</v>
      </c>
      <c r="K166" t="s">
        <v>12</v>
      </c>
      <c r="L166">
        <v>326</v>
      </c>
      <c r="N166" s="6">
        <f t="shared" si="83"/>
        <v>195.3191327784221</v>
      </c>
      <c r="O166" s="11">
        <f t="shared" si="66"/>
        <v>49.22042146016237</v>
      </c>
      <c r="P166">
        <f t="shared" si="67"/>
        <v>32602.409217863846</v>
      </c>
      <c r="R166">
        <f t="shared" si="68"/>
        <v>90.185822937769217</v>
      </c>
    </row>
    <row r="167" spans="1:18" x14ac:dyDescent="0.35">
      <c r="A167" t="s">
        <v>170</v>
      </c>
      <c r="B167" t="s">
        <v>6</v>
      </c>
      <c r="C167">
        <v>327</v>
      </c>
      <c r="E167">
        <f t="shared" si="69"/>
        <v>32602.409217863846</v>
      </c>
      <c r="F167" s="8">
        <f t="shared" si="82"/>
        <v>163.01204608931923</v>
      </c>
      <c r="G167" s="9">
        <f t="shared" si="64"/>
        <v>41.079035614508449</v>
      </c>
      <c r="H167">
        <f t="shared" si="65"/>
        <v>32643.488253478354</v>
      </c>
      <c r="K167" t="s">
        <v>12</v>
      </c>
      <c r="L167">
        <v>328</v>
      </c>
      <c r="N167" s="6">
        <f t="shared" si="83"/>
        <v>195.86092952087012</v>
      </c>
      <c r="O167" s="11">
        <f t="shared" si="66"/>
        <v>49.356954239259267</v>
      </c>
      <c r="P167">
        <f t="shared" si="67"/>
        <v>32692.845207717612</v>
      </c>
      <c r="R167">
        <f t="shared" si="68"/>
        <v>90.435989853767722</v>
      </c>
    </row>
    <row r="168" spans="1:18" x14ac:dyDescent="0.35">
      <c r="A168" t="s">
        <v>171</v>
      </c>
      <c r="B168" t="s">
        <v>6</v>
      </c>
      <c r="C168">
        <v>329</v>
      </c>
      <c r="D168" s="15"/>
      <c r="E168">
        <f t="shared" si="69"/>
        <v>32692.845207717612</v>
      </c>
      <c r="F168" s="8">
        <f t="shared" si="82"/>
        <v>163.46422603858807</v>
      </c>
      <c r="G168" s="9">
        <f t="shared" si="64"/>
        <v>41.192984961724193</v>
      </c>
      <c r="H168">
        <f t="shared" si="65"/>
        <v>32734.038192679334</v>
      </c>
      <c r="K168" t="s">
        <v>12</v>
      </c>
      <c r="L168">
        <v>330</v>
      </c>
      <c r="N168" s="6">
        <f t="shared" si="83"/>
        <v>196.40422915607601</v>
      </c>
      <c r="O168" s="11">
        <f t="shared" si="66"/>
        <v>49.493865747331157</v>
      </c>
      <c r="P168">
        <f t="shared" si="67"/>
        <v>32783.532058426666</v>
      </c>
      <c r="R168">
        <f t="shared" si="68"/>
        <v>90.686850709055349</v>
      </c>
    </row>
    <row r="169" spans="1:18" s="6" customFormat="1" x14ac:dyDescent="0.35">
      <c r="A169" s="6" t="s">
        <v>172</v>
      </c>
      <c r="B169" s="6" t="s">
        <v>6</v>
      </c>
      <c r="C169" s="6">
        <v>331</v>
      </c>
      <c r="D169" s="7">
        <v>4.0000000000000001E-3</v>
      </c>
      <c r="E169" s="6">
        <f t="shared" si="69"/>
        <v>32783.532058426666</v>
      </c>
      <c r="F169" s="8">
        <f>E169*0.4%</f>
        <v>131.13412823370666</v>
      </c>
      <c r="G169" s="9">
        <f t="shared" si="64"/>
        <v>33.04580031489408</v>
      </c>
      <c r="H169" s="6">
        <f t="shared" si="65"/>
        <v>32816.577858741563</v>
      </c>
      <c r="K169" s="6" t="s">
        <v>12</v>
      </c>
      <c r="L169" s="6">
        <v>332</v>
      </c>
      <c r="M169" s="7">
        <v>6.4999999999999598E-3</v>
      </c>
      <c r="N169" s="6">
        <f>H169*0.65%</f>
        <v>213.30775608182017</v>
      </c>
      <c r="O169" s="11">
        <f t="shared" si="66"/>
        <v>53.753554532618686</v>
      </c>
      <c r="P169" s="6">
        <f t="shared" si="67"/>
        <v>32870.33141327418</v>
      </c>
      <c r="R169" s="6">
        <f t="shared" si="68"/>
        <v>86.799354847512774</v>
      </c>
    </row>
    <row r="170" spans="1:18" x14ac:dyDescent="0.35">
      <c r="A170" t="s">
        <v>173</v>
      </c>
      <c r="B170" t="s">
        <v>6</v>
      </c>
      <c r="C170">
        <v>333</v>
      </c>
      <c r="E170">
        <f t="shared" si="69"/>
        <v>32870.33141327418</v>
      </c>
      <c r="F170" s="8">
        <f t="shared" ref="F170:F173" si="84">E170*0.4%</f>
        <v>131.48132565309672</v>
      </c>
      <c r="G170" s="9">
        <f t="shared" si="64"/>
        <v>33.133294064580376</v>
      </c>
      <c r="H170">
        <f t="shared" si="65"/>
        <v>32903.46470733876</v>
      </c>
      <c r="K170" t="s">
        <v>12</v>
      </c>
      <c r="L170">
        <v>334</v>
      </c>
      <c r="N170" s="6">
        <f t="shared" ref="N170:N173" si="85">H170*0.65%</f>
        <v>213.87252059770196</v>
      </c>
      <c r="O170" s="11">
        <f t="shared" si="66"/>
        <v>53.895875190620899</v>
      </c>
      <c r="P170">
        <f t="shared" si="67"/>
        <v>32957.360582529378</v>
      </c>
      <c r="R170">
        <f t="shared" si="68"/>
        <v>87.029169255201282</v>
      </c>
    </row>
    <row r="171" spans="1:18" x14ac:dyDescent="0.35">
      <c r="A171" t="s">
        <v>174</v>
      </c>
      <c r="B171" t="s">
        <v>6</v>
      </c>
      <c r="C171">
        <v>335</v>
      </c>
      <c r="E171">
        <f t="shared" si="69"/>
        <v>32957.360582529378</v>
      </c>
      <c r="F171" s="8">
        <f t="shared" si="84"/>
        <v>131.8294423301175</v>
      </c>
      <c r="G171" s="9">
        <f t="shared" si="64"/>
        <v>33.221019467189613</v>
      </c>
      <c r="H171">
        <f t="shared" si="65"/>
        <v>32990.581601996564</v>
      </c>
      <c r="K171" t="s">
        <v>12</v>
      </c>
      <c r="L171">
        <v>336</v>
      </c>
      <c r="N171" s="6">
        <f t="shared" si="85"/>
        <v>214.43878041297768</v>
      </c>
      <c r="O171" s="11">
        <f t="shared" si="66"/>
        <v>54.038572664070372</v>
      </c>
      <c r="P171">
        <f t="shared" si="67"/>
        <v>33044.620174660631</v>
      </c>
      <c r="R171">
        <f t="shared" si="68"/>
        <v>87.259592131259978</v>
      </c>
    </row>
    <row r="172" spans="1:18" x14ac:dyDescent="0.35">
      <c r="A172" t="s">
        <v>175</v>
      </c>
      <c r="B172" t="s">
        <v>6</v>
      </c>
      <c r="C172">
        <v>337</v>
      </c>
      <c r="E172">
        <f t="shared" si="69"/>
        <v>33044.620174660631</v>
      </c>
      <c r="F172" s="8">
        <f t="shared" si="84"/>
        <v>132.17848069864252</v>
      </c>
      <c r="G172" s="9">
        <f t="shared" si="64"/>
        <v>33.308977136057912</v>
      </c>
      <c r="H172">
        <f t="shared" si="65"/>
        <v>33077.929151796692</v>
      </c>
      <c r="K172" t="s">
        <v>12</v>
      </c>
      <c r="L172">
        <v>338</v>
      </c>
      <c r="N172" s="6">
        <f t="shared" si="85"/>
        <v>215.00653948667852</v>
      </c>
      <c r="O172" s="11">
        <f t="shared" si="66"/>
        <v>54.18164795064299</v>
      </c>
      <c r="P172">
        <f t="shared" si="67"/>
        <v>33132.110799747337</v>
      </c>
      <c r="R172">
        <f t="shared" si="68"/>
        <v>87.490625086700902</v>
      </c>
    </row>
    <row r="173" spans="1:18" x14ac:dyDescent="0.35">
      <c r="A173" t="s">
        <v>176</v>
      </c>
      <c r="B173" t="s">
        <v>6</v>
      </c>
      <c r="C173">
        <v>339</v>
      </c>
      <c r="E173">
        <f t="shared" si="69"/>
        <v>33132.110799747337</v>
      </c>
      <c r="F173" s="8">
        <f t="shared" si="84"/>
        <v>132.52844319898935</v>
      </c>
      <c r="G173" s="9">
        <f t="shared" si="64"/>
        <v>33.397167686145316</v>
      </c>
      <c r="H173">
        <f t="shared" si="65"/>
        <v>33165.507967433485</v>
      </c>
      <c r="K173" t="s">
        <v>12</v>
      </c>
      <c r="L173">
        <v>340</v>
      </c>
      <c r="M173" s="15"/>
      <c r="N173" s="6">
        <f t="shared" si="85"/>
        <v>215.57580178831768</v>
      </c>
      <c r="O173" s="11">
        <f t="shared" si="66"/>
        <v>54.325102050656056</v>
      </c>
      <c r="P173">
        <f t="shared" si="67"/>
        <v>33219.833069484142</v>
      </c>
      <c r="R173">
        <f t="shared" si="68"/>
        <v>87.722269736801366</v>
      </c>
    </row>
    <row r="174" spans="1:18" s="6" customFormat="1" x14ac:dyDescent="0.35">
      <c r="A174" s="6" t="s">
        <v>177</v>
      </c>
      <c r="B174" s="6" t="s">
        <v>6</v>
      </c>
      <c r="C174" s="6">
        <v>341</v>
      </c>
      <c r="D174" s="7">
        <v>3.00000000000001E-3</v>
      </c>
      <c r="E174" s="6">
        <f t="shared" si="69"/>
        <v>33219.833069484142</v>
      </c>
      <c r="F174" s="8">
        <f>E174*0.3%</f>
        <v>99.659499208452431</v>
      </c>
      <c r="G174" s="9">
        <f t="shared" si="64"/>
        <v>25.114193800530014</v>
      </c>
      <c r="H174" s="6">
        <f t="shared" si="65"/>
        <v>33244.947263284674</v>
      </c>
      <c r="K174" s="6" t="s">
        <v>12</v>
      </c>
      <c r="L174" s="6">
        <v>342</v>
      </c>
      <c r="M174" s="7">
        <v>6.9999999999999498E-3</v>
      </c>
      <c r="N174" s="6">
        <f t="shared" ref="N174:N178" si="86">H174*0.7%</f>
        <v>232.7146308429927</v>
      </c>
      <c r="O174" s="11">
        <f t="shared" si="66"/>
        <v>58.64408697243416</v>
      </c>
      <c r="P174" s="6">
        <f t="shared" si="67"/>
        <v>33303.591350257106</v>
      </c>
      <c r="R174" s="6">
        <f t="shared" si="68"/>
        <v>83.75828077296417</v>
      </c>
    </row>
    <row r="175" spans="1:18" x14ac:dyDescent="0.35">
      <c r="A175" t="s">
        <v>178</v>
      </c>
      <c r="B175" t="s">
        <v>6</v>
      </c>
      <c r="C175">
        <v>343</v>
      </c>
      <c r="E175">
        <f t="shared" si="69"/>
        <v>33303.591350257106</v>
      </c>
      <c r="F175" s="8">
        <f t="shared" ref="F175:F178" si="87">E175*0.3%</f>
        <v>99.910774050771323</v>
      </c>
      <c r="G175" s="9">
        <f t="shared" si="64"/>
        <v>25.177515060794374</v>
      </c>
      <c r="H175">
        <f t="shared" si="65"/>
        <v>33328.768865317899</v>
      </c>
      <c r="K175" t="s">
        <v>12</v>
      </c>
      <c r="L175">
        <v>344</v>
      </c>
      <c r="N175" s="6">
        <f t="shared" si="86"/>
        <v>233.30138205722528</v>
      </c>
      <c r="O175" s="11">
        <f t="shared" si="66"/>
        <v>58.791948278420769</v>
      </c>
      <c r="P175">
        <f t="shared" si="67"/>
        <v>33387.560813596319</v>
      </c>
      <c r="R175">
        <f t="shared" si="68"/>
        <v>83.969463339215139</v>
      </c>
    </row>
    <row r="176" spans="1:18" x14ac:dyDescent="0.35">
      <c r="A176" t="s">
        <v>179</v>
      </c>
      <c r="B176" t="s">
        <v>6</v>
      </c>
      <c r="C176">
        <v>345</v>
      </c>
      <c r="E176">
        <f t="shared" si="69"/>
        <v>33387.560813596319</v>
      </c>
      <c r="F176" s="8">
        <f t="shared" si="87"/>
        <v>100.16268244078896</v>
      </c>
      <c r="G176" s="9">
        <f t="shared" si="64"/>
        <v>25.240995975078818</v>
      </c>
      <c r="H176">
        <f t="shared" si="65"/>
        <v>33412.8018095714</v>
      </c>
      <c r="K176" t="s">
        <v>12</v>
      </c>
      <c r="L176">
        <v>346</v>
      </c>
      <c r="N176" s="6">
        <f t="shared" si="86"/>
        <v>233.88961266699977</v>
      </c>
      <c r="O176" s="11">
        <f t="shared" si="66"/>
        <v>58.94018239208394</v>
      </c>
      <c r="P176">
        <f t="shared" si="67"/>
        <v>33471.741991963485</v>
      </c>
      <c r="R176">
        <f t="shared" si="68"/>
        <v>84.181178367162758</v>
      </c>
    </row>
    <row r="177" spans="1:18" x14ac:dyDescent="0.35">
      <c r="A177" t="s">
        <v>180</v>
      </c>
      <c r="B177" t="s">
        <v>6</v>
      </c>
      <c r="C177">
        <v>347</v>
      </c>
      <c r="E177">
        <f t="shared" si="69"/>
        <v>33471.741991963485</v>
      </c>
      <c r="F177" s="8">
        <f t="shared" si="87"/>
        <v>100.41522597589045</v>
      </c>
      <c r="G177" s="9">
        <f t="shared" si="64"/>
        <v>25.304636945924393</v>
      </c>
      <c r="H177">
        <f t="shared" si="65"/>
        <v>33497.046628909411</v>
      </c>
      <c r="K177" t="s">
        <v>12</v>
      </c>
      <c r="L177">
        <v>348</v>
      </c>
      <c r="N177" s="6">
        <f t="shared" si="86"/>
        <v>234.47932640236584</v>
      </c>
      <c r="O177" s="11">
        <f t="shared" si="66"/>
        <v>59.088790253396191</v>
      </c>
      <c r="P177">
        <f t="shared" si="67"/>
        <v>33556.135419162805</v>
      </c>
      <c r="R177">
        <f t="shared" si="68"/>
        <v>84.393427199320584</v>
      </c>
    </row>
    <row r="178" spans="1:18" x14ac:dyDescent="0.35">
      <c r="A178" t="s">
        <v>181</v>
      </c>
      <c r="B178" t="s">
        <v>6</v>
      </c>
      <c r="C178">
        <v>349</v>
      </c>
      <c r="E178">
        <f t="shared" si="69"/>
        <v>33556.135419162805</v>
      </c>
      <c r="F178" s="8">
        <f t="shared" si="87"/>
        <v>100.66840625748841</v>
      </c>
      <c r="G178" s="9">
        <f t="shared" si="64"/>
        <v>25.368438376887081</v>
      </c>
      <c r="H178">
        <f t="shared" si="65"/>
        <v>33581.50385753969</v>
      </c>
      <c r="K178" t="s">
        <v>12</v>
      </c>
      <c r="L178">
        <v>350</v>
      </c>
      <c r="N178" s="6">
        <f t="shared" si="86"/>
        <v>235.07052700277779</v>
      </c>
      <c r="O178" s="11">
        <f t="shared" si="66"/>
        <v>59.237772804700008</v>
      </c>
      <c r="P178">
        <f t="shared" si="67"/>
        <v>33640.74163034439</v>
      </c>
      <c r="R178">
        <f t="shared" si="68"/>
        <v>84.606211181587085</v>
      </c>
    </row>
    <row r="179" spans="1:18" s="6" customFormat="1" x14ac:dyDescent="0.35">
      <c r="A179" s="6" t="s">
        <v>182</v>
      </c>
      <c r="B179" s="6" t="s">
        <v>6</v>
      </c>
      <c r="C179" s="6">
        <v>351</v>
      </c>
      <c r="D179" s="7">
        <v>3.5000000000000001E-3</v>
      </c>
      <c r="E179" s="6">
        <f t="shared" si="69"/>
        <v>33640.74163034439</v>
      </c>
      <c r="F179" s="8">
        <f>E179*0.35%</f>
        <v>117.74259570620535</v>
      </c>
      <c r="G179" s="9">
        <f t="shared" si="64"/>
        <v>29.671134117963749</v>
      </c>
      <c r="H179" s="6">
        <f t="shared" si="65"/>
        <v>33670.412764462351</v>
      </c>
      <c r="K179" s="6" t="s">
        <v>12</v>
      </c>
      <c r="L179" s="6">
        <v>352</v>
      </c>
      <c r="M179" s="7">
        <v>7.4999999999999399E-3</v>
      </c>
      <c r="N179" s="6">
        <f>H179*0.75%</f>
        <v>252.52809573346764</v>
      </c>
      <c r="O179" s="11">
        <f t="shared" si="66"/>
        <v>63.637080124833844</v>
      </c>
      <c r="P179" s="6">
        <f t="shared" si="67"/>
        <v>33734.049844587185</v>
      </c>
      <c r="R179" s="6">
        <f t="shared" si="68"/>
        <v>93.30821424279759</v>
      </c>
    </row>
    <row r="180" spans="1:18" x14ac:dyDescent="0.35">
      <c r="A180" t="s">
        <v>183</v>
      </c>
      <c r="B180" t="s">
        <v>6</v>
      </c>
      <c r="C180">
        <v>353</v>
      </c>
      <c r="E180">
        <f t="shared" si="69"/>
        <v>33734.049844587185</v>
      </c>
      <c r="F180" s="8">
        <f t="shared" ref="F180:F183" si="88">E180*0.35%</f>
        <v>118.06917445605514</v>
      </c>
      <c r="G180" s="9">
        <f t="shared" si="64"/>
        <v>29.753431962925895</v>
      </c>
      <c r="H180">
        <f t="shared" si="65"/>
        <v>33763.803276550112</v>
      </c>
      <c r="K180" t="s">
        <v>12</v>
      </c>
      <c r="L180">
        <v>354</v>
      </c>
      <c r="N180" s="6">
        <f t="shared" ref="N180:N183" si="89">H180*0.75%</f>
        <v>253.22852457412583</v>
      </c>
      <c r="O180" s="11">
        <f t="shared" si="66"/>
        <v>63.81358819267971</v>
      </c>
      <c r="P180">
        <f t="shared" si="67"/>
        <v>33827.616864742791</v>
      </c>
      <c r="R180">
        <f t="shared" si="68"/>
        <v>93.567020155605604</v>
      </c>
    </row>
    <row r="181" spans="1:18" x14ac:dyDescent="0.35">
      <c r="A181" t="s">
        <v>184</v>
      </c>
      <c r="B181" t="s">
        <v>6</v>
      </c>
      <c r="C181">
        <v>355</v>
      </c>
      <c r="E181">
        <f t="shared" si="69"/>
        <v>33827.616864742791</v>
      </c>
      <c r="F181" s="8">
        <f t="shared" si="88"/>
        <v>118.39665902659976</v>
      </c>
      <c r="G181" s="9">
        <f t="shared" si="64"/>
        <v>29.835958074703139</v>
      </c>
      <c r="H181">
        <f t="shared" si="65"/>
        <v>33857.452822817497</v>
      </c>
      <c r="K181" t="s">
        <v>12</v>
      </c>
      <c r="L181">
        <v>356</v>
      </c>
      <c r="N181" s="6">
        <f t="shared" si="89"/>
        <v>253.93089617113122</v>
      </c>
      <c r="O181" s="11">
        <f t="shared" si="66"/>
        <v>63.990585835125067</v>
      </c>
      <c r="P181">
        <f t="shared" si="67"/>
        <v>33921.443408652623</v>
      </c>
      <c r="R181">
        <f t="shared" si="68"/>
        <v>93.826543909828203</v>
      </c>
    </row>
    <row r="182" spans="1:18" x14ac:dyDescent="0.35">
      <c r="A182" t="s">
        <v>185</v>
      </c>
      <c r="B182" t="s">
        <v>6</v>
      </c>
      <c r="C182">
        <v>357</v>
      </c>
      <c r="E182">
        <f t="shared" si="69"/>
        <v>33921.443408652623</v>
      </c>
      <c r="F182" s="8">
        <f t="shared" si="88"/>
        <v>118.72505193028417</v>
      </c>
      <c r="G182" s="9">
        <f t="shared" si="64"/>
        <v>29.918713086431609</v>
      </c>
      <c r="H182">
        <f t="shared" si="65"/>
        <v>33951.362121739054</v>
      </c>
      <c r="K182" t="s">
        <v>12</v>
      </c>
      <c r="L182">
        <v>358</v>
      </c>
      <c r="N182" s="6">
        <f t="shared" si="89"/>
        <v>254.63521591304288</v>
      </c>
      <c r="O182" s="11">
        <f t="shared" si="66"/>
        <v>64.168074410086803</v>
      </c>
      <c r="P182">
        <f t="shared" si="67"/>
        <v>34015.530196149142</v>
      </c>
      <c r="R182">
        <f t="shared" si="68"/>
        <v>94.086787496518411</v>
      </c>
    </row>
    <row r="183" spans="1:18" s="13" customFormat="1" x14ac:dyDescent="0.35">
      <c r="A183" s="13" t="s">
        <v>186</v>
      </c>
      <c r="B183" s="13" t="s">
        <v>6</v>
      </c>
      <c r="C183" s="13">
        <v>359</v>
      </c>
      <c r="E183" s="13">
        <f t="shared" si="69"/>
        <v>34015.530196149142</v>
      </c>
      <c r="F183" s="14">
        <f t="shared" si="88"/>
        <v>119.05435568652199</v>
      </c>
      <c r="G183" s="9">
        <f t="shared" si="64"/>
        <v>30.001697633003541</v>
      </c>
      <c r="H183" s="13">
        <f t="shared" si="65"/>
        <v>34045.531893782143</v>
      </c>
      <c r="K183" s="13" t="s">
        <v>12</v>
      </c>
      <c r="L183" s="13">
        <v>360</v>
      </c>
      <c r="N183" s="13">
        <f t="shared" si="89"/>
        <v>255.34148920336605</v>
      </c>
      <c r="O183" s="11">
        <f t="shared" si="66"/>
        <v>64.346055279248247</v>
      </c>
      <c r="P183" s="13">
        <f t="shared" si="67"/>
        <v>34109.877949061389</v>
      </c>
      <c r="R183" s="13">
        <f t="shared" si="68"/>
        <v>94.347752912251792</v>
      </c>
    </row>
    <row r="184" spans="1:18" s="6" customFormat="1" x14ac:dyDescent="0.35">
      <c r="A184" s="6" t="s">
        <v>187</v>
      </c>
      <c r="B184" s="6" t="s">
        <v>6</v>
      </c>
      <c r="C184" s="6">
        <v>361</v>
      </c>
      <c r="D184" s="7">
        <v>4.0000000000000001E-3</v>
      </c>
      <c r="E184" s="6">
        <f t="shared" si="69"/>
        <v>34109.877949061389</v>
      </c>
      <c r="F184" s="8">
        <f>E184*0.4%</f>
        <v>136.43951179624557</v>
      </c>
      <c r="G184" s="9">
        <f t="shared" si="64"/>
        <v>34.382756972653887</v>
      </c>
      <c r="H184" s="6">
        <f t="shared" si="65"/>
        <v>34144.260706034045</v>
      </c>
      <c r="K184" s="6" t="s">
        <v>12</v>
      </c>
      <c r="L184" s="6">
        <v>362</v>
      </c>
      <c r="M184" s="7">
        <v>7.9999999999999308E-3</v>
      </c>
      <c r="N184" s="6">
        <f>H184*0.8%</f>
        <v>273.15408564827237</v>
      </c>
      <c r="O184" s="11">
        <f t="shared" si="66"/>
        <v>68.834829583364638</v>
      </c>
      <c r="P184" s="6">
        <f t="shared" si="67"/>
        <v>34213.095535617409</v>
      </c>
      <c r="R184" s="6">
        <f t="shared" si="68"/>
        <v>103.21758655601852</v>
      </c>
    </row>
    <row r="185" spans="1:18" x14ac:dyDescent="0.35">
      <c r="A185" t="s">
        <v>188</v>
      </c>
      <c r="B185" t="s">
        <v>6</v>
      </c>
      <c r="C185">
        <v>363</v>
      </c>
      <c r="E185">
        <f t="shared" si="69"/>
        <v>34213.095535617409</v>
      </c>
      <c r="F185" s="8">
        <f t="shared" ref="F185:F188" si="90">E185*0.4%</f>
        <v>136.85238214246965</v>
      </c>
      <c r="G185" s="9">
        <f t="shared" si="64"/>
        <v>34.486800299902349</v>
      </c>
      <c r="H185">
        <f t="shared" si="65"/>
        <v>34247.582335917308</v>
      </c>
      <c r="K185" t="s">
        <v>12</v>
      </c>
      <c r="L185">
        <v>364</v>
      </c>
      <c r="N185" s="6">
        <f t="shared" ref="N185:N188" si="91">H185*0.8%</f>
        <v>273.98065868733846</v>
      </c>
      <c r="O185" s="11">
        <f t="shared" si="66"/>
        <v>69.043125989209287</v>
      </c>
      <c r="P185">
        <f t="shared" si="67"/>
        <v>34316.625461906515</v>
      </c>
      <c r="R185">
        <f t="shared" si="68"/>
        <v>103.52992628911164</v>
      </c>
    </row>
    <row r="186" spans="1:18" x14ac:dyDescent="0.35">
      <c r="A186" t="s">
        <v>189</v>
      </c>
      <c r="B186" t="s">
        <v>6</v>
      </c>
      <c r="C186">
        <v>365</v>
      </c>
      <c r="E186">
        <f t="shared" si="69"/>
        <v>34316.625461906515</v>
      </c>
      <c r="F186" s="8">
        <f t="shared" si="90"/>
        <v>137.26650184762607</v>
      </c>
      <c r="G186" s="9">
        <f t="shared" si="64"/>
        <v>34.591158465601772</v>
      </c>
      <c r="H186">
        <f t="shared" si="65"/>
        <v>34351.216620372114</v>
      </c>
      <c r="K186" t="s">
        <v>12</v>
      </c>
      <c r="L186">
        <v>366</v>
      </c>
      <c r="N186" s="6">
        <f t="shared" si="91"/>
        <v>274.80973296297691</v>
      </c>
      <c r="O186" s="11">
        <f t="shared" si="66"/>
        <v>69.252052706670185</v>
      </c>
      <c r="P186">
        <f t="shared" si="67"/>
        <v>34420.468673078787</v>
      </c>
      <c r="R186">
        <f t="shared" si="68"/>
        <v>103.84321117227196</v>
      </c>
    </row>
    <row r="187" spans="1:18" x14ac:dyDescent="0.35">
      <c r="A187" t="s">
        <v>190</v>
      </c>
      <c r="B187" t="s">
        <v>6</v>
      </c>
      <c r="C187">
        <v>367</v>
      </c>
      <c r="E187">
        <f t="shared" si="69"/>
        <v>34420.468673078787</v>
      </c>
      <c r="F187" s="8">
        <f t="shared" si="90"/>
        <v>137.68187469231515</v>
      </c>
      <c r="G187" s="9">
        <f t="shared" si="64"/>
        <v>34.695832422463418</v>
      </c>
      <c r="H187">
        <f t="shared" si="65"/>
        <v>34455.164505501249</v>
      </c>
      <c r="K187" t="s">
        <v>12</v>
      </c>
      <c r="L187">
        <v>368</v>
      </c>
      <c r="N187" s="6">
        <f t="shared" si="91"/>
        <v>275.64131604401001</v>
      </c>
      <c r="O187" s="11">
        <f t="shared" si="66"/>
        <v>69.461611643090521</v>
      </c>
      <c r="P187">
        <f t="shared" si="67"/>
        <v>34524.62611714434</v>
      </c>
      <c r="R187">
        <f t="shared" si="68"/>
        <v>104.15744406555393</v>
      </c>
    </row>
    <row r="188" spans="1:18" x14ac:dyDescent="0.35">
      <c r="A188" t="s">
        <v>191</v>
      </c>
      <c r="B188" t="s">
        <v>6</v>
      </c>
      <c r="C188">
        <v>369</v>
      </c>
      <c r="E188">
        <f t="shared" si="69"/>
        <v>34524.62611714434</v>
      </c>
      <c r="F188" s="8">
        <f t="shared" si="90"/>
        <v>138.09850446857737</v>
      </c>
      <c r="G188" s="9">
        <f t="shared" si="64"/>
        <v>34.800823126081497</v>
      </c>
      <c r="H188">
        <f t="shared" si="65"/>
        <v>34559.426940270423</v>
      </c>
      <c r="K188" t="s">
        <v>12</v>
      </c>
      <c r="L188">
        <v>370</v>
      </c>
      <c r="N188" s="6">
        <f t="shared" si="91"/>
        <v>276.47541552216342</v>
      </c>
      <c r="O188" s="11">
        <f t="shared" si="66"/>
        <v>69.671804711585182</v>
      </c>
      <c r="P188">
        <f t="shared" si="67"/>
        <v>34629.09874498201</v>
      </c>
      <c r="R188">
        <f t="shared" si="68"/>
        <v>104.47262783766668</v>
      </c>
    </row>
    <row r="189" spans="1:18" s="6" customFormat="1" x14ac:dyDescent="0.35">
      <c r="A189" s="6" t="s">
        <v>192</v>
      </c>
      <c r="B189" s="6" t="s">
        <v>6</v>
      </c>
      <c r="C189" s="6">
        <v>371</v>
      </c>
      <c r="D189" s="7">
        <v>4.4999999999999797E-3</v>
      </c>
      <c r="E189" s="6">
        <f t="shared" si="69"/>
        <v>34629.09874498201</v>
      </c>
      <c r="F189" s="8">
        <f>E189*0.45%</f>
        <v>155.83094435241907</v>
      </c>
      <c r="G189" s="9">
        <f t="shared" si="64"/>
        <v>39.269397976809607</v>
      </c>
      <c r="H189" s="6">
        <f t="shared" si="65"/>
        <v>34668.368142958818</v>
      </c>
      <c r="K189" s="6" t="s">
        <v>12</v>
      </c>
      <c r="L189" s="6">
        <v>372</v>
      </c>
      <c r="M189" s="7">
        <v>8.4999999999999208E-3</v>
      </c>
      <c r="N189" s="6">
        <f>H189*0.85%</f>
        <v>294.68112921514995</v>
      </c>
      <c r="O189" s="11">
        <f t="shared" si="66"/>
        <v>74.259644562217787</v>
      </c>
      <c r="P189" s="6">
        <f t="shared" si="67"/>
        <v>34742.627787521036</v>
      </c>
      <c r="R189" s="6">
        <f t="shared" si="68"/>
        <v>113.52904253902739</v>
      </c>
    </row>
    <row r="190" spans="1:18" x14ac:dyDescent="0.35">
      <c r="A190" t="s">
        <v>193</v>
      </c>
      <c r="B190" t="s">
        <v>6</v>
      </c>
      <c r="C190">
        <v>373</v>
      </c>
      <c r="E190">
        <f t="shared" si="69"/>
        <v>34742.627787521036</v>
      </c>
      <c r="F190" s="8">
        <f t="shared" ref="F190:F193" si="92">E190*0.45%</f>
        <v>156.34182504384469</v>
      </c>
      <c r="G190" s="9">
        <f t="shared" si="64"/>
        <v>39.398139911048865</v>
      </c>
      <c r="H190">
        <f t="shared" si="65"/>
        <v>34782.025927432085</v>
      </c>
      <c r="K190" t="s">
        <v>12</v>
      </c>
      <c r="L190">
        <v>374</v>
      </c>
      <c r="N190" s="6">
        <f t="shared" ref="N190:N193" si="93">H190*0.85%</f>
        <v>295.64722038317274</v>
      </c>
      <c r="O190" s="11">
        <f t="shared" si="66"/>
        <v>74.503099536559532</v>
      </c>
      <c r="P190">
        <f t="shared" si="67"/>
        <v>34856.529026968645</v>
      </c>
      <c r="R190">
        <f t="shared" si="68"/>
        <v>113.90123944760839</v>
      </c>
    </row>
    <row r="191" spans="1:18" x14ac:dyDescent="0.35">
      <c r="A191" t="s">
        <v>194</v>
      </c>
      <c r="B191" t="s">
        <v>6</v>
      </c>
      <c r="C191">
        <v>375</v>
      </c>
      <c r="E191">
        <f t="shared" si="69"/>
        <v>34856.529026968645</v>
      </c>
      <c r="F191" s="8">
        <f t="shared" si="92"/>
        <v>156.85438062135893</v>
      </c>
      <c r="G191" s="9">
        <f t="shared" si="64"/>
        <v>39.527303916582447</v>
      </c>
      <c r="H191">
        <f t="shared" si="65"/>
        <v>34896.056330885229</v>
      </c>
      <c r="K191" t="s">
        <v>12</v>
      </c>
      <c r="L191">
        <v>376</v>
      </c>
      <c r="N191" s="6">
        <f t="shared" si="93"/>
        <v>296.61647881252446</v>
      </c>
      <c r="O191" s="11">
        <f t="shared" si="66"/>
        <v>74.747352660756164</v>
      </c>
      <c r="P191">
        <f t="shared" si="67"/>
        <v>34970.803683545986</v>
      </c>
      <c r="R191">
        <f t="shared" si="68"/>
        <v>114.27465657733862</v>
      </c>
    </row>
    <row r="192" spans="1:18" x14ac:dyDescent="0.35">
      <c r="A192" t="s">
        <v>195</v>
      </c>
      <c r="B192" t="s">
        <v>6</v>
      </c>
      <c r="C192">
        <v>377</v>
      </c>
      <c r="E192">
        <f t="shared" si="69"/>
        <v>34970.803683545986</v>
      </c>
      <c r="F192" s="8">
        <f t="shared" si="92"/>
        <v>157.36861657595696</v>
      </c>
      <c r="G192" s="9">
        <f t="shared" si="64"/>
        <v>39.656891377141157</v>
      </c>
      <c r="H192">
        <f t="shared" si="65"/>
        <v>35010.460574923127</v>
      </c>
      <c r="K192" t="s">
        <v>12</v>
      </c>
      <c r="L192">
        <v>378</v>
      </c>
      <c r="N192" s="6">
        <f t="shared" si="93"/>
        <v>297.58891488684662</v>
      </c>
      <c r="O192" s="11">
        <f t="shared" si="66"/>
        <v>74.992406551485345</v>
      </c>
      <c r="P192">
        <f t="shared" si="67"/>
        <v>35085.452981474613</v>
      </c>
      <c r="R192">
        <f t="shared" si="68"/>
        <v>114.64929792862651</v>
      </c>
    </row>
    <row r="193" spans="1:18" x14ac:dyDescent="0.35">
      <c r="A193" t="s">
        <v>196</v>
      </c>
      <c r="B193" t="s">
        <v>6</v>
      </c>
      <c r="C193">
        <v>379</v>
      </c>
      <c r="E193">
        <f t="shared" si="69"/>
        <v>35085.452981474613</v>
      </c>
      <c r="F193" s="8">
        <f t="shared" si="92"/>
        <v>157.88453841663576</v>
      </c>
      <c r="G193" s="9">
        <f t="shared" si="64"/>
        <v>39.786903680992211</v>
      </c>
      <c r="H193">
        <f t="shared" si="65"/>
        <v>35125.239885155606</v>
      </c>
      <c r="K193" t="s">
        <v>12</v>
      </c>
      <c r="L193">
        <v>380</v>
      </c>
      <c r="M193" s="15"/>
      <c r="N193" s="6">
        <f t="shared" si="93"/>
        <v>298.56453902382265</v>
      </c>
      <c r="O193" s="11">
        <f t="shared" si="66"/>
        <v>75.238263834003305</v>
      </c>
      <c r="P193">
        <f t="shared" si="67"/>
        <v>35200.478148989612</v>
      </c>
      <c r="R193">
        <f t="shared" si="68"/>
        <v>115.02516751499552</v>
      </c>
    </row>
    <row r="194" spans="1:18" s="6" customFormat="1" x14ac:dyDescent="0.35">
      <c r="A194" s="6" t="s">
        <v>197</v>
      </c>
      <c r="B194" s="6" t="s">
        <v>6</v>
      </c>
      <c r="C194" s="6">
        <v>381</v>
      </c>
      <c r="D194" s="7">
        <v>4.9999999999999697E-3</v>
      </c>
      <c r="E194" s="6">
        <f t="shared" si="69"/>
        <v>35200.478148989612</v>
      </c>
      <c r="F194" s="8">
        <f>E194*0.5%</f>
        <v>176.00239074494806</v>
      </c>
      <c r="G194" s="9">
        <f t="shared" si="64"/>
        <v>44.352602467726911</v>
      </c>
      <c r="H194" s="6">
        <f t="shared" si="65"/>
        <v>35244.830751457339</v>
      </c>
      <c r="K194" s="6" t="s">
        <v>12</v>
      </c>
      <c r="L194" s="6">
        <v>382</v>
      </c>
      <c r="M194" s="7">
        <v>8.9999999999999108E-3</v>
      </c>
      <c r="N194" s="6">
        <f>H194*0.9%</f>
        <v>317.2034767631161</v>
      </c>
      <c r="O194" s="11">
        <f t="shared" si="66"/>
        <v>79.935276144305263</v>
      </c>
      <c r="P194" s="6">
        <f t="shared" si="67"/>
        <v>35324.766027601647</v>
      </c>
      <c r="R194" s="6">
        <f t="shared" si="68"/>
        <v>124.28787861203217</v>
      </c>
    </row>
    <row r="195" spans="1:18" x14ac:dyDescent="0.35">
      <c r="A195" t="s">
        <v>198</v>
      </c>
      <c r="B195" t="s">
        <v>6</v>
      </c>
      <c r="C195">
        <v>383</v>
      </c>
      <c r="E195">
        <f t="shared" si="69"/>
        <v>35324.766027601647</v>
      </c>
      <c r="F195" s="8">
        <f t="shared" ref="F195:F198" si="94">E195*0.5%</f>
        <v>176.62383013800823</v>
      </c>
      <c r="G195" s="9">
        <f t="shared" si="64"/>
        <v>44.509205194778076</v>
      </c>
      <c r="H195">
        <f t="shared" si="65"/>
        <v>35369.275232796426</v>
      </c>
      <c r="K195" t="s">
        <v>12</v>
      </c>
      <c r="L195">
        <v>384</v>
      </c>
      <c r="N195" s="6">
        <f t="shared" ref="N195:N198" si="95">H195*0.9%</f>
        <v>318.32347709516785</v>
      </c>
      <c r="O195" s="11">
        <f t="shared" si="66"/>
        <v>80.217516227982301</v>
      </c>
      <c r="P195">
        <f t="shared" si="67"/>
        <v>35449.492749024408</v>
      </c>
      <c r="R195">
        <f t="shared" si="68"/>
        <v>124.72672142276038</v>
      </c>
    </row>
    <row r="196" spans="1:18" x14ac:dyDescent="0.35">
      <c r="A196" t="s">
        <v>199</v>
      </c>
      <c r="B196" t="s">
        <v>6</v>
      </c>
      <c r="C196">
        <v>385</v>
      </c>
      <c r="E196">
        <f t="shared" si="69"/>
        <v>35449.492749024408</v>
      </c>
      <c r="F196" s="8">
        <f t="shared" si="94"/>
        <v>177.24746374512205</v>
      </c>
      <c r="G196" s="9">
        <f t="shared" si="64"/>
        <v>44.666360863770755</v>
      </c>
      <c r="H196">
        <f t="shared" si="65"/>
        <v>35494.159109888176</v>
      </c>
      <c r="K196" t="s">
        <v>12</v>
      </c>
      <c r="L196">
        <v>386</v>
      </c>
      <c r="N196" s="6">
        <f t="shared" si="95"/>
        <v>319.44743198899363</v>
      </c>
      <c r="O196" s="11">
        <f t="shared" si="66"/>
        <v>80.500752861226388</v>
      </c>
      <c r="P196">
        <f t="shared" si="67"/>
        <v>35574.659862749402</v>
      </c>
      <c r="R196">
        <f t="shared" si="68"/>
        <v>125.16711372499714</v>
      </c>
    </row>
    <row r="197" spans="1:18" x14ac:dyDescent="0.35">
      <c r="A197" t="s">
        <v>200</v>
      </c>
      <c r="B197" t="s">
        <v>6</v>
      </c>
      <c r="C197">
        <v>387</v>
      </c>
      <c r="E197">
        <f t="shared" si="69"/>
        <v>35574.659862749402</v>
      </c>
      <c r="F197" s="8">
        <f t="shared" si="94"/>
        <v>177.87329931374703</v>
      </c>
      <c r="G197" s="9">
        <f t="shared" ref="G197:G260" si="96">F197*25.2%</f>
        <v>44.824071427064254</v>
      </c>
      <c r="H197">
        <f t="shared" ref="H197:H260" si="97">G197+E197</f>
        <v>35619.483934176467</v>
      </c>
      <c r="K197" t="s">
        <v>12</v>
      </c>
      <c r="L197">
        <v>388</v>
      </c>
      <c r="N197" s="6">
        <f t="shared" si="95"/>
        <v>320.57535540758823</v>
      </c>
      <c r="O197" s="11">
        <f t="shared" ref="O197:O260" si="98">N197*25.2%</f>
        <v>80.784989562712241</v>
      </c>
      <c r="P197">
        <f t="shared" ref="P197:P260" si="99">O197+H197</f>
        <v>35700.268923739182</v>
      </c>
      <c r="R197">
        <f t="shared" ref="R197:R260" si="100">O197+G197</f>
        <v>125.60906098977649</v>
      </c>
    </row>
    <row r="198" spans="1:18" x14ac:dyDescent="0.35">
      <c r="A198" t="s">
        <v>201</v>
      </c>
      <c r="B198" t="s">
        <v>6</v>
      </c>
      <c r="C198">
        <v>389</v>
      </c>
      <c r="D198" s="15"/>
      <c r="E198">
        <f t="shared" ref="E198:E261" si="101">P197</f>
        <v>35700.268923739182</v>
      </c>
      <c r="F198" s="8">
        <f t="shared" si="94"/>
        <v>178.50134461869592</v>
      </c>
      <c r="G198" s="9">
        <f t="shared" si="96"/>
        <v>44.982338843911371</v>
      </c>
      <c r="H198">
        <f t="shared" si="97"/>
        <v>35745.251262583093</v>
      </c>
      <c r="K198" t="s">
        <v>12</v>
      </c>
      <c r="L198">
        <v>390</v>
      </c>
      <c r="N198" s="6">
        <f t="shared" si="95"/>
        <v>321.70726136324788</v>
      </c>
      <c r="O198" s="11">
        <f t="shared" si="98"/>
        <v>81.070229863538472</v>
      </c>
      <c r="P198">
        <f t="shared" si="99"/>
        <v>35826.32149244663</v>
      </c>
      <c r="R198">
        <f t="shared" si="100"/>
        <v>126.05256870744984</v>
      </c>
    </row>
    <row r="199" spans="1:18" s="6" customFormat="1" x14ac:dyDescent="0.35">
      <c r="A199" s="6" t="s">
        <v>202</v>
      </c>
      <c r="B199" s="6" t="s">
        <v>6</v>
      </c>
      <c r="C199" s="6">
        <v>391</v>
      </c>
      <c r="D199" s="7">
        <v>5.4999999999999598E-3</v>
      </c>
      <c r="E199" s="6">
        <f t="shared" si="101"/>
        <v>35826.32149244663</v>
      </c>
      <c r="F199" s="8">
        <f>E199*0.55%</f>
        <v>197.04476820845647</v>
      </c>
      <c r="G199" s="9">
        <f t="shared" si="96"/>
        <v>49.655281588531032</v>
      </c>
      <c r="H199" s="6">
        <f t="shared" si="97"/>
        <v>35875.97677403516</v>
      </c>
      <c r="K199" s="6" t="s">
        <v>12</v>
      </c>
      <c r="L199" s="6">
        <v>392</v>
      </c>
      <c r="M199" s="7">
        <v>8.0000000000000002E-3</v>
      </c>
      <c r="N199" s="6">
        <f t="shared" ref="N199:N203" si="102">H199*0.8%</f>
        <v>287.00781419228127</v>
      </c>
      <c r="O199" s="11">
        <f t="shared" si="98"/>
        <v>72.325969176454876</v>
      </c>
      <c r="P199" s="6">
        <f t="shared" si="99"/>
        <v>35948.302743211614</v>
      </c>
      <c r="R199" s="6">
        <f t="shared" si="100"/>
        <v>121.9812507649859</v>
      </c>
    </row>
    <row r="200" spans="1:18" x14ac:dyDescent="0.35">
      <c r="A200" t="s">
        <v>203</v>
      </c>
      <c r="B200" t="s">
        <v>6</v>
      </c>
      <c r="C200">
        <v>393</v>
      </c>
      <c r="E200">
        <f t="shared" si="101"/>
        <v>35948.302743211614</v>
      </c>
      <c r="F200" s="8">
        <f t="shared" ref="F200:F203" si="103">E200*0.55%</f>
        <v>197.71566508766389</v>
      </c>
      <c r="G200" s="9">
        <f t="shared" si="96"/>
        <v>49.824347602091301</v>
      </c>
      <c r="H200">
        <f t="shared" si="97"/>
        <v>35998.127090813708</v>
      </c>
      <c r="K200" t="s">
        <v>12</v>
      </c>
      <c r="L200">
        <v>394</v>
      </c>
      <c r="N200" s="6">
        <f t="shared" si="102"/>
        <v>287.98501672650968</v>
      </c>
      <c r="O200" s="11">
        <f t="shared" si="98"/>
        <v>72.572224215080439</v>
      </c>
      <c r="P200">
        <f t="shared" si="99"/>
        <v>36070.699315028789</v>
      </c>
      <c r="R200">
        <f t="shared" si="100"/>
        <v>122.39657181717175</v>
      </c>
    </row>
    <row r="201" spans="1:18" x14ac:dyDescent="0.35">
      <c r="A201" t="s">
        <v>204</v>
      </c>
      <c r="B201" t="s">
        <v>6</v>
      </c>
      <c r="C201">
        <v>395</v>
      </c>
      <c r="E201">
        <f t="shared" si="101"/>
        <v>36070.699315028789</v>
      </c>
      <c r="F201" s="8">
        <f t="shared" si="103"/>
        <v>198.38884623265835</v>
      </c>
      <c r="G201" s="9">
        <f t="shared" si="96"/>
        <v>49.993989250629902</v>
      </c>
      <c r="H201">
        <f t="shared" si="97"/>
        <v>36120.693304279419</v>
      </c>
      <c r="K201" t="s">
        <v>12</v>
      </c>
      <c r="L201">
        <v>396</v>
      </c>
      <c r="N201" s="6">
        <f t="shared" si="102"/>
        <v>288.96554643423536</v>
      </c>
      <c r="O201" s="11">
        <f t="shared" si="98"/>
        <v>72.819317701427309</v>
      </c>
      <c r="P201">
        <f t="shared" si="99"/>
        <v>36193.512621980844</v>
      </c>
      <c r="R201">
        <f t="shared" si="100"/>
        <v>122.81330695205722</v>
      </c>
    </row>
    <row r="202" spans="1:18" x14ac:dyDescent="0.35">
      <c r="A202" t="s">
        <v>205</v>
      </c>
      <c r="B202" t="s">
        <v>6</v>
      </c>
      <c r="C202">
        <v>397</v>
      </c>
      <c r="E202">
        <f t="shared" si="101"/>
        <v>36193.512621980844</v>
      </c>
      <c r="F202" s="8">
        <f t="shared" si="103"/>
        <v>199.06431942089466</v>
      </c>
      <c r="G202" s="9">
        <f t="shared" si="96"/>
        <v>50.164208494065456</v>
      </c>
      <c r="H202">
        <f t="shared" si="97"/>
        <v>36243.676830474913</v>
      </c>
      <c r="K202" t="s">
        <v>12</v>
      </c>
      <c r="L202">
        <v>398</v>
      </c>
      <c r="N202" s="6">
        <f t="shared" si="102"/>
        <v>289.94941464379929</v>
      </c>
      <c r="O202" s="11">
        <f t="shared" si="98"/>
        <v>73.067252490237422</v>
      </c>
      <c r="P202">
        <f t="shared" si="99"/>
        <v>36316.744082965153</v>
      </c>
      <c r="R202">
        <f t="shared" si="100"/>
        <v>123.23146098430288</v>
      </c>
    </row>
    <row r="203" spans="1:18" x14ac:dyDescent="0.35">
      <c r="A203" t="s">
        <v>206</v>
      </c>
      <c r="B203" t="s">
        <v>6</v>
      </c>
      <c r="C203">
        <v>399</v>
      </c>
      <c r="E203">
        <f t="shared" si="101"/>
        <v>36316.744082965153</v>
      </c>
      <c r="F203" s="8">
        <f t="shared" si="103"/>
        <v>199.74209245630837</v>
      </c>
      <c r="G203" s="9">
        <f t="shared" si="96"/>
        <v>50.335007298989709</v>
      </c>
      <c r="H203">
        <f t="shared" si="97"/>
        <v>36367.079090264146</v>
      </c>
      <c r="K203" t="s">
        <v>12</v>
      </c>
      <c r="L203">
        <v>400</v>
      </c>
      <c r="N203" s="6">
        <f t="shared" si="102"/>
        <v>290.93663272211319</v>
      </c>
      <c r="O203" s="11">
        <f t="shared" si="98"/>
        <v>73.316031445972527</v>
      </c>
      <c r="P203">
        <f t="shared" si="99"/>
        <v>36440.39512171012</v>
      </c>
      <c r="R203">
        <f t="shared" si="100"/>
        <v>123.65103874496224</v>
      </c>
    </row>
    <row r="204" spans="1:18" s="6" customFormat="1" x14ac:dyDescent="0.35">
      <c r="A204" s="6" t="s">
        <v>207</v>
      </c>
      <c r="B204" s="6" t="s">
        <v>6</v>
      </c>
      <c r="C204" s="6">
        <v>401</v>
      </c>
      <c r="D204" s="7">
        <v>5.9999999999999498E-3</v>
      </c>
      <c r="E204" s="6">
        <f t="shared" si="101"/>
        <v>36440.39512171012</v>
      </c>
      <c r="F204" s="8">
        <f>E204*0.6%</f>
        <v>218.64237073026072</v>
      </c>
      <c r="G204" s="9">
        <f t="shared" si="96"/>
        <v>55.097877424025704</v>
      </c>
      <c r="H204" s="6">
        <f t="shared" si="97"/>
        <v>36495.492999134149</v>
      </c>
      <c r="K204" s="6" t="s">
        <v>12</v>
      </c>
      <c r="L204" s="6">
        <v>402</v>
      </c>
      <c r="M204" s="7">
        <v>7.0000000000000001E-3</v>
      </c>
      <c r="N204" s="6">
        <f>H204*0.7%</f>
        <v>255.468450993939</v>
      </c>
      <c r="O204" s="11">
        <f t="shared" si="98"/>
        <v>64.378049650472633</v>
      </c>
      <c r="P204" s="6">
        <f t="shared" si="99"/>
        <v>36559.871048784618</v>
      </c>
      <c r="R204" s="6">
        <f t="shared" si="100"/>
        <v>119.47592707449834</v>
      </c>
    </row>
    <row r="205" spans="1:18" x14ac:dyDescent="0.35">
      <c r="A205" t="s">
        <v>208</v>
      </c>
      <c r="B205" t="s">
        <v>6</v>
      </c>
      <c r="C205">
        <v>403</v>
      </c>
      <c r="E205">
        <f t="shared" si="101"/>
        <v>36559.871048784618</v>
      </c>
      <c r="F205" s="8">
        <f t="shared" ref="F205:F208" si="104">E205*0.6%</f>
        <v>219.35922629270772</v>
      </c>
      <c r="G205" s="9">
        <f t="shared" si="96"/>
        <v>55.278525025762342</v>
      </c>
      <c r="H205">
        <f t="shared" si="97"/>
        <v>36615.149573810384</v>
      </c>
      <c r="K205" t="s">
        <v>12</v>
      </c>
      <c r="L205">
        <v>404</v>
      </c>
      <c r="N205" s="6">
        <f t="shared" ref="N205:N208" si="105">H205*0.7%</f>
        <v>256.30604701667266</v>
      </c>
      <c r="O205" s="11">
        <f t="shared" si="98"/>
        <v>64.58912384820151</v>
      </c>
      <c r="P205">
        <f t="shared" si="99"/>
        <v>36679.738697658584</v>
      </c>
      <c r="R205">
        <f t="shared" si="100"/>
        <v>119.86764887396384</v>
      </c>
    </row>
    <row r="206" spans="1:18" x14ac:dyDescent="0.35">
      <c r="A206" t="s">
        <v>209</v>
      </c>
      <c r="B206" t="s">
        <v>6</v>
      </c>
      <c r="C206">
        <v>405</v>
      </c>
      <c r="E206">
        <f t="shared" si="101"/>
        <v>36679.738697658584</v>
      </c>
      <c r="F206" s="8">
        <f t="shared" si="104"/>
        <v>220.0784321859515</v>
      </c>
      <c r="G206" s="9">
        <f t="shared" si="96"/>
        <v>55.459764910859775</v>
      </c>
      <c r="H206">
        <f t="shared" si="97"/>
        <v>36735.198462569446</v>
      </c>
      <c r="K206" t="s">
        <v>12</v>
      </c>
      <c r="L206">
        <v>406</v>
      </c>
      <c r="N206" s="6">
        <f t="shared" si="105"/>
        <v>257.14638923798611</v>
      </c>
      <c r="O206" s="11">
        <f t="shared" si="98"/>
        <v>64.800890087972505</v>
      </c>
      <c r="P206">
        <f t="shared" si="99"/>
        <v>36799.999352657418</v>
      </c>
      <c r="R206">
        <f t="shared" si="100"/>
        <v>120.26065499883228</v>
      </c>
    </row>
    <row r="207" spans="1:18" x14ac:dyDescent="0.35">
      <c r="A207" t="s">
        <v>210</v>
      </c>
      <c r="B207" t="s">
        <v>6</v>
      </c>
      <c r="C207">
        <v>407</v>
      </c>
      <c r="E207">
        <f t="shared" si="101"/>
        <v>36799.999352657418</v>
      </c>
      <c r="F207" s="8">
        <f t="shared" si="104"/>
        <v>220.79999611594451</v>
      </c>
      <c r="G207" s="9">
        <f t="shared" si="96"/>
        <v>55.641599021218013</v>
      </c>
      <c r="H207">
        <f t="shared" si="97"/>
        <v>36855.640951678637</v>
      </c>
      <c r="K207" t="s">
        <v>12</v>
      </c>
      <c r="L207">
        <v>408</v>
      </c>
      <c r="N207" s="6">
        <f t="shared" si="105"/>
        <v>257.98948666175045</v>
      </c>
      <c r="O207" s="11">
        <f t="shared" si="98"/>
        <v>65.013350638761111</v>
      </c>
      <c r="P207">
        <f t="shared" si="99"/>
        <v>36920.654302317402</v>
      </c>
      <c r="R207">
        <f t="shared" si="100"/>
        <v>120.65494965997912</v>
      </c>
    </row>
    <row r="208" spans="1:18" x14ac:dyDescent="0.35">
      <c r="A208" t="s">
        <v>211</v>
      </c>
      <c r="B208" t="s">
        <v>6</v>
      </c>
      <c r="C208">
        <v>409</v>
      </c>
      <c r="E208">
        <f t="shared" si="101"/>
        <v>36920.654302317402</v>
      </c>
      <c r="F208" s="8">
        <f t="shared" si="104"/>
        <v>221.52392581390441</v>
      </c>
      <c r="G208" s="9">
        <f t="shared" si="96"/>
        <v>55.824029305103913</v>
      </c>
      <c r="H208">
        <f t="shared" si="97"/>
        <v>36976.478331622508</v>
      </c>
      <c r="K208" t="s">
        <v>12</v>
      </c>
      <c r="L208">
        <v>410</v>
      </c>
      <c r="N208" s="6">
        <f t="shared" si="105"/>
        <v>258.83534832135751</v>
      </c>
      <c r="O208" s="11">
        <f t="shared" si="98"/>
        <v>65.226507776982089</v>
      </c>
      <c r="P208">
        <f t="shared" si="99"/>
        <v>37041.704839399492</v>
      </c>
      <c r="R208">
        <f t="shared" si="100"/>
        <v>121.05053708208601</v>
      </c>
    </row>
    <row r="209" spans="1:18" s="6" customFormat="1" x14ac:dyDescent="0.35">
      <c r="A209" s="6" t="s">
        <v>212</v>
      </c>
      <c r="B209" s="6" t="s">
        <v>6</v>
      </c>
      <c r="C209" s="6">
        <v>411</v>
      </c>
      <c r="D209" s="7">
        <v>6.4999999999999399E-3</v>
      </c>
      <c r="E209" s="6">
        <f t="shared" si="101"/>
        <v>37041.704839399492</v>
      </c>
      <c r="F209" s="8">
        <f>E209*0.65%</f>
        <v>240.77108145609671</v>
      </c>
      <c r="G209" s="9">
        <f t="shared" si="96"/>
        <v>60.674312526936369</v>
      </c>
      <c r="H209" s="6">
        <f t="shared" si="97"/>
        <v>37102.379151926427</v>
      </c>
      <c r="K209" s="6" t="s">
        <v>6</v>
      </c>
      <c r="L209" s="6">
        <v>412</v>
      </c>
      <c r="M209" s="7">
        <v>6.0000000000001797E-3</v>
      </c>
      <c r="N209" s="6">
        <f>H209*0.6%</f>
        <v>222.61427491155857</v>
      </c>
      <c r="O209" s="11">
        <f t="shared" si="98"/>
        <v>56.098797277712762</v>
      </c>
      <c r="P209" s="6">
        <f t="shared" si="99"/>
        <v>37158.477949204142</v>
      </c>
      <c r="R209" s="6">
        <f t="shared" si="100"/>
        <v>116.77310980464912</v>
      </c>
    </row>
    <row r="210" spans="1:18" x14ac:dyDescent="0.35">
      <c r="A210" t="s">
        <v>213</v>
      </c>
      <c r="B210" t="s">
        <v>6</v>
      </c>
      <c r="C210">
        <v>413</v>
      </c>
      <c r="E210">
        <f t="shared" si="101"/>
        <v>37158.477949204142</v>
      </c>
      <c r="F210" s="8">
        <f t="shared" ref="F210:F213" si="106">E210*0.65%</f>
        <v>241.53010666982695</v>
      </c>
      <c r="G210" s="9">
        <f t="shared" si="96"/>
        <v>60.865586880796393</v>
      </c>
      <c r="H210">
        <f t="shared" si="97"/>
        <v>37219.34353608494</v>
      </c>
      <c r="K210" t="s">
        <v>6</v>
      </c>
      <c r="L210">
        <v>414</v>
      </c>
      <c r="N210" s="6">
        <f t="shared" ref="N210:N213" si="107">H210*0.6%</f>
        <v>223.31606121650964</v>
      </c>
      <c r="O210" s="11">
        <f t="shared" si="98"/>
        <v>56.275647426560433</v>
      </c>
      <c r="P210">
        <f t="shared" si="99"/>
        <v>37275.619183511502</v>
      </c>
      <c r="R210">
        <f t="shared" si="100"/>
        <v>117.14123430735683</v>
      </c>
    </row>
    <row r="211" spans="1:18" x14ac:dyDescent="0.35">
      <c r="A211" t="s">
        <v>214</v>
      </c>
      <c r="B211" t="s">
        <v>6</v>
      </c>
      <c r="C211">
        <v>415</v>
      </c>
      <c r="E211">
        <f t="shared" si="101"/>
        <v>37275.619183511502</v>
      </c>
      <c r="F211" s="8">
        <f t="shared" si="106"/>
        <v>242.29152469282479</v>
      </c>
      <c r="G211" s="9">
        <f t="shared" si="96"/>
        <v>61.057464222591847</v>
      </c>
      <c r="H211">
        <f t="shared" si="97"/>
        <v>37336.676647734093</v>
      </c>
      <c r="K211" t="s">
        <v>6</v>
      </c>
      <c r="L211">
        <v>416</v>
      </c>
      <c r="N211" s="6">
        <f t="shared" si="107"/>
        <v>224.02005988640457</v>
      </c>
      <c r="O211" s="11">
        <f t="shared" si="98"/>
        <v>56.453055091373955</v>
      </c>
      <c r="P211">
        <f t="shared" si="99"/>
        <v>37393.12970282547</v>
      </c>
      <c r="R211">
        <f t="shared" si="100"/>
        <v>117.5105193139658</v>
      </c>
    </row>
    <row r="212" spans="1:18" x14ac:dyDescent="0.35">
      <c r="A212" t="s">
        <v>215</v>
      </c>
      <c r="B212" t="s">
        <v>6</v>
      </c>
      <c r="C212">
        <v>417</v>
      </c>
      <c r="E212">
        <f t="shared" si="101"/>
        <v>37393.12970282547</v>
      </c>
      <c r="F212" s="8">
        <f t="shared" si="106"/>
        <v>243.05534306836557</v>
      </c>
      <c r="G212" s="9">
        <f t="shared" si="96"/>
        <v>61.249946453228127</v>
      </c>
      <c r="H212">
        <f t="shared" si="97"/>
        <v>37454.379649278701</v>
      </c>
      <c r="K212" t="s">
        <v>6</v>
      </c>
      <c r="L212">
        <v>418</v>
      </c>
      <c r="N212" s="6">
        <f t="shared" si="107"/>
        <v>224.72627789567221</v>
      </c>
      <c r="O212" s="11">
        <f t="shared" si="98"/>
        <v>56.631022029709399</v>
      </c>
      <c r="P212">
        <f t="shared" si="99"/>
        <v>37511.01067130841</v>
      </c>
      <c r="R212">
        <f t="shared" si="100"/>
        <v>117.88096848293753</v>
      </c>
    </row>
    <row r="213" spans="1:18" s="13" customFormat="1" x14ac:dyDescent="0.35">
      <c r="A213" s="13" t="s">
        <v>216</v>
      </c>
      <c r="B213" s="13" t="s">
        <v>6</v>
      </c>
      <c r="C213" s="13">
        <v>419</v>
      </c>
      <c r="E213" s="13">
        <f t="shared" si="101"/>
        <v>37511.01067130841</v>
      </c>
      <c r="F213" s="14">
        <f t="shared" si="106"/>
        <v>243.82156936350469</v>
      </c>
      <c r="G213" s="9">
        <f t="shared" si="96"/>
        <v>61.443035479603182</v>
      </c>
      <c r="H213" s="13">
        <f t="shared" si="97"/>
        <v>37572.453706788016</v>
      </c>
      <c r="K213" s="13" t="s">
        <v>6</v>
      </c>
      <c r="L213" s="13">
        <v>420</v>
      </c>
      <c r="N213" s="13">
        <f t="shared" si="107"/>
        <v>225.43472224072809</v>
      </c>
      <c r="O213" s="11">
        <f t="shared" si="98"/>
        <v>56.809550004663478</v>
      </c>
      <c r="P213" s="13">
        <f t="shared" si="99"/>
        <v>37629.263256792678</v>
      </c>
      <c r="R213" s="13">
        <f t="shared" si="100"/>
        <v>118.25258548426666</v>
      </c>
    </row>
    <row r="214" spans="1:18" s="6" customFormat="1" x14ac:dyDescent="0.35">
      <c r="A214" s="6" t="s">
        <v>217</v>
      </c>
      <c r="B214" s="6" t="s">
        <v>5</v>
      </c>
      <c r="C214" s="6">
        <v>421</v>
      </c>
      <c r="D214" s="7">
        <v>6.9999999999999299E-3</v>
      </c>
      <c r="E214" s="6">
        <f t="shared" si="101"/>
        <v>37629.263256792678</v>
      </c>
      <c r="F214" s="8">
        <f>E214*0.7%</f>
        <v>263.40484279754872</v>
      </c>
      <c r="G214" s="9">
        <f t="shared" si="96"/>
        <v>66.378020384982278</v>
      </c>
      <c r="H214" s="6">
        <f t="shared" si="97"/>
        <v>37695.64127717766</v>
      </c>
      <c r="K214" s="6" t="s">
        <v>6</v>
      </c>
      <c r="L214" s="6">
        <v>422</v>
      </c>
      <c r="M214" s="7">
        <v>5.0000000000002699E-3</v>
      </c>
      <c r="N214" s="6">
        <f>H214*0.5%</f>
        <v>188.47820638588831</v>
      </c>
      <c r="O214" s="11">
        <f t="shared" si="98"/>
        <v>47.496508009243854</v>
      </c>
      <c r="P214" s="6">
        <f t="shared" si="99"/>
        <v>37743.137785186904</v>
      </c>
      <c r="R214" s="6">
        <f t="shared" si="100"/>
        <v>113.87452839422613</v>
      </c>
    </row>
    <row r="215" spans="1:18" x14ac:dyDescent="0.35">
      <c r="A215" t="s">
        <v>218</v>
      </c>
      <c r="B215" t="s">
        <v>5</v>
      </c>
      <c r="C215">
        <v>423</v>
      </c>
      <c r="E215">
        <f t="shared" si="101"/>
        <v>37743.137785186904</v>
      </c>
      <c r="F215" s="8">
        <f t="shared" ref="F215:F218" si="108">E215*0.7%</f>
        <v>264.20196449630828</v>
      </c>
      <c r="G215" s="9">
        <f t="shared" si="96"/>
        <v>66.578895053069687</v>
      </c>
      <c r="H215">
        <f t="shared" si="97"/>
        <v>37809.716680239973</v>
      </c>
      <c r="K215" t="s">
        <v>6</v>
      </c>
      <c r="L215">
        <v>424</v>
      </c>
      <c r="N215" s="6">
        <f t="shared" ref="N215:N218" si="109">H215*0.5%</f>
        <v>189.04858340119986</v>
      </c>
      <c r="O215" s="11">
        <f t="shared" si="98"/>
        <v>47.640243017102364</v>
      </c>
      <c r="P215">
        <f t="shared" si="99"/>
        <v>37857.356923257074</v>
      </c>
      <c r="R215">
        <f t="shared" si="100"/>
        <v>114.21913807017205</v>
      </c>
    </row>
    <row r="216" spans="1:18" x14ac:dyDescent="0.35">
      <c r="A216" t="s">
        <v>219</v>
      </c>
      <c r="B216" t="s">
        <v>5</v>
      </c>
      <c r="C216">
        <v>425</v>
      </c>
      <c r="E216">
        <f t="shared" si="101"/>
        <v>37857.356923257074</v>
      </c>
      <c r="F216" s="8">
        <f t="shared" si="108"/>
        <v>265.00149846279947</v>
      </c>
      <c r="G216" s="9">
        <f t="shared" si="96"/>
        <v>66.780377612625472</v>
      </c>
      <c r="H216">
        <f t="shared" si="97"/>
        <v>37924.137300869697</v>
      </c>
      <c r="K216" t="s">
        <v>6</v>
      </c>
      <c r="L216">
        <v>426</v>
      </c>
      <c r="N216" s="6">
        <f t="shared" si="109"/>
        <v>189.6206865043485</v>
      </c>
      <c r="O216" s="11">
        <f t="shared" si="98"/>
        <v>47.784412999095821</v>
      </c>
      <c r="P216">
        <f t="shared" si="99"/>
        <v>37971.921713868796</v>
      </c>
      <c r="R216">
        <f t="shared" si="100"/>
        <v>114.56479061172129</v>
      </c>
    </row>
    <row r="217" spans="1:18" x14ac:dyDescent="0.35">
      <c r="A217" t="s">
        <v>220</v>
      </c>
      <c r="B217" t="s">
        <v>5</v>
      </c>
      <c r="C217">
        <v>427</v>
      </c>
      <c r="E217">
        <f t="shared" si="101"/>
        <v>37971.921713868796</v>
      </c>
      <c r="F217" s="8">
        <f t="shared" si="108"/>
        <v>265.80345199708154</v>
      </c>
      <c r="G217" s="9">
        <f t="shared" si="96"/>
        <v>66.982469903264544</v>
      </c>
      <c r="H217">
        <f t="shared" si="97"/>
        <v>38038.904183772058</v>
      </c>
      <c r="K217" t="s">
        <v>6</v>
      </c>
      <c r="L217">
        <v>428</v>
      </c>
      <c r="N217" s="6">
        <f t="shared" si="109"/>
        <v>190.19452091886029</v>
      </c>
      <c r="O217" s="11">
        <f t="shared" si="98"/>
        <v>47.929019271552797</v>
      </c>
      <c r="P217">
        <f t="shared" si="99"/>
        <v>38086.833203043614</v>
      </c>
      <c r="R217">
        <f t="shared" si="100"/>
        <v>114.91148917481735</v>
      </c>
    </row>
    <row r="218" spans="1:18" x14ac:dyDescent="0.35">
      <c r="A218" t="s">
        <v>221</v>
      </c>
      <c r="B218" t="s">
        <v>5</v>
      </c>
      <c r="C218">
        <v>429</v>
      </c>
      <c r="E218">
        <f t="shared" si="101"/>
        <v>38086.833203043614</v>
      </c>
      <c r="F218" s="8">
        <f t="shared" si="108"/>
        <v>266.60783242130526</v>
      </c>
      <c r="G218" s="9">
        <f t="shared" si="96"/>
        <v>67.18517377016893</v>
      </c>
      <c r="H218">
        <f t="shared" si="97"/>
        <v>38154.018376813779</v>
      </c>
      <c r="K218" t="s">
        <v>6</v>
      </c>
      <c r="L218">
        <v>430</v>
      </c>
      <c r="N218" s="6">
        <f t="shared" si="109"/>
        <v>190.7700918840689</v>
      </c>
      <c r="O218" s="11">
        <f t="shared" si="98"/>
        <v>48.074063154785364</v>
      </c>
      <c r="P218">
        <f t="shared" si="99"/>
        <v>38202.092439968568</v>
      </c>
      <c r="R218">
        <f t="shared" si="100"/>
        <v>115.25923692495429</v>
      </c>
    </row>
    <row r="219" spans="1:18" s="6" customFormat="1" x14ac:dyDescent="0.35">
      <c r="A219" s="6" t="s">
        <v>222</v>
      </c>
      <c r="B219" s="6" t="s">
        <v>5</v>
      </c>
      <c r="C219" s="6">
        <v>431</v>
      </c>
      <c r="D219" s="7">
        <v>6.0000000000000001E-3</v>
      </c>
      <c r="E219" s="6">
        <f t="shared" si="101"/>
        <v>38202.092439968568</v>
      </c>
      <c r="F219" s="8">
        <f>E219*0.6%</f>
        <v>229.2125546398114</v>
      </c>
      <c r="G219" s="9">
        <f t="shared" si="96"/>
        <v>57.761563769232474</v>
      </c>
      <c r="H219" s="6">
        <f t="shared" si="97"/>
        <v>38259.854003737804</v>
      </c>
      <c r="K219" s="6" t="s">
        <v>6</v>
      </c>
      <c r="L219" s="6">
        <v>432</v>
      </c>
      <c r="M219" s="7">
        <v>4.00000000000036E-3</v>
      </c>
      <c r="N219" s="6">
        <f>H219*0.4%</f>
        <v>153.03941601495123</v>
      </c>
      <c r="O219" s="11">
        <f t="shared" si="98"/>
        <v>38.565932835767711</v>
      </c>
      <c r="P219" s="6">
        <f t="shared" si="99"/>
        <v>38298.419936573569</v>
      </c>
      <c r="R219" s="6">
        <f t="shared" si="100"/>
        <v>96.327496605000192</v>
      </c>
    </row>
    <row r="220" spans="1:18" x14ac:dyDescent="0.35">
      <c r="A220" t="s">
        <v>223</v>
      </c>
      <c r="B220" t="s">
        <v>5</v>
      </c>
      <c r="C220">
        <v>433</v>
      </c>
      <c r="E220">
        <f t="shared" si="101"/>
        <v>38298.419936573569</v>
      </c>
      <c r="F220" s="8">
        <f t="shared" ref="F220:F223" si="110">E220*0.6%</f>
        <v>229.79051961944143</v>
      </c>
      <c r="G220" s="9">
        <f t="shared" si="96"/>
        <v>57.907210944099241</v>
      </c>
      <c r="H220">
        <f t="shared" si="97"/>
        <v>38356.327147517666</v>
      </c>
      <c r="K220" t="s">
        <v>6</v>
      </c>
      <c r="L220">
        <v>434</v>
      </c>
      <c r="N220" s="6">
        <f t="shared" ref="N220:N223" si="111">H220*0.4%</f>
        <v>153.42530859007067</v>
      </c>
      <c r="O220" s="11">
        <f t="shared" si="98"/>
        <v>38.663177764697807</v>
      </c>
      <c r="P220">
        <f t="shared" si="99"/>
        <v>38394.990325282364</v>
      </c>
      <c r="R220">
        <f t="shared" si="100"/>
        <v>96.570388708797054</v>
      </c>
    </row>
    <row r="221" spans="1:18" x14ac:dyDescent="0.35">
      <c r="A221" t="s">
        <v>224</v>
      </c>
      <c r="B221" t="s">
        <v>5</v>
      </c>
      <c r="C221">
        <v>435</v>
      </c>
      <c r="E221">
        <f t="shared" si="101"/>
        <v>38394.990325282364</v>
      </c>
      <c r="F221" s="8">
        <f t="shared" si="110"/>
        <v>230.36994195169419</v>
      </c>
      <c r="G221" s="9">
        <f t="shared" si="96"/>
        <v>58.053225371826933</v>
      </c>
      <c r="H221">
        <f t="shared" si="97"/>
        <v>38453.043550654191</v>
      </c>
      <c r="K221" t="s">
        <v>6</v>
      </c>
      <c r="L221">
        <v>436</v>
      </c>
      <c r="N221" s="6">
        <f t="shared" si="111"/>
        <v>153.81217420261677</v>
      </c>
      <c r="O221" s="11">
        <f t="shared" si="98"/>
        <v>38.760667899059428</v>
      </c>
      <c r="P221">
        <f t="shared" si="99"/>
        <v>38491.804218553247</v>
      </c>
      <c r="R221">
        <f t="shared" si="100"/>
        <v>96.813893270886354</v>
      </c>
    </row>
    <row r="222" spans="1:18" x14ac:dyDescent="0.35">
      <c r="A222" t="s">
        <v>225</v>
      </c>
      <c r="B222" t="s">
        <v>5</v>
      </c>
      <c r="C222">
        <v>437</v>
      </c>
      <c r="E222">
        <f t="shared" si="101"/>
        <v>38491.804218553247</v>
      </c>
      <c r="F222" s="8">
        <f t="shared" si="110"/>
        <v>230.95082531131948</v>
      </c>
      <c r="G222" s="9">
        <f t="shared" si="96"/>
        <v>58.199607978452505</v>
      </c>
      <c r="H222">
        <f t="shared" si="97"/>
        <v>38550.003826531698</v>
      </c>
      <c r="K222" t="s">
        <v>6</v>
      </c>
      <c r="L222">
        <v>438</v>
      </c>
      <c r="N222" s="6">
        <f t="shared" si="111"/>
        <v>154.2000153061268</v>
      </c>
      <c r="O222" s="11">
        <f t="shared" si="98"/>
        <v>38.858403857143955</v>
      </c>
      <c r="P222">
        <f t="shared" si="99"/>
        <v>38588.862230388841</v>
      </c>
      <c r="R222">
        <f t="shared" si="100"/>
        <v>97.05801183559646</v>
      </c>
    </row>
    <row r="223" spans="1:18" x14ac:dyDescent="0.35">
      <c r="A223" t="s">
        <v>226</v>
      </c>
      <c r="B223" t="s">
        <v>5</v>
      </c>
      <c r="C223">
        <v>439</v>
      </c>
      <c r="E223">
        <f t="shared" si="101"/>
        <v>38588.862230388841</v>
      </c>
      <c r="F223" s="8">
        <f t="shared" si="110"/>
        <v>231.53317338233305</v>
      </c>
      <c r="G223" s="9">
        <f t="shared" si="96"/>
        <v>58.346359692347932</v>
      </c>
      <c r="H223">
        <f t="shared" si="97"/>
        <v>38647.208590081187</v>
      </c>
      <c r="K223" t="s">
        <v>6</v>
      </c>
      <c r="L223">
        <v>440</v>
      </c>
      <c r="N223" s="6">
        <f t="shared" si="111"/>
        <v>154.58883436032474</v>
      </c>
      <c r="O223" s="11">
        <f t="shared" si="98"/>
        <v>38.956386258801835</v>
      </c>
      <c r="P223">
        <f t="shared" si="99"/>
        <v>38686.164976339991</v>
      </c>
      <c r="R223">
        <f t="shared" si="100"/>
        <v>97.302745951149774</v>
      </c>
    </row>
    <row r="224" spans="1:18" s="6" customFormat="1" x14ac:dyDescent="0.35">
      <c r="A224" s="6" t="s">
        <v>227</v>
      </c>
      <c r="B224" s="6" t="s">
        <v>5</v>
      </c>
      <c r="C224" s="6">
        <v>441</v>
      </c>
      <c r="D224" s="7">
        <v>5.0000000000000704E-3</v>
      </c>
      <c r="E224" s="6">
        <f t="shared" si="101"/>
        <v>38686.164976339991</v>
      </c>
      <c r="F224" s="8">
        <f>E224*0.5%</f>
        <v>193.43082488169995</v>
      </c>
      <c r="G224" s="9">
        <f t="shared" si="96"/>
        <v>48.744567870188391</v>
      </c>
      <c r="H224" s="6">
        <f t="shared" si="97"/>
        <v>38734.909544210183</v>
      </c>
      <c r="K224" s="6" t="s">
        <v>6</v>
      </c>
      <c r="L224" s="6">
        <v>442</v>
      </c>
      <c r="M224" s="7">
        <v>3.0000000000004498E-3</v>
      </c>
      <c r="N224" s="6">
        <f>H224*0.3%</f>
        <v>116.20472863263055</v>
      </c>
      <c r="O224" s="11">
        <f t="shared" si="98"/>
        <v>29.2835916154229</v>
      </c>
      <c r="P224" s="6">
        <f t="shared" si="99"/>
        <v>38764.193135825604</v>
      </c>
      <c r="R224" s="6">
        <f t="shared" si="100"/>
        <v>78.028159485611297</v>
      </c>
    </row>
    <row r="225" spans="1:18" x14ac:dyDescent="0.35">
      <c r="A225" t="s">
        <v>228</v>
      </c>
      <c r="B225" t="s">
        <v>5</v>
      </c>
      <c r="C225">
        <v>443</v>
      </c>
      <c r="E225">
        <f t="shared" si="101"/>
        <v>38764.193135825604</v>
      </c>
      <c r="F225" s="8">
        <f t="shared" ref="F225:F228" si="112">E225*0.5%</f>
        <v>193.82096567912802</v>
      </c>
      <c r="G225" s="9">
        <f t="shared" si="96"/>
        <v>48.842883351140259</v>
      </c>
      <c r="H225">
        <f t="shared" si="97"/>
        <v>38813.036019176747</v>
      </c>
      <c r="K225" t="s">
        <v>6</v>
      </c>
      <c r="L225">
        <v>444</v>
      </c>
      <c r="N225" s="6">
        <f t="shared" ref="N225:N228" si="113">H225*0.3%</f>
        <v>116.43910805753025</v>
      </c>
      <c r="O225" s="11">
        <f t="shared" si="98"/>
        <v>29.342655230497623</v>
      </c>
      <c r="P225">
        <f t="shared" si="99"/>
        <v>38842.378674407242</v>
      </c>
      <c r="R225">
        <f t="shared" si="100"/>
        <v>78.185538581637886</v>
      </c>
    </row>
    <row r="226" spans="1:18" x14ac:dyDescent="0.35">
      <c r="A226" t="s">
        <v>229</v>
      </c>
      <c r="B226" t="s">
        <v>5</v>
      </c>
      <c r="C226">
        <v>445</v>
      </c>
      <c r="E226">
        <f t="shared" si="101"/>
        <v>38842.378674407242</v>
      </c>
      <c r="F226" s="8">
        <f t="shared" si="112"/>
        <v>194.21189337203623</v>
      </c>
      <c r="G226" s="9">
        <f t="shared" si="96"/>
        <v>48.941397129753128</v>
      </c>
      <c r="H226">
        <f t="shared" si="97"/>
        <v>38891.320071536997</v>
      </c>
      <c r="K226" t="s">
        <v>6</v>
      </c>
      <c r="L226">
        <v>446</v>
      </c>
      <c r="N226" s="6">
        <f t="shared" si="113"/>
        <v>116.67396021461099</v>
      </c>
      <c r="O226" s="11">
        <f t="shared" si="98"/>
        <v>29.401837974081968</v>
      </c>
      <c r="P226">
        <f t="shared" si="99"/>
        <v>38920.721909511078</v>
      </c>
      <c r="R226">
        <f t="shared" si="100"/>
        <v>78.343235103835099</v>
      </c>
    </row>
    <row r="227" spans="1:18" x14ac:dyDescent="0.35">
      <c r="A227" t="s">
        <v>230</v>
      </c>
      <c r="B227" t="s">
        <v>5</v>
      </c>
      <c r="C227">
        <v>447</v>
      </c>
      <c r="E227">
        <f t="shared" si="101"/>
        <v>38920.721909511078</v>
      </c>
      <c r="F227" s="8">
        <f t="shared" si="112"/>
        <v>194.60360954755538</v>
      </c>
      <c r="G227" s="9">
        <f t="shared" si="96"/>
        <v>49.040109605983957</v>
      </c>
      <c r="H227">
        <f t="shared" si="97"/>
        <v>38969.762019117064</v>
      </c>
      <c r="K227" t="s">
        <v>6</v>
      </c>
      <c r="L227">
        <v>448</v>
      </c>
      <c r="N227" s="6">
        <f t="shared" si="113"/>
        <v>116.9092860573512</v>
      </c>
      <c r="O227" s="11">
        <f t="shared" si="98"/>
        <v>29.461140086452502</v>
      </c>
      <c r="P227">
        <f t="shared" si="99"/>
        <v>38999.223159203517</v>
      </c>
      <c r="R227">
        <f t="shared" si="100"/>
        <v>78.50124969243646</v>
      </c>
    </row>
    <row r="228" spans="1:18" x14ac:dyDescent="0.35">
      <c r="A228" t="s">
        <v>231</v>
      </c>
      <c r="B228" t="s">
        <v>5</v>
      </c>
      <c r="C228">
        <v>449</v>
      </c>
      <c r="E228">
        <f t="shared" si="101"/>
        <v>38999.223159203517</v>
      </c>
      <c r="F228" s="8">
        <f t="shared" si="112"/>
        <v>194.99611579601759</v>
      </c>
      <c r="G228" s="9">
        <f t="shared" si="96"/>
        <v>49.13902118059643</v>
      </c>
      <c r="H228">
        <f t="shared" si="97"/>
        <v>39048.362180384116</v>
      </c>
      <c r="K228" t="s">
        <v>6</v>
      </c>
      <c r="L228">
        <v>450</v>
      </c>
      <c r="N228" s="6">
        <f t="shared" si="113"/>
        <v>117.14508654115235</v>
      </c>
      <c r="O228" s="11">
        <f t="shared" si="98"/>
        <v>29.520561808370392</v>
      </c>
      <c r="P228">
        <f t="shared" si="99"/>
        <v>39077.882742192487</v>
      </c>
      <c r="R228">
        <f t="shared" si="100"/>
        <v>78.659582988966818</v>
      </c>
    </row>
    <row r="229" spans="1:18" s="6" customFormat="1" x14ac:dyDescent="0.35">
      <c r="A229" s="6" t="s">
        <v>232</v>
      </c>
      <c r="B229" s="6" t="s">
        <v>5</v>
      </c>
      <c r="C229" s="6">
        <v>451</v>
      </c>
      <c r="D229" s="7">
        <v>4.0000000000001397E-3</v>
      </c>
      <c r="E229" s="6">
        <f t="shared" si="101"/>
        <v>39077.882742192487</v>
      </c>
      <c r="F229" s="8">
        <f>E229*0.4%</f>
        <v>156.31153096876994</v>
      </c>
      <c r="G229" s="9">
        <f t="shared" si="96"/>
        <v>39.390505804130029</v>
      </c>
      <c r="H229" s="6">
        <f t="shared" si="97"/>
        <v>39117.273247996614</v>
      </c>
      <c r="K229" s="6" t="s">
        <v>6</v>
      </c>
      <c r="L229" s="6">
        <v>452</v>
      </c>
      <c r="M229" s="7">
        <v>2.00000000000054E-3</v>
      </c>
      <c r="N229" s="6">
        <f>H229*0.2%</f>
        <v>78.234546495993229</v>
      </c>
      <c r="O229" s="11">
        <f t="shared" si="98"/>
        <v>19.715105716990294</v>
      </c>
      <c r="P229" s="6">
        <f t="shared" si="99"/>
        <v>39136.988353713605</v>
      </c>
      <c r="R229" s="6">
        <f t="shared" si="100"/>
        <v>59.105611521120323</v>
      </c>
    </row>
    <row r="230" spans="1:18" x14ac:dyDescent="0.35">
      <c r="A230" t="s">
        <v>233</v>
      </c>
      <c r="B230" t="s">
        <v>5</v>
      </c>
      <c r="C230">
        <v>453</v>
      </c>
      <c r="E230">
        <f t="shared" si="101"/>
        <v>39136.988353713605</v>
      </c>
      <c r="F230" s="8">
        <f t="shared" ref="F230:F233" si="114">E230*0.4%</f>
        <v>156.54795341485442</v>
      </c>
      <c r="G230" s="9">
        <f t="shared" si="96"/>
        <v>39.450084260543314</v>
      </c>
      <c r="H230">
        <f t="shared" si="97"/>
        <v>39176.438437974146</v>
      </c>
      <c r="K230" t="s">
        <v>6</v>
      </c>
      <c r="L230">
        <v>454</v>
      </c>
      <c r="N230" s="6">
        <f t="shared" ref="N230:N233" si="115">H230*0.2%</f>
        <v>78.352876875948297</v>
      </c>
      <c r="O230" s="11">
        <f t="shared" si="98"/>
        <v>19.744924972738971</v>
      </c>
      <c r="P230">
        <f t="shared" si="99"/>
        <v>39196.183362946882</v>
      </c>
      <c r="R230">
        <f t="shared" si="100"/>
        <v>59.195009233282285</v>
      </c>
    </row>
    <row r="231" spans="1:18" x14ac:dyDescent="0.35">
      <c r="A231" t="s">
        <v>234</v>
      </c>
      <c r="B231" t="s">
        <v>5</v>
      </c>
      <c r="C231">
        <v>455</v>
      </c>
      <c r="E231">
        <f t="shared" si="101"/>
        <v>39196.183362946882</v>
      </c>
      <c r="F231" s="8">
        <f t="shared" si="114"/>
        <v>156.78473345178753</v>
      </c>
      <c r="G231" s="9">
        <f t="shared" si="96"/>
        <v>39.509752829850456</v>
      </c>
      <c r="H231">
        <f t="shared" si="97"/>
        <v>39235.693115776732</v>
      </c>
      <c r="K231" t="s">
        <v>6</v>
      </c>
      <c r="L231">
        <v>456</v>
      </c>
      <c r="N231" s="6">
        <f t="shared" si="115"/>
        <v>78.471386231553467</v>
      </c>
      <c r="O231" s="11">
        <f t="shared" si="98"/>
        <v>19.774789330351474</v>
      </c>
      <c r="P231">
        <f t="shared" si="99"/>
        <v>39255.467905107085</v>
      </c>
      <c r="R231">
        <f t="shared" si="100"/>
        <v>59.28454216020193</v>
      </c>
    </row>
    <row r="232" spans="1:18" x14ac:dyDescent="0.35">
      <c r="A232" t="s">
        <v>235</v>
      </c>
      <c r="B232" t="s">
        <v>5</v>
      </c>
      <c r="C232">
        <v>457</v>
      </c>
      <c r="E232">
        <f t="shared" si="101"/>
        <v>39255.467905107085</v>
      </c>
      <c r="F232" s="8">
        <f t="shared" si="114"/>
        <v>157.02187162042836</v>
      </c>
      <c r="G232" s="9">
        <f t="shared" si="96"/>
        <v>39.569511648347948</v>
      </c>
      <c r="H232">
        <f t="shared" si="97"/>
        <v>39295.037416755433</v>
      </c>
      <c r="K232" t="s">
        <v>6</v>
      </c>
      <c r="L232">
        <v>458</v>
      </c>
      <c r="N232" s="6">
        <f t="shared" si="115"/>
        <v>78.590074833510869</v>
      </c>
      <c r="O232" s="11">
        <f t="shared" si="98"/>
        <v>19.804698858044738</v>
      </c>
      <c r="P232">
        <f t="shared" si="99"/>
        <v>39314.842115613479</v>
      </c>
      <c r="R232">
        <f t="shared" si="100"/>
        <v>59.374210506392686</v>
      </c>
    </row>
    <row r="233" spans="1:18" x14ac:dyDescent="0.35">
      <c r="A233" t="s">
        <v>236</v>
      </c>
      <c r="B233" t="s">
        <v>5</v>
      </c>
      <c r="C233">
        <v>459</v>
      </c>
      <c r="E233">
        <f t="shared" si="101"/>
        <v>39314.842115613479</v>
      </c>
      <c r="F233" s="8">
        <f t="shared" si="114"/>
        <v>157.25936846245392</v>
      </c>
      <c r="G233" s="9">
        <f t="shared" si="96"/>
        <v>39.62936085253839</v>
      </c>
      <c r="H233">
        <f t="shared" si="97"/>
        <v>39354.471476466017</v>
      </c>
      <c r="K233" t="s">
        <v>6</v>
      </c>
      <c r="L233">
        <v>460</v>
      </c>
      <c r="N233" s="6">
        <f t="shared" si="115"/>
        <v>78.708942952932034</v>
      </c>
      <c r="O233" s="11">
        <f t="shared" si="98"/>
        <v>19.834653624138873</v>
      </c>
      <c r="P233">
        <f t="shared" si="99"/>
        <v>39374.306130090154</v>
      </c>
      <c r="R233">
        <f t="shared" si="100"/>
        <v>59.464014476677264</v>
      </c>
    </row>
    <row r="234" spans="1:18" s="6" customFormat="1" x14ac:dyDescent="0.35">
      <c r="A234" s="6" t="s">
        <v>237</v>
      </c>
      <c r="B234" s="6" t="s">
        <v>5</v>
      </c>
      <c r="C234" s="6">
        <v>461</v>
      </c>
      <c r="D234" s="7">
        <v>3.00000000000021E-3</v>
      </c>
      <c r="E234" s="6">
        <f t="shared" si="101"/>
        <v>39374.306130090154</v>
      </c>
      <c r="F234" s="8">
        <f>E234*0.3%</f>
        <v>118.12291839027046</v>
      </c>
      <c r="G234" s="9">
        <f t="shared" si="96"/>
        <v>29.766975434348154</v>
      </c>
      <c r="H234" s="6">
        <f t="shared" si="97"/>
        <v>39404.073105524505</v>
      </c>
      <c r="K234" s="6" t="s">
        <v>12</v>
      </c>
      <c r="L234" s="6">
        <v>462</v>
      </c>
      <c r="M234" s="7">
        <v>3.5000000000000001E-3</v>
      </c>
      <c r="N234" s="6">
        <f>H234*0.35%</f>
        <v>137.91425586933576</v>
      </c>
      <c r="O234" s="11">
        <f t="shared" si="98"/>
        <v>34.754392479072614</v>
      </c>
      <c r="P234" s="6">
        <f t="shared" si="99"/>
        <v>39438.827498003579</v>
      </c>
      <c r="R234" s="6">
        <f t="shared" si="100"/>
        <v>64.521367913420761</v>
      </c>
    </row>
    <row r="235" spans="1:18" x14ac:dyDescent="0.35">
      <c r="A235" t="s">
        <v>238</v>
      </c>
      <c r="B235" t="s">
        <v>5</v>
      </c>
      <c r="C235">
        <v>463</v>
      </c>
      <c r="E235">
        <f t="shared" si="101"/>
        <v>39438.827498003579</v>
      </c>
      <c r="F235" s="8">
        <f t="shared" ref="F235:F238" si="116">E235*0.3%</f>
        <v>118.31648249401074</v>
      </c>
      <c r="G235" s="9">
        <f t="shared" si="96"/>
        <v>29.815753588490708</v>
      </c>
      <c r="H235">
        <f t="shared" si="97"/>
        <v>39468.643251592068</v>
      </c>
      <c r="K235" t="s">
        <v>12</v>
      </c>
      <c r="L235">
        <v>464</v>
      </c>
      <c r="N235" s="6">
        <f t="shared" ref="N235:N238" si="117">H235*0.35%</f>
        <v>138.14025138057221</v>
      </c>
      <c r="O235" s="11">
        <f t="shared" si="98"/>
        <v>34.811343347904199</v>
      </c>
      <c r="P235">
        <f t="shared" si="99"/>
        <v>39503.454594939969</v>
      </c>
      <c r="R235">
        <f t="shared" si="100"/>
        <v>64.627096936394906</v>
      </c>
    </row>
    <row r="236" spans="1:18" x14ac:dyDescent="0.35">
      <c r="A236" t="s">
        <v>239</v>
      </c>
      <c r="B236" t="s">
        <v>5</v>
      </c>
      <c r="C236">
        <v>465</v>
      </c>
      <c r="E236">
        <f t="shared" si="101"/>
        <v>39503.454594939969</v>
      </c>
      <c r="F236" s="8">
        <f t="shared" si="116"/>
        <v>118.51036378481992</v>
      </c>
      <c r="G236" s="9">
        <f t="shared" si="96"/>
        <v>29.864611673774618</v>
      </c>
      <c r="H236">
        <f t="shared" si="97"/>
        <v>39533.319206613742</v>
      </c>
      <c r="K236" t="s">
        <v>12</v>
      </c>
      <c r="L236">
        <v>466</v>
      </c>
      <c r="N236" s="6">
        <f t="shared" si="117"/>
        <v>138.36661722314807</v>
      </c>
      <c r="O236" s="11">
        <f t="shared" si="98"/>
        <v>34.868387540233314</v>
      </c>
      <c r="P236">
        <f t="shared" si="99"/>
        <v>39568.187594153977</v>
      </c>
      <c r="R236">
        <f t="shared" si="100"/>
        <v>64.732999214007933</v>
      </c>
    </row>
    <row r="237" spans="1:18" x14ac:dyDescent="0.35">
      <c r="A237" t="s">
        <v>240</v>
      </c>
      <c r="B237" t="s">
        <v>5</v>
      </c>
      <c r="C237">
        <v>467</v>
      </c>
      <c r="E237">
        <f t="shared" si="101"/>
        <v>39568.187594153977</v>
      </c>
      <c r="F237" s="8">
        <f t="shared" si="116"/>
        <v>118.70456278246193</v>
      </c>
      <c r="G237" s="9">
        <f t="shared" si="96"/>
        <v>29.913549821180407</v>
      </c>
      <c r="H237">
        <f t="shared" si="97"/>
        <v>39598.10114397516</v>
      </c>
      <c r="K237" t="s">
        <v>12</v>
      </c>
      <c r="L237">
        <v>468</v>
      </c>
      <c r="N237" s="6">
        <f t="shared" si="117"/>
        <v>138.59335400391305</v>
      </c>
      <c r="O237" s="11">
        <f t="shared" si="98"/>
        <v>34.925525208986087</v>
      </c>
      <c r="P237">
        <f t="shared" si="99"/>
        <v>39633.026669184146</v>
      </c>
      <c r="R237">
        <f t="shared" si="100"/>
        <v>64.839075030166498</v>
      </c>
    </row>
    <row r="238" spans="1:18" x14ac:dyDescent="0.35">
      <c r="A238" t="s">
        <v>241</v>
      </c>
      <c r="B238" t="s">
        <v>5</v>
      </c>
      <c r="C238">
        <v>469</v>
      </c>
      <c r="E238">
        <f t="shared" si="101"/>
        <v>39633.026669184146</v>
      </c>
      <c r="F238" s="8">
        <f t="shared" si="116"/>
        <v>118.89908000755244</v>
      </c>
      <c r="G238" s="9">
        <f t="shared" si="96"/>
        <v>29.962568161903217</v>
      </c>
      <c r="H238">
        <f t="shared" si="97"/>
        <v>39662.989237346046</v>
      </c>
      <c r="K238" t="s">
        <v>12</v>
      </c>
      <c r="L238">
        <v>470</v>
      </c>
      <c r="N238" s="6">
        <f t="shared" si="117"/>
        <v>138.82046233071114</v>
      </c>
      <c r="O238" s="11">
        <f t="shared" si="98"/>
        <v>34.982756507339204</v>
      </c>
      <c r="P238">
        <f t="shared" si="99"/>
        <v>39697.971993853382</v>
      </c>
      <c r="R238">
        <f t="shared" si="100"/>
        <v>64.945324669242424</v>
      </c>
    </row>
    <row r="239" spans="1:18" s="6" customFormat="1" x14ac:dyDescent="0.35">
      <c r="A239" s="6" t="s">
        <v>242</v>
      </c>
      <c r="B239" s="6" t="s">
        <v>6</v>
      </c>
      <c r="C239" s="6">
        <v>471</v>
      </c>
      <c r="D239" s="7">
        <v>2.0000000000002802E-3</v>
      </c>
      <c r="E239" s="6">
        <f t="shared" si="101"/>
        <v>39697.971993853382</v>
      </c>
      <c r="F239" s="8">
        <f>E239*0.2%</f>
        <v>79.395943987706758</v>
      </c>
      <c r="G239" s="9">
        <f t="shared" si="96"/>
        <v>20.007777884902104</v>
      </c>
      <c r="H239" s="6">
        <f t="shared" si="97"/>
        <v>39717.979771738283</v>
      </c>
      <c r="K239" s="6" t="s">
        <v>12</v>
      </c>
      <c r="L239" s="6">
        <v>472</v>
      </c>
      <c r="M239" s="7">
        <v>5.0000000000000001E-3</v>
      </c>
      <c r="N239" s="6">
        <f>H239*0.5%</f>
        <v>198.58989885869141</v>
      </c>
      <c r="O239" s="11">
        <f t="shared" si="98"/>
        <v>50.044654512390238</v>
      </c>
      <c r="P239" s="6">
        <f t="shared" si="99"/>
        <v>39768.024426250675</v>
      </c>
      <c r="R239" s="6">
        <f t="shared" si="100"/>
        <v>70.052432397292336</v>
      </c>
    </row>
    <row r="240" spans="1:18" x14ac:dyDescent="0.35">
      <c r="A240" t="s">
        <v>243</v>
      </c>
      <c r="B240" t="s">
        <v>6</v>
      </c>
      <c r="C240">
        <v>473</v>
      </c>
      <c r="E240">
        <f t="shared" si="101"/>
        <v>39768.024426250675</v>
      </c>
      <c r="F240" s="8">
        <f t="shared" ref="F240:F243" si="118">E240*0.2%</f>
        <v>79.536048852501352</v>
      </c>
      <c r="G240" s="9">
        <f t="shared" si="96"/>
        <v>20.043084310830341</v>
      </c>
      <c r="H240">
        <f t="shared" si="97"/>
        <v>39788.067510561508</v>
      </c>
      <c r="K240" t="s">
        <v>12</v>
      </c>
      <c r="L240">
        <v>474</v>
      </c>
      <c r="N240" s="6">
        <f t="shared" ref="N240:N243" si="119">H240*0.5%</f>
        <v>198.94033755280753</v>
      </c>
      <c r="O240" s="11">
        <f t="shared" si="98"/>
        <v>50.132965063307502</v>
      </c>
      <c r="P240">
        <f t="shared" si="99"/>
        <v>39838.200475624813</v>
      </c>
      <c r="R240">
        <f t="shared" si="100"/>
        <v>70.176049374137847</v>
      </c>
    </row>
    <row r="241" spans="1:18" x14ac:dyDescent="0.35">
      <c r="A241" t="s">
        <v>244</v>
      </c>
      <c r="B241" t="s">
        <v>6</v>
      </c>
      <c r="C241">
        <v>475</v>
      </c>
      <c r="E241">
        <f t="shared" si="101"/>
        <v>39838.200475624813</v>
      </c>
      <c r="F241" s="8">
        <f t="shared" si="118"/>
        <v>79.676400951249633</v>
      </c>
      <c r="G241" s="9">
        <f t="shared" si="96"/>
        <v>20.078453039714908</v>
      </c>
      <c r="H241">
        <f t="shared" si="97"/>
        <v>39858.278928664527</v>
      </c>
      <c r="K241" t="s">
        <v>12</v>
      </c>
      <c r="L241">
        <v>476</v>
      </c>
      <c r="N241" s="6">
        <f t="shared" si="119"/>
        <v>199.29139464332263</v>
      </c>
      <c r="O241" s="11">
        <f t="shared" si="98"/>
        <v>50.221431450117301</v>
      </c>
      <c r="P241">
        <f t="shared" si="99"/>
        <v>39908.500360114645</v>
      </c>
      <c r="R241">
        <f t="shared" si="100"/>
        <v>70.299884489832209</v>
      </c>
    </row>
    <row r="242" spans="1:18" x14ac:dyDescent="0.35">
      <c r="A242" t="s">
        <v>245</v>
      </c>
      <c r="B242" t="s">
        <v>6</v>
      </c>
      <c r="C242">
        <v>477</v>
      </c>
      <c r="E242">
        <f t="shared" si="101"/>
        <v>39908.500360114645</v>
      </c>
      <c r="F242" s="8">
        <f t="shared" si="118"/>
        <v>79.817000720229288</v>
      </c>
      <c r="G242" s="9">
        <f t="shared" si="96"/>
        <v>20.113884181497781</v>
      </c>
      <c r="H242">
        <f t="shared" si="97"/>
        <v>39928.614244296143</v>
      </c>
      <c r="K242" t="s">
        <v>12</v>
      </c>
      <c r="L242">
        <v>478</v>
      </c>
      <c r="N242" s="6">
        <f t="shared" si="119"/>
        <v>199.64307122148071</v>
      </c>
      <c r="O242" s="11">
        <f t="shared" si="98"/>
        <v>50.310053947813138</v>
      </c>
      <c r="P242">
        <f t="shared" si="99"/>
        <v>39978.924298243954</v>
      </c>
      <c r="R242">
        <f t="shared" si="100"/>
        <v>70.423938129310926</v>
      </c>
    </row>
    <row r="243" spans="1:18" s="13" customFormat="1" x14ac:dyDescent="0.35">
      <c r="A243" s="13" t="s">
        <v>246</v>
      </c>
      <c r="B243" s="13" t="s">
        <v>6</v>
      </c>
      <c r="C243" s="13">
        <v>479</v>
      </c>
      <c r="E243" s="13">
        <f t="shared" si="101"/>
        <v>39978.924298243954</v>
      </c>
      <c r="F243" s="14">
        <f t="shared" si="118"/>
        <v>79.957848596487906</v>
      </c>
      <c r="G243" s="9">
        <f t="shared" si="96"/>
        <v>20.149377846314952</v>
      </c>
      <c r="H243" s="13">
        <f t="shared" si="97"/>
        <v>39999.073676090266</v>
      </c>
      <c r="K243" s="13" t="s">
        <v>12</v>
      </c>
      <c r="L243" s="13">
        <v>480</v>
      </c>
      <c r="N243" s="13">
        <f t="shared" si="119"/>
        <v>199.99536838045134</v>
      </c>
      <c r="O243" s="11">
        <f t="shared" si="98"/>
        <v>50.39883283187374</v>
      </c>
      <c r="P243" s="13">
        <f t="shared" si="99"/>
        <v>40049.472508922139</v>
      </c>
      <c r="R243" s="13">
        <f t="shared" si="100"/>
        <v>70.548210678188696</v>
      </c>
    </row>
    <row r="244" spans="1:18" s="6" customFormat="1" x14ac:dyDescent="0.35">
      <c r="A244" s="6" t="s">
        <v>247</v>
      </c>
      <c r="B244" s="6" t="s">
        <v>6</v>
      </c>
      <c r="C244" s="6">
        <v>481</v>
      </c>
      <c r="D244" s="7">
        <v>4.0000000000000001E-3</v>
      </c>
      <c r="E244" s="6">
        <f t="shared" si="101"/>
        <v>40049.472508922139</v>
      </c>
      <c r="F244" s="8">
        <f>E244*0.4%</f>
        <v>160.19789003568857</v>
      </c>
      <c r="G244" s="9">
        <f t="shared" si="96"/>
        <v>40.369868288993523</v>
      </c>
      <c r="H244" s="6">
        <f t="shared" si="97"/>
        <v>40089.842377211135</v>
      </c>
      <c r="K244" s="6" t="s">
        <v>12</v>
      </c>
      <c r="L244" s="6">
        <v>482</v>
      </c>
      <c r="M244" s="7">
        <v>6.4999999999989198E-3</v>
      </c>
      <c r="N244" s="6">
        <f>H244*0.65%</f>
        <v>260.58397545187239</v>
      </c>
      <c r="O244" s="11">
        <f t="shared" si="98"/>
        <v>65.667161813871843</v>
      </c>
      <c r="P244" s="6">
        <f t="shared" si="99"/>
        <v>40155.509539025006</v>
      </c>
      <c r="R244" s="6">
        <f t="shared" si="100"/>
        <v>106.03703010286537</v>
      </c>
    </row>
    <row r="245" spans="1:18" x14ac:dyDescent="0.35">
      <c r="A245" t="s">
        <v>248</v>
      </c>
      <c r="B245" t="s">
        <v>6</v>
      </c>
      <c r="C245">
        <v>483</v>
      </c>
      <c r="E245">
        <f t="shared" si="101"/>
        <v>40155.509539025006</v>
      </c>
      <c r="F245" s="8">
        <f t="shared" ref="F245:F248" si="120">E245*0.4%</f>
        <v>160.62203815610002</v>
      </c>
      <c r="G245" s="9">
        <f t="shared" si="96"/>
        <v>40.476753615337202</v>
      </c>
      <c r="H245">
        <f t="shared" si="97"/>
        <v>40195.986292640344</v>
      </c>
      <c r="K245" t="s">
        <v>12</v>
      </c>
      <c r="L245">
        <v>484</v>
      </c>
      <c r="N245" s="6">
        <f t="shared" ref="N245:N248" si="121">H245*0.65%</f>
        <v>261.27391090216224</v>
      </c>
      <c r="O245" s="11">
        <f t="shared" si="98"/>
        <v>65.841025547344884</v>
      </c>
      <c r="P245">
        <f t="shared" si="99"/>
        <v>40261.827318187687</v>
      </c>
      <c r="R245">
        <f t="shared" si="100"/>
        <v>106.31777916268209</v>
      </c>
    </row>
    <row r="246" spans="1:18" x14ac:dyDescent="0.35">
      <c r="A246" t="s">
        <v>249</v>
      </c>
      <c r="B246" t="s">
        <v>6</v>
      </c>
      <c r="C246">
        <v>485</v>
      </c>
      <c r="E246">
        <f t="shared" si="101"/>
        <v>40261.827318187687</v>
      </c>
      <c r="F246" s="8">
        <f t="shared" si="120"/>
        <v>161.04730927275074</v>
      </c>
      <c r="G246" s="9">
        <f t="shared" si="96"/>
        <v>40.583921936733184</v>
      </c>
      <c r="H246">
        <f t="shared" si="97"/>
        <v>40302.41124012442</v>
      </c>
      <c r="K246" t="s">
        <v>12</v>
      </c>
      <c r="L246">
        <v>486</v>
      </c>
      <c r="N246" s="6">
        <f t="shared" si="121"/>
        <v>261.96567306080874</v>
      </c>
      <c r="O246" s="11">
        <f t="shared" si="98"/>
        <v>66.015349611323799</v>
      </c>
      <c r="P246">
        <f t="shared" si="99"/>
        <v>40368.426589735747</v>
      </c>
      <c r="R246">
        <f t="shared" si="100"/>
        <v>106.59927154805698</v>
      </c>
    </row>
    <row r="247" spans="1:18" x14ac:dyDescent="0.35">
      <c r="A247" t="s">
        <v>250</v>
      </c>
      <c r="B247" t="s">
        <v>6</v>
      </c>
      <c r="C247">
        <v>487</v>
      </c>
      <c r="E247">
        <f t="shared" si="101"/>
        <v>40368.426589735747</v>
      </c>
      <c r="F247" s="8">
        <f t="shared" si="120"/>
        <v>161.47370635894299</v>
      </c>
      <c r="G247" s="9">
        <f t="shared" si="96"/>
        <v>40.691374002453635</v>
      </c>
      <c r="H247">
        <f t="shared" si="97"/>
        <v>40409.117963738201</v>
      </c>
      <c r="K247" t="s">
        <v>12</v>
      </c>
      <c r="L247">
        <v>488</v>
      </c>
      <c r="N247" s="6">
        <f t="shared" si="121"/>
        <v>262.65926676429831</v>
      </c>
      <c r="O247" s="11">
        <f t="shared" si="98"/>
        <v>66.190135224603168</v>
      </c>
      <c r="P247">
        <f t="shared" si="99"/>
        <v>40475.308098962807</v>
      </c>
      <c r="R247">
        <f t="shared" si="100"/>
        <v>106.8815092270568</v>
      </c>
    </row>
    <row r="248" spans="1:18" x14ac:dyDescent="0.35">
      <c r="A248" t="s">
        <v>251</v>
      </c>
      <c r="B248" t="s">
        <v>6</v>
      </c>
      <c r="C248">
        <v>489</v>
      </c>
      <c r="E248">
        <f t="shared" si="101"/>
        <v>40475.308098962807</v>
      </c>
      <c r="F248" s="8">
        <f t="shared" si="120"/>
        <v>161.90123239585122</v>
      </c>
      <c r="G248" s="9">
        <f t="shared" si="96"/>
        <v>40.79911056375451</v>
      </c>
      <c r="H248">
        <f t="shared" si="97"/>
        <v>40516.107209526563</v>
      </c>
      <c r="K248" t="s">
        <v>12</v>
      </c>
      <c r="L248">
        <v>490</v>
      </c>
      <c r="N248" s="6">
        <f t="shared" si="121"/>
        <v>263.35469686192266</v>
      </c>
      <c r="O248" s="11">
        <f t="shared" si="98"/>
        <v>66.365383609204514</v>
      </c>
      <c r="P248">
        <f t="shared" si="99"/>
        <v>40582.472593135768</v>
      </c>
      <c r="R248">
        <f t="shared" si="100"/>
        <v>107.16449417295902</v>
      </c>
    </row>
    <row r="249" spans="1:18" s="6" customFormat="1" x14ac:dyDescent="0.35">
      <c r="A249" s="6" t="s">
        <v>252</v>
      </c>
      <c r="B249" s="6" t="s">
        <v>6</v>
      </c>
      <c r="C249" s="6">
        <v>491</v>
      </c>
      <c r="D249" s="7">
        <v>5.99999999999972E-3</v>
      </c>
      <c r="E249" s="6">
        <f t="shared" si="101"/>
        <v>40582.472593135768</v>
      </c>
      <c r="F249" s="8">
        <f>E249*0.6%</f>
        <v>243.4948355588146</v>
      </c>
      <c r="G249" s="9">
        <f t="shared" si="96"/>
        <v>61.360698560821277</v>
      </c>
      <c r="H249" s="6">
        <f t="shared" si="97"/>
        <v>40643.833291696588</v>
      </c>
      <c r="K249" s="6" t="s">
        <v>12</v>
      </c>
      <c r="L249" s="6">
        <v>492</v>
      </c>
      <c r="M249" s="7">
        <v>7.9999999999983799E-3</v>
      </c>
      <c r="N249" s="6">
        <f>H249*0.8%</f>
        <v>325.1506663335727</v>
      </c>
      <c r="O249" s="11">
        <f t="shared" si="98"/>
        <v>81.937967916060316</v>
      </c>
      <c r="P249" s="6">
        <f t="shared" si="99"/>
        <v>40725.771259612651</v>
      </c>
      <c r="R249" s="6">
        <f t="shared" si="100"/>
        <v>143.29866647688158</v>
      </c>
    </row>
    <row r="250" spans="1:18" x14ac:dyDescent="0.35">
      <c r="A250" t="s">
        <v>253</v>
      </c>
      <c r="B250" t="s">
        <v>6</v>
      </c>
      <c r="C250">
        <v>493</v>
      </c>
      <c r="E250">
        <f t="shared" si="101"/>
        <v>40725.771259612651</v>
      </c>
      <c r="F250" s="8">
        <f t="shared" ref="F250:F253" si="122">E250*0.6%</f>
        <v>244.35462755767591</v>
      </c>
      <c r="G250" s="9">
        <f t="shared" si="96"/>
        <v>61.577366144534331</v>
      </c>
      <c r="H250">
        <f t="shared" si="97"/>
        <v>40787.348625757186</v>
      </c>
      <c r="K250" t="s">
        <v>12</v>
      </c>
      <c r="L250">
        <v>494</v>
      </c>
      <c r="N250" s="6">
        <f t="shared" ref="N250:N253" si="123">H250*0.8%</f>
        <v>326.29878900605752</v>
      </c>
      <c r="O250" s="11">
        <f t="shared" si="98"/>
        <v>82.2272948295265</v>
      </c>
      <c r="P250">
        <f t="shared" si="99"/>
        <v>40869.575920586714</v>
      </c>
      <c r="R250">
        <f t="shared" si="100"/>
        <v>143.80466097406082</v>
      </c>
    </row>
    <row r="251" spans="1:18" x14ac:dyDescent="0.35">
      <c r="A251" t="s">
        <v>254</v>
      </c>
      <c r="B251" t="s">
        <v>6</v>
      </c>
      <c r="C251">
        <v>495</v>
      </c>
      <c r="E251">
        <f t="shared" si="101"/>
        <v>40869.575920586714</v>
      </c>
      <c r="F251" s="8">
        <f t="shared" si="122"/>
        <v>245.2174555235203</v>
      </c>
      <c r="G251" s="9">
        <f t="shared" si="96"/>
        <v>61.794798791927114</v>
      </c>
      <c r="H251">
        <f t="shared" si="97"/>
        <v>40931.370719378639</v>
      </c>
      <c r="K251" t="s">
        <v>12</v>
      </c>
      <c r="L251">
        <v>496</v>
      </c>
      <c r="N251" s="6">
        <f t="shared" si="123"/>
        <v>327.45096575502913</v>
      </c>
      <c r="O251" s="11">
        <f t="shared" si="98"/>
        <v>82.517643370267336</v>
      </c>
      <c r="P251">
        <f t="shared" si="99"/>
        <v>41013.888362748905</v>
      </c>
      <c r="R251">
        <f t="shared" si="100"/>
        <v>144.31244216219446</v>
      </c>
    </row>
    <row r="252" spans="1:18" x14ac:dyDescent="0.35">
      <c r="A252" t="s">
        <v>255</v>
      </c>
      <c r="B252" t="s">
        <v>6</v>
      </c>
      <c r="C252">
        <v>497</v>
      </c>
      <c r="E252">
        <f t="shared" si="101"/>
        <v>41013.888362748905</v>
      </c>
      <c r="F252" s="8">
        <f t="shared" si="122"/>
        <v>246.08333017649343</v>
      </c>
      <c r="G252" s="9">
        <f t="shared" si="96"/>
        <v>62.012999204476344</v>
      </c>
      <c r="H252">
        <f t="shared" si="97"/>
        <v>41075.90136195338</v>
      </c>
      <c r="K252" t="s">
        <v>12</v>
      </c>
      <c r="L252">
        <v>498</v>
      </c>
      <c r="N252" s="6">
        <f t="shared" si="123"/>
        <v>328.60721089562702</v>
      </c>
      <c r="O252" s="11">
        <f t="shared" si="98"/>
        <v>82.809017145698007</v>
      </c>
      <c r="P252">
        <f t="shared" si="99"/>
        <v>41158.71037909908</v>
      </c>
      <c r="R252">
        <f t="shared" si="100"/>
        <v>144.82201635017435</v>
      </c>
    </row>
    <row r="253" spans="1:18" x14ac:dyDescent="0.35">
      <c r="A253" t="s">
        <v>256</v>
      </c>
      <c r="B253" t="s">
        <v>6</v>
      </c>
      <c r="C253">
        <v>499</v>
      </c>
      <c r="D253" s="15"/>
      <c r="E253">
        <f t="shared" si="101"/>
        <v>41158.71037909908</v>
      </c>
      <c r="F253" s="8">
        <f t="shared" si="122"/>
        <v>246.95226227459449</v>
      </c>
      <c r="G253" s="9">
        <f t="shared" si="96"/>
        <v>62.231970093197809</v>
      </c>
      <c r="H253">
        <f t="shared" si="97"/>
        <v>41220.942349192279</v>
      </c>
      <c r="K253" t="s">
        <v>12</v>
      </c>
      <c r="L253">
        <v>500</v>
      </c>
      <c r="N253" s="6">
        <f t="shared" si="123"/>
        <v>329.76753879353822</v>
      </c>
      <c r="O253" s="11">
        <f t="shared" si="98"/>
        <v>83.101419775971635</v>
      </c>
      <c r="P253">
        <f t="shared" si="99"/>
        <v>41304.043768968251</v>
      </c>
      <c r="R253">
        <f t="shared" si="100"/>
        <v>145.33338986916945</v>
      </c>
    </row>
    <row r="254" spans="1:18" s="6" customFormat="1" x14ac:dyDescent="0.35">
      <c r="A254" s="6" t="s">
        <v>257</v>
      </c>
      <c r="B254" s="6" t="s">
        <v>5</v>
      </c>
      <c r="C254" s="6">
        <v>501</v>
      </c>
      <c r="D254" s="7">
        <v>7.9999999999994399E-3</v>
      </c>
      <c r="E254" s="6">
        <f t="shared" si="101"/>
        <v>41304.043768968251</v>
      </c>
      <c r="F254" s="8">
        <f>E254*0.8%</f>
        <v>330.43235015174599</v>
      </c>
      <c r="G254" s="9">
        <f t="shared" si="96"/>
        <v>83.26895223823999</v>
      </c>
      <c r="H254" s="6">
        <f t="shared" si="97"/>
        <v>41387.312721206494</v>
      </c>
      <c r="K254" s="6" t="s">
        <v>6</v>
      </c>
      <c r="L254" s="6">
        <v>502</v>
      </c>
      <c r="M254" s="7">
        <v>4.0000000000000001E-3</v>
      </c>
      <c r="N254" s="6">
        <f>H254*0.4%</f>
        <v>165.54925088482597</v>
      </c>
      <c r="O254" s="11">
        <f t="shared" si="98"/>
        <v>41.718411222976144</v>
      </c>
      <c r="P254" s="6">
        <f t="shared" si="99"/>
        <v>41429.031132429467</v>
      </c>
      <c r="R254" s="6">
        <f t="shared" si="100"/>
        <v>124.98736346121613</v>
      </c>
    </row>
    <row r="255" spans="1:18" x14ac:dyDescent="0.35">
      <c r="A255" t="s">
        <v>258</v>
      </c>
      <c r="B255" t="s">
        <v>5</v>
      </c>
      <c r="C255">
        <v>503</v>
      </c>
      <c r="E255">
        <f t="shared" si="101"/>
        <v>41429.031132429467</v>
      </c>
      <c r="F255" s="8">
        <f t="shared" ref="F255:F258" si="124">E255*0.8%</f>
        <v>331.43224905943572</v>
      </c>
      <c r="G255" s="9">
        <f t="shared" si="96"/>
        <v>83.520926762977808</v>
      </c>
      <c r="H255">
        <f t="shared" si="97"/>
        <v>41512.552059192443</v>
      </c>
      <c r="I255" s="16"/>
      <c r="J255" s="16"/>
      <c r="K255" s="16" t="s">
        <v>6</v>
      </c>
      <c r="L255">
        <v>504</v>
      </c>
      <c r="N255" s="6">
        <f t="shared" ref="N255:N258" si="125">H255*0.4%</f>
        <v>166.05020823676978</v>
      </c>
      <c r="O255" s="11">
        <f t="shared" si="98"/>
        <v>41.844652475665981</v>
      </c>
      <c r="P255">
        <f t="shared" si="99"/>
        <v>41554.396711668109</v>
      </c>
      <c r="R255">
        <f t="shared" si="100"/>
        <v>125.36557923864379</v>
      </c>
    </row>
    <row r="256" spans="1:18" x14ac:dyDescent="0.35">
      <c r="A256" t="s">
        <v>259</v>
      </c>
      <c r="B256" t="s">
        <v>5</v>
      </c>
      <c r="C256">
        <v>505</v>
      </c>
      <c r="E256">
        <f t="shared" si="101"/>
        <v>41554.396711668109</v>
      </c>
      <c r="F256" s="8">
        <f t="shared" si="124"/>
        <v>332.43517369334489</v>
      </c>
      <c r="G256" s="9">
        <f t="shared" si="96"/>
        <v>83.773663770722919</v>
      </c>
      <c r="H256">
        <f t="shared" si="97"/>
        <v>41638.170375438829</v>
      </c>
      <c r="K256" t="s">
        <v>6</v>
      </c>
      <c r="L256">
        <v>506</v>
      </c>
      <c r="N256" s="6">
        <f t="shared" si="125"/>
        <v>166.55268150175533</v>
      </c>
      <c r="O256" s="11">
        <f t="shared" si="98"/>
        <v>41.971275738442344</v>
      </c>
      <c r="P256">
        <f t="shared" si="99"/>
        <v>41680.14165117727</v>
      </c>
      <c r="R256">
        <f t="shared" si="100"/>
        <v>125.74493950916526</v>
      </c>
    </row>
    <row r="257" spans="1:18" x14ac:dyDescent="0.35">
      <c r="A257" t="s">
        <v>260</v>
      </c>
      <c r="B257" t="s">
        <v>5</v>
      </c>
      <c r="C257">
        <v>507</v>
      </c>
      <c r="E257">
        <f t="shared" si="101"/>
        <v>41680.14165117727</v>
      </c>
      <c r="F257" s="8">
        <f t="shared" si="124"/>
        <v>333.44113320941818</v>
      </c>
      <c r="G257" s="9">
        <f t="shared" si="96"/>
        <v>84.027165568773384</v>
      </c>
      <c r="H257">
        <f t="shared" si="97"/>
        <v>41764.168816746045</v>
      </c>
      <c r="K257" t="s">
        <v>6</v>
      </c>
      <c r="L257">
        <v>508</v>
      </c>
      <c r="N257" s="6">
        <f t="shared" si="125"/>
        <v>167.05667526698417</v>
      </c>
      <c r="O257" s="11">
        <f t="shared" si="98"/>
        <v>42.098282167280011</v>
      </c>
      <c r="P257">
        <f t="shared" si="99"/>
        <v>41806.267098913326</v>
      </c>
      <c r="R257">
        <f t="shared" si="100"/>
        <v>126.12544773605339</v>
      </c>
    </row>
    <row r="258" spans="1:18" x14ac:dyDescent="0.35">
      <c r="A258" t="s">
        <v>261</v>
      </c>
      <c r="B258" t="s">
        <v>5</v>
      </c>
      <c r="C258">
        <v>509</v>
      </c>
      <c r="E258">
        <f t="shared" si="101"/>
        <v>41806.267098913326</v>
      </c>
      <c r="F258" s="8">
        <f t="shared" si="124"/>
        <v>334.45013679130659</v>
      </c>
      <c r="G258" s="9">
        <f t="shared" si="96"/>
        <v>84.281434471409256</v>
      </c>
      <c r="H258">
        <f t="shared" si="97"/>
        <v>41890.548533384732</v>
      </c>
      <c r="K258" t="s">
        <v>6</v>
      </c>
      <c r="L258">
        <v>510</v>
      </c>
      <c r="N258" s="6">
        <f t="shared" si="125"/>
        <v>167.56219413353892</v>
      </c>
      <c r="O258" s="11">
        <f t="shared" si="98"/>
        <v>42.225672921651807</v>
      </c>
      <c r="P258">
        <f t="shared" si="99"/>
        <v>41932.774206306385</v>
      </c>
      <c r="R258">
        <f t="shared" si="100"/>
        <v>126.50710739306106</v>
      </c>
    </row>
    <row r="259" spans="1:18" s="6" customFormat="1" x14ac:dyDescent="0.35">
      <c r="A259" s="6" t="s">
        <v>262</v>
      </c>
      <c r="B259" s="6" t="s">
        <v>6</v>
      </c>
      <c r="C259" s="6">
        <v>511</v>
      </c>
      <c r="D259" s="7">
        <v>4.0000000000000001E-3</v>
      </c>
      <c r="E259" s="6">
        <f t="shared" si="101"/>
        <v>41932.774206306385</v>
      </c>
      <c r="F259" s="8">
        <f>E259*0.4%</f>
        <v>167.73109682522553</v>
      </c>
      <c r="G259" s="9">
        <f t="shared" si="96"/>
        <v>42.268236399956834</v>
      </c>
      <c r="H259" s="6">
        <f t="shared" si="97"/>
        <v>41975.042442706341</v>
      </c>
      <c r="K259" s="6" t="s">
        <v>12</v>
      </c>
      <c r="L259" s="6">
        <v>512</v>
      </c>
      <c r="M259" s="7">
        <v>8.5000000000000006E-3</v>
      </c>
      <c r="N259" s="6">
        <f>H259*0.85%</f>
        <v>356.78786076300395</v>
      </c>
      <c r="O259" s="11">
        <f t="shared" si="98"/>
        <v>89.910540912277</v>
      </c>
      <c r="P259" s="6">
        <f t="shared" si="99"/>
        <v>42064.952983618619</v>
      </c>
      <c r="R259" s="6">
        <f t="shared" si="100"/>
        <v>132.17877731223382</v>
      </c>
    </row>
    <row r="260" spans="1:18" x14ac:dyDescent="0.35">
      <c r="A260" t="s">
        <v>263</v>
      </c>
      <c r="B260" t="s">
        <v>6</v>
      </c>
      <c r="C260">
        <v>513</v>
      </c>
      <c r="E260">
        <f t="shared" si="101"/>
        <v>42064.952983618619</v>
      </c>
      <c r="F260" s="8">
        <f t="shared" ref="F260:F263" si="126">E260*0.4%</f>
        <v>168.25981193447447</v>
      </c>
      <c r="G260" s="9">
        <f t="shared" si="96"/>
        <v>42.40147260748757</v>
      </c>
      <c r="H260">
        <f t="shared" si="97"/>
        <v>42107.354456226109</v>
      </c>
      <c r="K260" t="s">
        <v>12</v>
      </c>
      <c r="L260">
        <v>514</v>
      </c>
      <c r="N260" s="6">
        <f t="shared" ref="N260:N263" si="127">H260*0.85%</f>
        <v>357.91251287792193</v>
      </c>
      <c r="O260" s="11">
        <f t="shared" si="98"/>
        <v>90.19395324523633</v>
      </c>
      <c r="P260">
        <f t="shared" si="99"/>
        <v>42197.548409471347</v>
      </c>
      <c r="R260">
        <f t="shared" si="100"/>
        <v>132.59542585272391</v>
      </c>
    </row>
    <row r="261" spans="1:18" x14ac:dyDescent="0.35">
      <c r="A261" t="s">
        <v>264</v>
      </c>
      <c r="B261" t="s">
        <v>6</v>
      </c>
      <c r="C261">
        <v>515</v>
      </c>
      <c r="E261">
        <f t="shared" si="101"/>
        <v>42197.548409471347</v>
      </c>
      <c r="F261" s="8">
        <f t="shared" si="126"/>
        <v>168.79019363788538</v>
      </c>
      <c r="G261" s="9">
        <f t="shared" ref="G261:G294" si="128">F261*25.2%</f>
        <v>42.535128796747117</v>
      </c>
      <c r="H261">
        <f t="shared" ref="H261:H294" si="129">G261+E261</f>
        <v>42240.083538268096</v>
      </c>
      <c r="K261" t="s">
        <v>12</v>
      </c>
      <c r="L261">
        <v>516</v>
      </c>
      <c r="N261" s="6">
        <f t="shared" si="127"/>
        <v>359.04071007527887</v>
      </c>
      <c r="O261" s="11">
        <f t="shared" ref="O261:O294" si="130">N261*25.2%</f>
        <v>90.478258938970271</v>
      </c>
      <c r="P261">
        <f t="shared" ref="P261:P294" si="131">O261+H261</f>
        <v>42330.561797207069</v>
      </c>
      <c r="R261">
        <f t="shared" ref="R261:R294" si="132">O261+G261</f>
        <v>133.0133877357174</v>
      </c>
    </row>
    <row r="262" spans="1:18" x14ac:dyDescent="0.35">
      <c r="A262" t="s">
        <v>265</v>
      </c>
      <c r="B262" t="s">
        <v>6</v>
      </c>
      <c r="C262">
        <v>517</v>
      </c>
      <c r="E262">
        <f t="shared" ref="E262:E294" si="133">P261</f>
        <v>42330.561797207069</v>
      </c>
      <c r="F262" s="8">
        <f t="shared" si="126"/>
        <v>169.32224718882827</v>
      </c>
      <c r="G262" s="9">
        <f t="shared" si="128"/>
        <v>42.669206291584722</v>
      </c>
      <c r="H262">
        <f t="shared" si="129"/>
        <v>42373.231003498651</v>
      </c>
      <c r="K262" t="s">
        <v>12</v>
      </c>
      <c r="L262">
        <v>518</v>
      </c>
      <c r="N262" s="6">
        <f t="shared" si="127"/>
        <v>360.17246352973854</v>
      </c>
      <c r="O262" s="11">
        <f t="shared" si="130"/>
        <v>90.763460809494106</v>
      </c>
      <c r="P262">
        <f t="shared" si="131"/>
        <v>42463.994464308147</v>
      </c>
      <c r="R262">
        <f t="shared" si="132"/>
        <v>133.43266710107883</v>
      </c>
    </row>
    <row r="263" spans="1:18" x14ac:dyDescent="0.35">
      <c r="A263" t="s">
        <v>266</v>
      </c>
      <c r="B263" t="s">
        <v>6</v>
      </c>
      <c r="C263">
        <v>519</v>
      </c>
      <c r="D263" s="15"/>
      <c r="E263">
        <f t="shared" si="133"/>
        <v>42463.994464308147</v>
      </c>
      <c r="F263" s="8">
        <f t="shared" si="126"/>
        <v>169.8559778572326</v>
      </c>
      <c r="G263" s="9">
        <f t="shared" si="128"/>
        <v>42.803706420022614</v>
      </c>
      <c r="H263">
        <f t="shared" si="129"/>
        <v>42506.798170728172</v>
      </c>
      <c r="K263" t="s">
        <v>12</v>
      </c>
      <c r="L263">
        <v>520</v>
      </c>
      <c r="N263" s="6">
        <f t="shared" si="127"/>
        <v>361.30778445118949</v>
      </c>
      <c r="O263" s="11">
        <f t="shared" si="130"/>
        <v>91.049561681699757</v>
      </c>
      <c r="P263">
        <f t="shared" si="131"/>
        <v>42597.847732409871</v>
      </c>
      <c r="R263">
        <f t="shared" si="132"/>
        <v>133.85326810172236</v>
      </c>
    </row>
    <row r="264" spans="1:18" s="6" customFormat="1" x14ac:dyDescent="0.35">
      <c r="A264" s="6" t="s">
        <v>267</v>
      </c>
      <c r="B264" s="6" t="s">
        <v>6</v>
      </c>
      <c r="C264" s="6">
        <v>521</v>
      </c>
      <c r="D264" s="7">
        <v>7.0000000000000001E-3</v>
      </c>
      <c r="E264" s="6">
        <f t="shared" si="133"/>
        <v>42597.847732409871</v>
      </c>
      <c r="F264" s="8">
        <f>E264*0.7%</f>
        <v>298.18493412686905</v>
      </c>
      <c r="G264" s="9">
        <f t="shared" si="128"/>
        <v>75.142603399971009</v>
      </c>
      <c r="H264" s="6">
        <f t="shared" si="129"/>
        <v>42672.990335809845</v>
      </c>
      <c r="K264" s="6" t="s">
        <v>6</v>
      </c>
      <c r="L264" s="6">
        <v>522</v>
      </c>
      <c r="M264" s="7">
        <v>3.5000000000000001E-3</v>
      </c>
      <c r="N264" s="6">
        <f>H264*0.35%</f>
        <v>149.35546617533444</v>
      </c>
      <c r="O264" s="11">
        <f t="shared" si="130"/>
        <v>37.637577476184276</v>
      </c>
      <c r="P264" s="6">
        <f t="shared" si="131"/>
        <v>42710.627913286029</v>
      </c>
      <c r="R264" s="6">
        <f t="shared" si="132"/>
        <v>112.78018087615528</v>
      </c>
    </row>
    <row r="265" spans="1:18" x14ac:dyDescent="0.35">
      <c r="A265" t="s">
        <v>268</v>
      </c>
      <c r="B265" t="s">
        <v>6</v>
      </c>
      <c r="C265">
        <v>523</v>
      </c>
      <c r="E265">
        <f t="shared" si="133"/>
        <v>42710.627913286029</v>
      </c>
      <c r="F265" s="8">
        <f t="shared" ref="F265:F268" si="134">E265*0.7%</f>
        <v>298.97439539300217</v>
      </c>
      <c r="G265" s="9">
        <f t="shared" si="128"/>
        <v>75.341547639036548</v>
      </c>
      <c r="H265">
        <f t="shared" si="129"/>
        <v>42785.969460925066</v>
      </c>
      <c r="K265" t="s">
        <v>6</v>
      </c>
      <c r="L265">
        <v>524</v>
      </c>
      <c r="N265" s="6">
        <f t="shared" ref="N265:N268" si="135">H265*0.35%</f>
        <v>149.75089311323771</v>
      </c>
      <c r="O265" s="11">
        <f t="shared" si="130"/>
        <v>37.737225064535906</v>
      </c>
      <c r="P265">
        <f t="shared" si="131"/>
        <v>42823.7066859896</v>
      </c>
      <c r="R265">
        <f t="shared" si="132"/>
        <v>113.07877270357245</v>
      </c>
    </row>
    <row r="266" spans="1:18" x14ac:dyDescent="0.35">
      <c r="A266" t="s">
        <v>269</v>
      </c>
      <c r="B266" t="s">
        <v>6</v>
      </c>
      <c r="C266">
        <v>525</v>
      </c>
      <c r="E266">
        <f t="shared" si="133"/>
        <v>42823.7066859896</v>
      </c>
      <c r="F266" s="8">
        <f t="shared" si="134"/>
        <v>299.76594680192716</v>
      </c>
      <c r="G266" s="9">
        <f t="shared" si="128"/>
        <v>75.541018594085642</v>
      </c>
      <c r="H266">
        <f t="shared" si="129"/>
        <v>42899.247704583686</v>
      </c>
      <c r="K266" t="s">
        <v>6</v>
      </c>
      <c r="L266">
        <v>526</v>
      </c>
      <c r="N266" s="6">
        <f t="shared" si="135"/>
        <v>150.14736696604288</v>
      </c>
      <c r="O266" s="11">
        <f t="shared" si="130"/>
        <v>37.837136475442804</v>
      </c>
      <c r="P266">
        <f t="shared" si="131"/>
        <v>42937.084841059128</v>
      </c>
      <c r="R266">
        <f t="shared" si="132"/>
        <v>113.37815506952845</v>
      </c>
    </row>
    <row r="267" spans="1:18" x14ac:dyDescent="0.35">
      <c r="A267" t="s">
        <v>270</v>
      </c>
      <c r="B267" t="s">
        <v>6</v>
      </c>
      <c r="C267">
        <v>527</v>
      </c>
      <c r="E267">
        <f t="shared" si="133"/>
        <v>42937.084841059128</v>
      </c>
      <c r="F267" s="8">
        <f t="shared" si="134"/>
        <v>300.55959388741388</v>
      </c>
      <c r="G267" s="9">
        <f t="shared" si="128"/>
        <v>75.741017659628298</v>
      </c>
      <c r="H267">
        <f t="shared" si="129"/>
        <v>43012.825858718759</v>
      </c>
      <c r="K267" t="s">
        <v>6</v>
      </c>
      <c r="L267">
        <v>528</v>
      </c>
      <c r="N267" s="6">
        <f t="shared" si="135"/>
        <v>150.54489050551564</v>
      </c>
      <c r="O267" s="11">
        <f t="shared" si="130"/>
        <v>37.937312407389939</v>
      </c>
      <c r="P267">
        <f t="shared" si="131"/>
        <v>43050.763171126149</v>
      </c>
      <c r="R267">
        <f t="shared" si="132"/>
        <v>113.67833006701824</v>
      </c>
    </row>
    <row r="268" spans="1:18" x14ac:dyDescent="0.35">
      <c r="A268" t="s">
        <v>271</v>
      </c>
      <c r="B268" t="s">
        <v>6</v>
      </c>
      <c r="C268">
        <v>529</v>
      </c>
      <c r="E268">
        <f t="shared" si="133"/>
        <v>43050.763171126149</v>
      </c>
      <c r="F268" s="8">
        <f t="shared" si="134"/>
        <v>301.35534219788303</v>
      </c>
      <c r="G268" s="9">
        <f t="shared" si="128"/>
        <v>75.941546233866518</v>
      </c>
      <c r="H268">
        <f t="shared" si="129"/>
        <v>43126.704717360015</v>
      </c>
      <c r="K268" t="s">
        <v>6</v>
      </c>
      <c r="L268">
        <v>530</v>
      </c>
      <c r="N268" s="6">
        <f t="shared" si="135"/>
        <v>150.94346651076003</v>
      </c>
      <c r="O268" s="11">
        <f t="shared" si="130"/>
        <v>38.037753560711529</v>
      </c>
      <c r="P268">
        <f t="shared" si="131"/>
        <v>43164.742470920726</v>
      </c>
      <c r="R268">
        <f t="shared" si="132"/>
        <v>113.97929979457805</v>
      </c>
    </row>
    <row r="269" spans="1:18" s="6" customFormat="1" x14ac:dyDescent="0.35">
      <c r="A269" s="6" t="s">
        <v>272</v>
      </c>
      <c r="B269" s="6" t="s">
        <v>5</v>
      </c>
      <c r="C269" s="6">
        <v>531</v>
      </c>
      <c r="D269" s="7">
        <v>8.0000000000000002E-3</v>
      </c>
      <c r="E269" s="6">
        <f t="shared" si="133"/>
        <v>43164.742470920726</v>
      </c>
      <c r="F269" s="8">
        <f>E269*0.8%</f>
        <v>345.31793976736583</v>
      </c>
      <c r="G269" s="9">
        <f t="shared" si="128"/>
        <v>87.020120821376196</v>
      </c>
      <c r="H269" s="6">
        <f t="shared" si="129"/>
        <v>43251.762591742103</v>
      </c>
      <c r="K269" s="6" t="s">
        <v>6</v>
      </c>
      <c r="L269" s="6">
        <v>532</v>
      </c>
      <c r="M269" s="7">
        <v>4.4999999999999997E-3</v>
      </c>
      <c r="N269" s="6">
        <f>H269*0.45%</f>
        <v>194.6329316628395</v>
      </c>
      <c r="O269" s="11">
        <f t="shared" si="130"/>
        <v>49.04749877903555</v>
      </c>
      <c r="P269" s="6">
        <f t="shared" si="131"/>
        <v>43300.81009052114</v>
      </c>
      <c r="R269" s="6">
        <f t="shared" si="132"/>
        <v>136.06761960041175</v>
      </c>
    </row>
    <row r="270" spans="1:18" x14ac:dyDescent="0.35">
      <c r="A270" t="s">
        <v>273</v>
      </c>
      <c r="B270" t="s">
        <v>5</v>
      </c>
      <c r="C270">
        <v>533</v>
      </c>
      <c r="E270">
        <f t="shared" si="133"/>
        <v>43300.81009052114</v>
      </c>
      <c r="F270" s="8">
        <f t="shared" ref="F270:F273" si="136">E270*0.8%</f>
        <v>346.40648072416911</v>
      </c>
      <c r="G270" s="9">
        <f t="shared" si="128"/>
        <v>87.294433142490618</v>
      </c>
      <c r="H270">
        <f t="shared" si="129"/>
        <v>43388.104523663627</v>
      </c>
      <c r="K270" t="s">
        <v>6</v>
      </c>
      <c r="L270">
        <v>534</v>
      </c>
      <c r="N270" s="6">
        <f t="shared" ref="N270:N273" si="137">H270*0.45%</f>
        <v>195.24647035648636</v>
      </c>
      <c r="O270" s="11">
        <f t="shared" si="130"/>
        <v>49.202110529834563</v>
      </c>
      <c r="P270">
        <f t="shared" si="131"/>
        <v>43437.306634193461</v>
      </c>
      <c r="R270">
        <f t="shared" si="132"/>
        <v>136.49654367232517</v>
      </c>
    </row>
    <row r="271" spans="1:18" x14ac:dyDescent="0.35">
      <c r="A271" t="s">
        <v>274</v>
      </c>
      <c r="B271" t="s">
        <v>5</v>
      </c>
      <c r="C271">
        <v>535</v>
      </c>
      <c r="E271">
        <f t="shared" si="133"/>
        <v>43437.306634193461</v>
      </c>
      <c r="F271" s="8">
        <f t="shared" si="136"/>
        <v>347.49845307354769</v>
      </c>
      <c r="G271" s="9">
        <f t="shared" si="128"/>
        <v>87.56961017453402</v>
      </c>
      <c r="H271">
        <f t="shared" si="129"/>
        <v>43524.876244367995</v>
      </c>
      <c r="K271" t="s">
        <v>6</v>
      </c>
      <c r="L271">
        <v>536</v>
      </c>
      <c r="N271" s="6">
        <f t="shared" si="137"/>
        <v>195.861943099656</v>
      </c>
      <c r="O271" s="11">
        <f t="shared" si="130"/>
        <v>49.357209661113316</v>
      </c>
      <c r="P271">
        <f t="shared" si="131"/>
        <v>43574.233454029112</v>
      </c>
      <c r="R271">
        <f t="shared" si="132"/>
        <v>136.92681983564734</v>
      </c>
    </row>
    <row r="272" spans="1:18" x14ac:dyDescent="0.35">
      <c r="A272" t="s">
        <v>275</v>
      </c>
      <c r="B272" t="s">
        <v>5</v>
      </c>
      <c r="C272">
        <v>537</v>
      </c>
      <c r="E272">
        <f t="shared" si="133"/>
        <v>43574.233454029112</v>
      </c>
      <c r="F272" s="8">
        <f t="shared" si="136"/>
        <v>348.5938676322329</v>
      </c>
      <c r="G272" s="9">
        <f t="shared" si="128"/>
        <v>87.845654643322689</v>
      </c>
      <c r="H272">
        <f t="shared" si="129"/>
        <v>43662.079108672435</v>
      </c>
      <c r="K272" t="s">
        <v>6</v>
      </c>
      <c r="L272">
        <v>538</v>
      </c>
      <c r="N272" s="6">
        <f t="shared" si="137"/>
        <v>196.47935598902598</v>
      </c>
      <c r="O272" s="11">
        <f t="shared" si="130"/>
        <v>49.512797709234547</v>
      </c>
      <c r="P272">
        <f t="shared" si="131"/>
        <v>43711.591906381669</v>
      </c>
      <c r="Q272" t="s">
        <v>0</v>
      </c>
      <c r="R272">
        <f t="shared" si="132"/>
        <v>137.35845235255724</v>
      </c>
    </row>
    <row r="273" spans="1:18" s="17" customFormat="1" x14ac:dyDescent="0.35">
      <c r="A273" s="17" t="s">
        <v>276</v>
      </c>
      <c r="B273" s="17" t="s">
        <v>5</v>
      </c>
      <c r="C273" s="17">
        <v>539</v>
      </c>
      <c r="E273" s="17">
        <f t="shared" si="133"/>
        <v>43711.591906381669</v>
      </c>
      <c r="F273" s="8">
        <f t="shared" si="136"/>
        <v>349.69273525105336</v>
      </c>
      <c r="G273" s="9">
        <f t="shared" si="128"/>
        <v>88.122569283265449</v>
      </c>
      <c r="H273" s="17">
        <f t="shared" si="129"/>
        <v>43799.714475664936</v>
      </c>
      <c r="K273" s="17" t="s">
        <v>6</v>
      </c>
      <c r="L273" s="17">
        <v>540</v>
      </c>
      <c r="M273"/>
      <c r="N273" s="6">
        <f t="shared" si="137"/>
        <v>197.09871514049223</v>
      </c>
      <c r="O273" s="11">
        <f t="shared" si="130"/>
        <v>49.66887621540404</v>
      </c>
      <c r="P273" s="17">
        <f t="shared" si="131"/>
        <v>43849.383351880337</v>
      </c>
      <c r="R273" s="17">
        <f t="shared" si="132"/>
        <v>137.79144549866948</v>
      </c>
    </row>
    <row r="274" spans="1:18" s="9" customFormat="1" x14ac:dyDescent="0.35">
      <c r="A274" s="9" t="s">
        <v>277</v>
      </c>
      <c r="B274" s="9" t="s">
        <v>5</v>
      </c>
      <c r="C274" s="9">
        <v>541</v>
      </c>
      <c r="D274" s="18">
        <v>8.9999999999999993E-3</v>
      </c>
      <c r="E274" s="9">
        <f t="shared" si="133"/>
        <v>43849.383351880337</v>
      </c>
      <c r="F274" s="19">
        <f t="shared" ref="F274:F278" si="138">E274*0.9%</f>
        <v>394.64445016692309</v>
      </c>
      <c r="G274" s="9">
        <f t="shared" si="128"/>
        <v>99.450401442064617</v>
      </c>
      <c r="H274" s="9">
        <f t="shared" si="129"/>
        <v>43948.833753322404</v>
      </c>
      <c r="K274" s="9" t="s">
        <v>6</v>
      </c>
      <c r="L274" s="9">
        <v>542</v>
      </c>
      <c r="M274" s="7">
        <v>5.5000000000064797E-3</v>
      </c>
      <c r="N274" s="9">
        <f>H274*0.55%</f>
        <v>241.71858564327326</v>
      </c>
      <c r="O274" s="11">
        <f t="shared" si="130"/>
        <v>60.913083582104861</v>
      </c>
      <c r="P274" s="9">
        <f t="shared" si="131"/>
        <v>44009.746836904509</v>
      </c>
      <c r="R274" s="9">
        <f t="shared" si="132"/>
        <v>160.36348502416948</v>
      </c>
    </row>
    <row r="275" spans="1:18" x14ac:dyDescent="0.35">
      <c r="A275" t="s">
        <v>278</v>
      </c>
      <c r="B275" t="s">
        <v>5</v>
      </c>
      <c r="C275">
        <v>543</v>
      </c>
      <c r="E275">
        <f t="shared" si="133"/>
        <v>44009.746836904509</v>
      </c>
      <c r="F275" s="19">
        <f t="shared" si="138"/>
        <v>396.08772153214062</v>
      </c>
      <c r="G275" s="9">
        <f t="shared" si="128"/>
        <v>99.814105826099436</v>
      </c>
      <c r="H275">
        <f t="shared" si="129"/>
        <v>44109.560942730612</v>
      </c>
      <c r="K275" t="s">
        <v>6</v>
      </c>
      <c r="L275">
        <v>544</v>
      </c>
      <c r="N275" s="9">
        <f t="shared" ref="N275:N278" si="139">H275*0.55%</f>
        <v>242.6025851850184</v>
      </c>
      <c r="O275" s="11">
        <f t="shared" si="130"/>
        <v>61.135851466624636</v>
      </c>
      <c r="P275">
        <f t="shared" si="131"/>
        <v>44170.69679419724</v>
      </c>
      <c r="R275">
        <f t="shared" si="132"/>
        <v>160.94995729272406</v>
      </c>
    </row>
    <row r="276" spans="1:18" x14ac:dyDescent="0.35">
      <c r="A276" t="s">
        <v>279</v>
      </c>
      <c r="B276" t="s">
        <v>5</v>
      </c>
      <c r="C276">
        <v>545</v>
      </c>
      <c r="E276">
        <f t="shared" si="133"/>
        <v>44170.69679419724</v>
      </c>
      <c r="F276" s="19">
        <f t="shared" si="138"/>
        <v>397.53627114777521</v>
      </c>
      <c r="G276" s="9">
        <f t="shared" si="128"/>
        <v>100.17914032923936</v>
      </c>
      <c r="H276">
        <f t="shared" si="129"/>
        <v>44270.875934526477</v>
      </c>
      <c r="K276" t="s">
        <v>6</v>
      </c>
      <c r="L276">
        <v>546</v>
      </c>
      <c r="N276" s="9">
        <f t="shared" si="139"/>
        <v>243.48981763989565</v>
      </c>
      <c r="O276" s="11">
        <f t="shared" si="130"/>
        <v>61.359434045253707</v>
      </c>
      <c r="P276">
        <f t="shared" si="131"/>
        <v>44332.235368571732</v>
      </c>
      <c r="Q276" t="s">
        <v>0</v>
      </c>
      <c r="R276">
        <f t="shared" si="132"/>
        <v>161.53857437449307</v>
      </c>
    </row>
    <row r="277" spans="1:18" x14ac:dyDescent="0.35">
      <c r="A277" t="s">
        <v>280</v>
      </c>
      <c r="B277" t="s">
        <v>5</v>
      </c>
      <c r="C277">
        <v>546</v>
      </c>
      <c r="E277">
        <f t="shared" si="133"/>
        <v>44332.235368571732</v>
      </c>
      <c r="F277" s="19">
        <f t="shared" si="138"/>
        <v>398.99011831714563</v>
      </c>
      <c r="G277" s="9">
        <f t="shared" si="128"/>
        <v>100.5455098159207</v>
      </c>
      <c r="H277">
        <f t="shared" si="129"/>
        <v>44432.780878387654</v>
      </c>
      <c r="K277" t="s">
        <v>6</v>
      </c>
      <c r="L277">
        <v>547</v>
      </c>
      <c r="N277" s="9">
        <f t="shared" si="139"/>
        <v>244.38029483113212</v>
      </c>
      <c r="O277" s="11">
        <f t="shared" si="130"/>
        <v>61.583834297445293</v>
      </c>
      <c r="P277">
        <f t="shared" si="131"/>
        <v>44494.364712685099</v>
      </c>
      <c r="Q277" t="s">
        <v>0</v>
      </c>
      <c r="R277">
        <f t="shared" si="132"/>
        <v>162.12934411336599</v>
      </c>
    </row>
    <row r="278" spans="1:18" x14ac:dyDescent="0.35">
      <c r="A278" t="s">
        <v>281</v>
      </c>
      <c r="B278" t="s">
        <v>5</v>
      </c>
      <c r="C278">
        <v>547</v>
      </c>
      <c r="E278">
        <f t="shared" si="133"/>
        <v>44494.364712685099</v>
      </c>
      <c r="F278" s="19">
        <f t="shared" si="138"/>
        <v>400.44928241416596</v>
      </c>
      <c r="G278" s="9">
        <f t="shared" si="128"/>
        <v>100.91321916836982</v>
      </c>
      <c r="H278">
        <f t="shared" si="129"/>
        <v>44595.277931853467</v>
      </c>
      <c r="K278" t="s">
        <v>6</v>
      </c>
      <c r="L278">
        <v>548</v>
      </c>
      <c r="N278" s="9">
        <f t="shared" si="139"/>
        <v>245.27402862519409</v>
      </c>
      <c r="O278" s="11">
        <f t="shared" si="130"/>
        <v>61.809055213548909</v>
      </c>
      <c r="P278">
        <f t="shared" si="131"/>
        <v>44657.086987067014</v>
      </c>
      <c r="Q278" t="s">
        <v>0</v>
      </c>
      <c r="R278">
        <f t="shared" si="132"/>
        <v>162.72227438191874</v>
      </c>
    </row>
    <row r="279" spans="1:18" s="6" customFormat="1" x14ac:dyDescent="0.35">
      <c r="A279" s="6" t="s">
        <v>282</v>
      </c>
      <c r="B279" s="6" t="s">
        <v>5</v>
      </c>
      <c r="C279" s="6">
        <v>548</v>
      </c>
      <c r="D279" s="7">
        <v>8.0000000000000002E-3</v>
      </c>
      <c r="E279" s="6">
        <f t="shared" si="133"/>
        <v>44657.086987067014</v>
      </c>
      <c r="F279" s="8">
        <f>E279*0.8%</f>
        <v>357.25669589653614</v>
      </c>
      <c r="G279" s="9">
        <f t="shared" si="128"/>
        <v>90.028687365927112</v>
      </c>
      <c r="H279" s="6">
        <f t="shared" si="129"/>
        <v>44747.115674432942</v>
      </c>
      <c r="K279" s="6" t="s">
        <v>6</v>
      </c>
      <c r="L279" s="6">
        <v>549</v>
      </c>
      <c r="M279" s="7">
        <v>4.5000000000086403E-3</v>
      </c>
      <c r="N279" s="6">
        <f>H279*0.45%</f>
        <v>201.36202053494827</v>
      </c>
      <c r="O279" s="11">
        <f t="shared" si="130"/>
        <v>50.743229174806963</v>
      </c>
      <c r="P279" s="6">
        <f t="shared" si="131"/>
        <v>44797.858903607746</v>
      </c>
      <c r="Q279" s="6" t="s">
        <v>0</v>
      </c>
      <c r="R279" s="6">
        <f t="shared" si="132"/>
        <v>140.77191654073408</v>
      </c>
    </row>
    <row r="280" spans="1:18" x14ac:dyDescent="0.35">
      <c r="A280" t="s">
        <v>283</v>
      </c>
      <c r="B280" t="s">
        <v>5</v>
      </c>
      <c r="C280">
        <v>549</v>
      </c>
      <c r="E280">
        <f t="shared" si="133"/>
        <v>44797.858903607746</v>
      </c>
      <c r="F280" s="8">
        <f t="shared" ref="F280:F283" si="140">E280*0.8%</f>
        <v>358.38287122886197</v>
      </c>
      <c r="G280" s="9">
        <f t="shared" si="128"/>
        <v>90.312483549673217</v>
      </c>
      <c r="H280">
        <f t="shared" si="129"/>
        <v>44888.171387157417</v>
      </c>
      <c r="K280" t="s">
        <v>6</v>
      </c>
      <c r="L280">
        <v>550</v>
      </c>
      <c r="N280" s="6">
        <f t="shared" ref="N280:N283" si="141">H280*0.45%</f>
        <v>201.99677124220841</v>
      </c>
      <c r="O280" s="11">
        <f t="shared" si="130"/>
        <v>50.903186353036517</v>
      </c>
      <c r="P280">
        <f t="shared" si="131"/>
        <v>44939.074573510457</v>
      </c>
      <c r="Q280" t="s">
        <v>0</v>
      </c>
      <c r="R280">
        <f t="shared" si="132"/>
        <v>141.21566990270975</v>
      </c>
    </row>
    <row r="281" spans="1:18" x14ac:dyDescent="0.35">
      <c r="A281" t="s">
        <v>284</v>
      </c>
      <c r="B281" t="s">
        <v>5</v>
      </c>
      <c r="C281">
        <v>550</v>
      </c>
      <c r="E281">
        <f t="shared" si="133"/>
        <v>44939.074573510457</v>
      </c>
      <c r="F281" s="8">
        <f t="shared" si="140"/>
        <v>359.51259658808368</v>
      </c>
      <c r="G281" s="9">
        <f t="shared" si="128"/>
        <v>90.597174340197085</v>
      </c>
      <c r="H281">
        <f t="shared" si="129"/>
        <v>45029.671747850654</v>
      </c>
      <c r="K281" t="s">
        <v>6</v>
      </c>
      <c r="L281">
        <v>551</v>
      </c>
      <c r="N281" s="6">
        <f t="shared" si="141"/>
        <v>202.63352286532796</v>
      </c>
      <c r="O281" s="11">
        <f t="shared" si="130"/>
        <v>51.063647762062644</v>
      </c>
      <c r="P281">
        <f t="shared" si="131"/>
        <v>45080.735395612719</v>
      </c>
      <c r="Q281" t="s">
        <v>0</v>
      </c>
      <c r="R281">
        <f t="shared" si="132"/>
        <v>141.66082210225971</v>
      </c>
    </row>
    <row r="282" spans="1:18" x14ac:dyDescent="0.35">
      <c r="A282" t="s">
        <v>285</v>
      </c>
      <c r="B282" t="s">
        <v>5</v>
      </c>
      <c r="C282">
        <v>551</v>
      </c>
      <c r="E282">
        <f t="shared" si="133"/>
        <v>45080.735395612719</v>
      </c>
      <c r="F282" s="8">
        <f t="shared" si="140"/>
        <v>360.64588316490176</v>
      </c>
      <c r="G282" s="9">
        <f t="shared" si="128"/>
        <v>90.882762557555239</v>
      </c>
      <c r="H282">
        <f t="shared" si="129"/>
        <v>45171.618158170277</v>
      </c>
      <c r="K282" t="s">
        <v>6</v>
      </c>
      <c r="L282">
        <v>552</v>
      </c>
      <c r="N282" s="6">
        <f t="shared" si="141"/>
        <v>203.27228171176628</v>
      </c>
      <c r="O282" s="11">
        <f t="shared" si="130"/>
        <v>51.224614991365101</v>
      </c>
      <c r="P282">
        <f t="shared" si="131"/>
        <v>45222.842773161639</v>
      </c>
      <c r="Q282" t="s">
        <v>0</v>
      </c>
      <c r="R282">
        <f t="shared" si="132"/>
        <v>142.10737754892034</v>
      </c>
    </row>
    <row r="283" spans="1:18" x14ac:dyDescent="0.35">
      <c r="A283" t="s">
        <v>286</v>
      </c>
      <c r="B283" t="s">
        <v>5</v>
      </c>
      <c r="C283">
        <v>552</v>
      </c>
      <c r="E283">
        <f t="shared" si="133"/>
        <v>45222.842773161639</v>
      </c>
      <c r="F283" s="8">
        <f t="shared" si="140"/>
        <v>361.7827421852931</v>
      </c>
      <c r="G283" s="9">
        <f t="shared" si="128"/>
        <v>91.169251030693857</v>
      </c>
      <c r="H283">
        <f t="shared" si="129"/>
        <v>45314.012024192336</v>
      </c>
      <c r="K283" t="s">
        <v>6</v>
      </c>
      <c r="L283">
        <v>553</v>
      </c>
      <c r="N283" s="6">
        <f t="shared" si="141"/>
        <v>203.91305410886554</v>
      </c>
      <c r="O283" s="11">
        <f t="shared" si="130"/>
        <v>51.386089635434118</v>
      </c>
      <c r="P283">
        <f t="shared" si="131"/>
        <v>45365.398113827767</v>
      </c>
      <c r="Q283" t="s">
        <v>0</v>
      </c>
      <c r="R283">
        <f t="shared" si="132"/>
        <v>142.55534066612796</v>
      </c>
    </row>
    <row r="284" spans="1:18" s="6" customFormat="1" x14ac:dyDescent="0.35">
      <c r="A284" s="6" t="s">
        <v>287</v>
      </c>
      <c r="B284" s="6" t="s">
        <v>5</v>
      </c>
      <c r="C284" s="6">
        <v>553</v>
      </c>
      <c r="D284" s="7">
        <v>7.0000000000000001E-3</v>
      </c>
      <c r="E284" s="6">
        <f t="shared" si="133"/>
        <v>45365.398113827767</v>
      </c>
      <c r="F284" s="8">
        <f>E284*0.7%</f>
        <v>317.55778679679435</v>
      </c>
      <c r="G284" s="9">
        <f t="shared" si="128"/>
        <v>80.024562272792181</v>
      </c>
      <c r="H284" s="6">
        <f t="shared" si="129"/>
        <v>45445.422676100556</v>
      </c>
      <c r="K284" s="6" t="s">
        <v>6</v>
      </c>
      <c r="L284" s="6">
        <v>554</v>
      </c>
      <c r="M284" s="7">
        <v>3.5000000000108E-3</v>
      </c>
      <c r="N284" s="6">
        <f>H284*0.35%</f>
        <v>159.05897936635193</v>
      </c>
      <c r="O284" s="11">
        <f t="shared" si="130"/>
        <v>40.08286280032069</v>
      </c>
      <c r="P284" s="6">
        <f t="shared" si="131"/>
        <v>45485.505538900878</v>
      </c>
      <c r="Q284" s="6" t="s">
        <v>0</v>
      </c>
      <c r="R284" s="6">
        <f t="shared" si="132"/>
        <v>120.10742507311286</v>
      </c>
    </row>
    <row r="285" spans="1:18" x14ac:dyDescent="0.35">
      <c r="A285" t="s">
        <v>288</v>
      </c>
      <c r="B285" t="s">
        <v>5</v>
      </c>
      <c r="C285">
        <v>554</v>
      </c>
      <c r="E285">
        <f t="shared" si="133"/>
        <v>45485.505538900878</v>
      </c>
      <c r="F285" s="8">
        <f t="shared" ref="F285:F288" si="142">E285*0.7%</f>
        <v>318.3985387723061</v>
      </c>
      <c r="G285" s="9">
        <f t="shared" si="128"/>
        <v>80.236431770621138</v>
      </c>
      <c r="H285">
        <f t="shared" si="129"/>
        <v>45565.741970671501</v>
      </c>
      <c r="K285" t="s">
        <v>6</v>
      </c>
      <c r="L285">
        <v>555</v>
      </c>
      <c r="N285" s="6">
        <f t="shared" ref="N285:N288" si="143">H285*0.35%</f>
        <v>159.48009689735025</v>
      </c>
      <c r="O285" s="11">
        <f t="shared" si="130"/>
        <v>40.188984418132264</v>
      </c>
      <c r="P285">
        <f t="shared" si="131"/>
        <v>45605.930955089636</v>
      </c>
      <c r="Q285" t="s">
        <v>0</v>
      </c>
      <c r="R285">
        <f t="shared" si="132"/>
        <v>120.4254161887534</v>
      </c>
    </row>
    <row r="286" spans="1:18" x14ac:dyDescent="0.35">
      <c r="A286" t="s">
        <v>289</v>
      </c>
      <c r="B286" t="s">
        <v>5</v>
      </c>
      <c r="C286">
        <v>555</v>
      </c>
      <c r="E286">
        <f t="shared" si="133"/>
        <v>45605.930955089636</v>
      </c>
      <c r="F286" s="8">
        <f t="shared" si="142"/>
        <v>319.2415166856274</v>
      </c>
      <c r="G286" s="9">
        <f t="shared" si="128"/>
        <v>80.448862204778109</v>
      </c>
      <c r="H286">
        <f t="shared" si="129"/>
        <v>45686.379817294415</v>
      </c>
      <c r="K286" t="s">
        <v>6</v>
      </c>
      <c r="L286">
        <v>556</v>
      </c>
      <c r="N286" s="6">
        <f t="shared" si="143"/>
        <v>159.90232936053044</v>
      </c>
      <c r="O286" s="11">
        <f t="shared" si="130"/>
        <v>40.295386998853672</v>
      </c>
      <c r="P286">
        <f t="shared" si="131"/>
        <v>45726.675204293271</v>
      </c>
      <c r="Q286" t="s">
        <v>0</v>
      </c>
      <c r="R286">
        <f t="shared" si="132"/>
        <v>120.74424920363178</v>
      </c>
    </row>
    <row r="287" spans="1:18" x14ac:dyDescent="0.35">
      <c r="A287" t="s">
        <v>290</v>
      </c>
      <c r="B287" t="s">
        <v>5</v>
      </c>
      <c r="C287">
        <v>556</v>
      </c>
      <c r="E287">
        <f t="shared" si="133"/>
        <v>45726.675204293271</v>
      </c>
      <c r="F287" s="8">
        <f t="shared" si="142"/>
        <v>320.08672643005286</v>
      </c>
      <c r="G287" s="9">
        <f t="shared" si="128"/>
        <v>80.661855060373327</v>
      </c>
      <c r="H287">
        <f t="shared" si="129"/>
        <v>45807.337059353646</v>
      </c>
      <c r="K287" t="s">
        <v>6</v>
      </c>
      <c r="L287">
        <v>557</v>
      </c>
      <c r="N287" s="6">
        <f t="shared" si="143"/>
        <v>160.32567970773775</v>
      </c>
      <c r="O287" s="11">
        <f t="shared" si="130"/>
        <v>40.402071286349916</v>
      </c>
      <c r="P287">
        <f t="shared" si="131"/>
        <v>45847.739130639995</v>
      </c>
      <c r="Q287" t="s">
        <v>0</v>
      </c>
      <c r="R287">
        <f t="shared" si="132"/>
        <v>121.06392634672324</v>
      </c>
    </row>
    <row r="288" spans="1:18" x14ac:dyDescent="0.35">
      <c r="A288" t="s">
        <v>291</v>
      </c>
      <c r="B288" t="s">
        <v>5</v>
      </c>
      <c r="C288">
        <v>557</v>
      </c>
      <c r="E288">
        <f t="shared" si="133"/>
        <v>45847.739130639995</v>
      </c>
      <c r="F288" s="8">
        <f t="shared" si="142"/>
        <v>320.93417391447991</v>
      </c>
      <c r="G288" s="9">
        <f t="shared" si="128"/>
        <v>80.875411826448939</v>
      </c>
      <c r="H288">
        <f t="shared" si="129"/>
        <v>45928.614542466443</v>
      </c>
      <c r="K288" t="s">
        <v>6</v>
      </c>
      <c r="L288">
        <v>558</v>
      </c>
      <c r="N288" s="6">
        <f t="shared" si="143"/>
        <v>160.75015089863254</v>
      </c>
      <c r="O288" s="11">
        <f t="shared" si="130"/>
        <v>40.5090380264554</v>
      </c>
      <c r="P288">
        <f t="shared" si="131"/>
        <v>45969.123580492895</v>
      </c>
      <c r="Q288" t="s">
        <v>0</v>
      </c>
      <c r="R288">
        <f t="shared" si="132"/>
        <v>121.38444985290434</v>
      </c>
    </row>
    <row r="289" spans="1:18" s="6" customFormat="1" x14ac:dyDescent="0.35">
      <c r="A289" s="6" t="s">
        <v>292</v>
      </c>
      <c r="B289" s="6" t="s">
        <v>5</v>
      </c>
      <c r="C289" s="6">
        <v>558</v>
      </c>
      <c r="D289" s="7">
        <v>6.0000000000000001E-3</v>
      </c>
      <c r="E289" s="6">
        <f t="shared" si="133"/>
        <v>45969.123580492895</v>
      </c>
      <c r="F289" s="8">
        <f>E289*0.6%</f>
        <v>275.8147414829574</v>
      </c>
      <c r="G289" s="9">
        <f t="shared" si="128"/>
        <v>69.505314853705272</v>
      </c>
      <c r="H289" s="6">
        <f t="shared" si="129"/>
        <v>46038.628895346599</v>
      </c>
      <c r="K289" s="6" t="s">
        <v>12</v>
      </c>
      <c r="L289" s="6">
        <v>559</v>
      </c>
      <c r="M289" s="7">
        <v>7.0000000000000001E-3</v>
      </c>
      <c r="N289" s="6">
        <f>H289*0.7%</f>
        <v>322.27040226742616</v>
      </c>
      <c r="O289" s="11">
        <f t="shared" si="130"/>
        <v>81.212141371391397</v>
      </c>
      <c r="P289" s="6">
        <f t="shared" si="131"/>
        <v>46119.841036717989</v>
      </c>
      <c r="Q289" s="6" t="s">
        <v>0</v>
      </c>
      <c r="R289" s="6">
        <f t="shared" si="132"/>
        <v>150.71745622509667</v>
      </c>
    </row>
    <row r="290" spans="1:18" x14ac:dyDescent="0.35">
      <c r="A290" t="s">
        <v>293</v>
      </c>
      <c r="B290" t="s">
        <v>5</v>
      </c>
      <c r="C290">
        <v>559</v>
      </c>
      <c r="E290">
        <f t="shared" si="133"/>
        <v>46119.841036717989</v>
      </c>
      <c r="F290" s="8">
        <f t="shared" ref="F290:F293" si="144">E290*0.6%</f>
        <v>276.71904622030792</v>
      </c>
      <c r="G290" s="9">
        <f t="shared" si="128"/>
        <v>69.733199647517594</v>
      </c>
      <c r="H290">
        <f t="shared" si="129"/>
        <v>46189.574236365508</v>
      </c>
      <c r="K290" t="s">
        <v>12</v>
      </c>
      <c r="L290">
        <v>560</v>
      </c>
      <c r="N290" s="6">
        <f t="shared" ref="N290:N293" si="145">H290*0.7%</f>
        <v>323.32701965455851</v>
      </c>
      <c r="O290" s="11">
        <f t="shared" si="130"/>
        <v>81.47840895294874</v>
      </c>
      <c r="P290">
        <f t="shared" si="131"/>
        <v>46271.052645318458</v>
      </c>
      <c r="Q290" t="s">
        <v>0</v>
      </c>
      <c r="R290">
        <f t="shared" si="132"/>
        <v>151.21160860046632</v>
      </c>
    </row>
    <row r="291" spans="1:18" x14ac:dyDescent="0.35">
      <c r="A291" t="s">
        <v>294</v>
      </c>
      <c r="B291" t="s">
        <v>5</v>
      </c>
      <c r="C291">
        <v>560</v>
      </c>
      <c r="E291">
        <f t="shared" si="133"/>
        <v>46271.052645318458</v>
      </c>
      <c r="F291" s="8">
        <f t="shared" si="144"/>
        <v>277.62631587191078</v>
      </c>
      <c r="G291" s="9">
        <f t="shared" si="128"/>
        <v>69.961831599721521</v>
      </c>
      <c r="H291">
        <f t="shared" si="129"/>
        <v>46341.014476918179</v>
      </c>
      <c r="K291" t="s">
        <v>12</v>
      </c>
      <c r="L291">
        <v>561</v>
      </c>
      <c r="N291" s="6">
        <f t="shared" si="145"/>
        <v>324.38710133842721</v>
      </c>
      <c r="O291" s="11">
        <f t="shared" si="130"/>
        <v>81.745549537283665</v>
      </c>
      <c r="P291">
        <f t="shared" si="131"/>
        <v>46422.760026455464</v>
      </c>
      <c r="Q291" t="s">
        <v>0</v>
      </c>
      <c r="R291">
        <f t="shared" si="132"/>
        <v>151.7073811370052</v>
      </c>
    </row>
    <row r="292" spans="1:18" x14ac:dyDescent="0.35">
      <c r="A292" t="s">
        <v>295</v>
      </c>
      <c r="B292" t="s">
        <v>5</v>
      </c>
      <c r="C292">
        <v>561</v>
      </c>
      <c r="E292">
        <f t="shared" si="133"/>
        <v>46422.760026455464</v>
      </c>
      <c r="F292" s="8">
        <f t="shared" si="144"/>
        <v>278.53656015873281</v>
      </c>
      <c r="G292" s="9">
        <f t="shared" si="128"/>
        <v>70.191213160000672</v>
      </c>
      <c r="H292">
        <f t="shared" si="129"/>
        <v>46492.951239615468</v>
      </c>
      <c r="K292" t="s">
        <v>12</v>
      </c>
      <c r="L292">
        <v>562</v>
      </c>
      <c r="N292" s="6">
        <f t="shared" si="145"/>
        <v>325.45065867730824</v>
      </c>
      <c r="O292" s="11">
        <f t="shared" si="130"/>
        <v>82.013565986681684</v>
      </c>
      <c r="P292">
        <f t="shared" si="131"/>
        <v>46574.964805602147</v>
      </c>
      <c r="Q292" t="s">
        <v>0</v>
      </c>
      <c r="R292">
        <f t="shared" si="132"/>
        <v>152.20477914668237</v>
      </c>
    </row>
    <row r="293" spans="1:18" x14ac:dyDescent="0.35">
      <c r="A293" t="s">
        <v>296</v>
      </c>
      <c r="B293" t="s">
        <v>5</v>
      </c>
      <c r="C293">
        <v>562</v>
      </c>
      <c r="E293">
        <f t="shared" si="133"/>
        <v>46574.964805602147</v>
      </c>
      <c r="F293" s="8">
        <f t="shared" si="144"/>
        <v>279.4497888336129</v>
      </c>
      <c r="G293" s="9">
        <f t="shared" si="128"/>
        <v>70.421346786070444</v>
      </c>
      <c r="H293">
        <f t="shared" si="129"/>
        <v>46645.386152388215</v>
      </c>
      <c r="K293" t="s">
        <v>12</v>
      </c>
      <c r="L293">
        <v>563</v>
      </c>
      <c r="N293" s="6">
        <f t="shared" si="145"/>
        <v>326.51770306671744</v>
      </c>
      <c r="O293" s="11">
        <f t="shared" si="130"/>
        <v>82.282461172812802</v>
      </c>
      <c r="P293">
        <f t="shared" si="131"/>
        <v>46727.668613561029</v>
      </c>
      <c r="Q293" t="s">
        <v>0</v>
      </c>
      <c r="R293">
        <f t="shared" si="132"/>
        <v>152.70380795888326</v>
      </c>
    </row>
    <row r="294" spans="1:18" s="6" customFormat="1" x14ac:dyDescent="0.35">
      <c r="A294" s="6" t="s">
        <v>297</v>
      </c>
      <c r="B294" s="6" t="s">
        <v>6</v>
      </c>
      <c r="C294" s="6">
        <v>563</v>
      </c>
      <c r="D294" s="7">
        <v>5.4999999999999997E-3</v>
      </c>
      <c r="E294" s="6">
        <f t="shared" si="133"/>
        <v>46727.668613561029</v>
      </c>
      <c r="F294" s="8">
        <f t="shared" ref="F294" si="146">E294*0.9%</f>
        <v>420.54901752204933</v>
      </c>
      <c r="G294" s="9">
        <f t="shared" si="128"/>
        <v>105.97835241555643</v>
      </c>
      <c r="H294" s="6">
        <f t="shared" si="129"/>
        <v>46833.646965976586</v>
      </c>
      <c r="K294" s="6" t="s">
        <v>12</v>
      </c>
      <c r="L294" s="6">
        <v>564</v>
      </c>
      <c r="M294" s="7">
        <v>6.0000000000000001E-3</v>
      </c>
      <c r="N294" s="6">
        <f t="shared" ref="N294" si="147">H294*1%</f>
        <v>468.3364696597659</v>
      </c>
      <c r="O294" s="11">
        <f t="shared" si="130"/>
        <v>118.02079035426101</v>
      </c>
      <c r="P294" s="6">
        <f t="shared" si="131"/>
        <v>46951.667756330848</v>
      </c>
      <c r="Q294" s="6" t="s">
        <v>0</v>
      </c>
      <c r="R294" s="6">
        <f t="shared" si="132"/>
        <v>223.99914276981744</v>
      </c>
    </row>
    <row r="295" spans="1:18" x14ac:dyDescent="0.35">
      <c r="A295" t="s">
        <v>298</v>
      </c>
    </row>
    <row r="296" spans="1:18" x14ac:dyDescent="0.35">
      <c r="A296" t="s">
        <v>299</v>
      </c>
    </row>
    <row r="297" spans="1:18" x14ac:dyDescent="0.35">
      <c r="A297" t="s">
        <v>300</v>
      </c>
    </row>
    <row r="298" spans="1:18" x14ac:dyDescent="0.35">
      <c r="A298" t="s">
        <v>301</v>
      </c>
    </row>
    <row r="299" spans="1:18" x14ac:dyDescent="0.35">
      <c r="A299" t="s">
        <v>302</v>
      </c>
    </row>
    <row r="300" spans="1:18" x14ac:dyDescent="0.35">
      <c r="A300" t="s">
        <v>303</v>
      </c>
    </row>
    <row r="301" spans="1:18" x14ac:dyDescent="0.35">
      <c r="A301" t="s">
        <v>304</v>
      </c>
    </row>
    <row r="302" spans="1:18" x14ac:dyDescent="0.35">
      <c r="A302" t="s">
        <v>305</v>
      </c>
    </row>
    <row r="303" spans="1:18" x14ac:dyDescent="0.35">
      <c r="A303" s="20" t="s">
        <v>306</v>
      </c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</row>
    <row r="304" spans="1:18" x14ac:dyDescent="0.35">
      <c r="A304" t="s">
        <v>307</v>
      </c>
    </row>
    <row r="305" spans="1:1" x14ac:dyDescent="0.35">
      <c r="A305" t="s">
        <v>308</v>
      </c>
    </row>
    <row r="306" spans="1:1" x14ac:dyDescent="0.35">
      <c r="A306" t="s">
        <v>309</v>
      </c>
    </row>
    <row r="307" spans="1:1" x14ac:dyDescent="0.35">
      <c r="A307" t="s">
        <v>310</v>
      </c>
    </row>
    <row r="308" spans="1:1" x14ac:dyDescent="0.35">
      <c r="A308" t="s">
        <v>311</v>
      </c>
    </row>
    <row r="309" spans="1:1" x14ac:dyDescent="0.35">
      <c r="A309" t="s">
        <v>312</v>
      </c>
    </row>
    <row r="310" spans="1:1" x14ac:dyDescent="0.35">
      <c r="A310" t="s">
        <v>313</v>
      </c>
    </row>
    <row r="311" spans="1:1" x14ac:dyDescent="0.35">
      <c r="A311" t="s">
        <v>314</v>
      </c>
    </row>
    <row r="312" spans="1:1" x14ac:dyDescent="0.35">
      <c r="A312" t="s">
        <v>315</v>
      </c>
    </row>
    <row r="313" spans="1:1" x14ac:dyDescent="0.35">
      <c r="A313" t="s">
        <v>316</v>
      </c>
    </row>
    <row r="314" spans="1:1" x14ac:dyDescent="0.35">
      <c r="A314" t="s">
        <v>317</v>
      </c>
    </row>
    <row r="315" spans="1:1" x14ac:dyDescent="0.35">
      <c r="A315" t="s">
        <v>318</v>
      </c>
    </row>
    <row r="316" spans="1:1" x14ac:dyDescent="0.35">
      <c r="A316" t="s">
        <v>319</v>
      </c>
    </row>
    <row r="317" spans="1:1" x14ac:dyDescent="0.35">
      <c r="A317" t="s">
        <v>320</v>
      </c>
    </row>
    <row r="318" spans="1:1" x14ac:dyDescent="0.35">
      <c r="A318" t="s">
        <v>321</v>
      </c>
    </row>
    <row r="319" spans="1:1" x14ac:dyDescent="0.35">
      <c r="A319" t="s">
        <v>322</v>
      </c>
    </row>
    <row r="320" spans="1:1" x14ac:dyDescent="0.35">
      <c r="A320" t="s">
        <v>323</v>
      </c>
    </row>
    <row r="321" spans="1:18" x14ac:dyDescent="0.35">
      <c r="A321" t="s">
        <v>324</v>
      </c>
    </row>
    <row r="322" spans="1:18" x14ac:dyDescent="0.35">
      <c r="A322" t="s">
        <v>325</v>
      </c>
    </row>
    <row r="323" spans="1:18" x14ac:dyDescent="0.35">
      <c r="A323" t="s">
        <v>326</v>
      </c>
    </row>
    <row r="324" spans="1:18" x14ac:dyDescent="0.35">
      <c r="A324" t="s">
        <v>327</v>
      </c>
    </row>
    <row r="325" spans="1:18" x14ac:dyDescent="0.35">
      <c r="A325" t="s">
        <v>328</v>
      </c>
    </row>
    <row r="326" spans="1:18" x14ac:dyDescent="0.35">
      <c r="A326" t="s">
        <v>329</v>
      </c>
    </row>
    <row r="327" spans="1:18" x14ac:dyDescent="0.35">
      <c r="A327" t="s">
        <v>330</v>
      </c>
    </row>
    <row r="328" spans="1:18" x14ac:dyDescent="0.35">
      <c r="A328" t="s">
        <v>331</v>
      </c>
    </row>
    <row r="329" spans="1:18" x14ac:dyDescent="0.35">
      <c r="A329" t="s">
        <v>332</v>
      </c>
    </row>
    <row r="330" spans="1:18" x14ac:dyDescent="0.35">
      <c r="A330" t="s">
        <v>333</v>
      </c>
    </row>
    <row r="331" spans="1:18" x14ac:dyDescent="0.35">
      <c r="A331" t="s">
        <v>334</v>
      </c>
    </row>
    <row r="332" spans="1:18" x14ac:dyDescent="0.35">
      <c r="A332" t="s">
        <v>335</v>
      </c>
    </row>
    <row r="333" spans="1:18" x14ac:dyDescent="0.35">
      <c r="A333" s="20" t="s">
        <v>336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</row>
    <row r="334" spans="1:18" x14ac:dyDescent="0.35">
      <c r="A334" t="s">
        <v>337</v>
      </c>
    </row>
    <row r="335" spans="1:18" x14ac:dyDescent="0.35">
      <c r="A335" t="s">
        <v>338</v>
      </c>
    </row>
    <row r="336" spans="1:18" x14ac:dyDescent="0.35">
      <c r="A336" t="s">
        <v>339</v>
      </c>
    </row>
    <row r="337" spans="1:1" x14ac:dyDescent="0.35">
      <c r="A337" t="s">
        <v>340</v>
      </c>
    </row>
    <row r="338" spans="1:1" x14ac:dyDescent="0.35">
      <c r="A338" t="s">
        <v>341</v>
      </c>
    </row>
    <row r="339" spans="1:1" x14ac:dyDescent="0.35">
      <c r="A339" t="s">
        <v>342</v>
      </c>
    </row>
    <row r="340" spans="1:1" x14ac:dyDescent="0.35">
      <c r="A340" t="s">
        <v>343</v>
      </c>
    </row>
    <row r="341" spans="1:1" x14ac:dyDescent="0.35">
      <c r="A341" t="s">
        <v>344</v>
      </c>
    </row>
    <row r="342" spans="1:1" x14ac:dyDescent="0.35">
      <c r="A342" t="s">
        <v>345</v>
      </c>
    </row>
    <row r="343" spans="1:1" x14ac:dyDescent="0.35">
      <c r="A343" t="s">
        <v>346</v>
      </c>
    </row>
    <row r="344" spans="1:1" x14ac:dyDescent="0.35">
      <c r="A344" t="s">
        <v>347</v>
      </c>
    </row>
    <row r="345" spans="1:1" x14ac:dyDescent="0.35">
      <c r="A345" t="s">
        <v>348</v>
      </c>
    </row>
    <row r="346" spans="1:1" x14ac:dyDescent="0.35">
      <c r="A346" t="s">
        <v>349</v>
      </c>
    </row>
    <row r="347" spans="1:1" x14ac:dyDescent="0.35">
      <c r="A347" t="s">
        <v>350</v>
      </c>
    </row>
    <row r="348" spans="1:1" x14ac:dyDescent="0.35">
      <c r="A348" t="s">
        <v>351</v>
      </c>
    </row>
    <row r="349" spans="1:1" x14ac:dyDescent="0.35">
      <c r="A349" t="s">
        <v>352</v>
      </c>
    </row>
    <row r="350" spans="1:1" x14ac:dyDescent="0.35">
      <c r="A350" t="s">
        <v>353</v>
      </c>
    </row>
    <row r="351" spans="1:1" x14ac:dyDescent="0.35">
      <c r="A351" t="s">
        <v>354</v>
      </c>
    </row>
    <row r="352" spans="1:1" x14ac:dyDescent="0.35">
      <c r="A352" t="s">
        <v>355</v>
      </c>
    </row>
    <row r="353" spans="1:18" x14ac:dyDescent="0.35">
      <c r="A353" t="s">
        <v>356</v>
      </c>
    </row>
    <row r="354" spans="1:18" x14ac:dyDescent="0.35">
      <c r="A354" t="s">
        <v>357</v>
      </c>
    </row>
    <row r="355" spans="1:18" x14ac:dyDescent="0.35">
      <c r="A355" t="s">
        <v>358</v>
      </c>
    </row>
    <row r="356" spans="1:18" x14ac:dyDescent="0.35">
      <c r="A356" t="s">
        <v>359</v>
      </c>
    </row>
    <row r="357" spans="1:18" x14ac:dyDescent="0.35">
      <c r="A357" t="s">
        <v>360</v>
      </c>
    </row>
    <row r="358" spans="1:18" x14ac:dyDescent="0.35">
      <c r="A358" t="s">
        <v>361</v>
      </c>
    </row>
    <row r="359" spans="1:18" x14ac:dyDescent="0.35">
      <c r="A359" t="s">
        <v>362</v>
      </c>
    </row>
    <row r="360" spans="1:18" x14ac:dyDescent="0.35">
      <c r="A360" t="s">
        <v>363</v>
      </c>
    </row>
    <row r="361" spans="1:18" x14ac:dyDescent="0.35">
      <c r="A361" t="s">
        <v>364</v>
      </c>
    </row>
    <row r="362" spans="1:18" x14ac:dyDescent="0.35">
      <c r="A362" t="s">
        <v>365</v>
      </c>
    </row>
    <row r="363" spans="1:18" x14ac:dyDescent="0.35">
      <c r="A363" s="20" t="s">
        <v>366</v>
      </c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</row>
    <row r="364" spans="1:18" x14ac:dyDescent="0.35">
      <c r="A364" t="s">
        <v>367</v>
      </c>
    </row>
    <row r="365" spans="1:18" x14ac:dyDescent="0.35">
      <c r="A365" t="s">
        <v>368</v>
      </c>
    </row>
    <row r="366" spans="1:18" x14ac:dyDescent="0.35">
      <c r="A366" t="s">
        <v>369</v>
      </c>
    </row>
    <row r="367" spans="1:18" x14ac:dyDescent="0.35">
      <c r="A367" t="s">
        <v>370</v>
      </c>
    </row>
    <row r="368" spans="1:18" x14ac:dyDescent="0.35">
      <c r="A368" t="s">
        <v>371</v>
      </c>
    </row>
    <row r="369" spans="1:1" x14ac:dyDescent="0.35">
      <c r="A369" t="s">
        <v>372</v>
      </c>
    </row>
    <row r="370" spans="1:1" x14ac:dyDescent="0.35">
      <c r="A370" t="s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70"/>
  <sheetViews>
    <sheetView workbookViewId="0">
      <selection activeCell="A2" sqref="A2:XFD3"/>
    </sheetView>
  </sheetViews>
  <sheetFormatPr defaultRowHeight="14.5" x14ac:dyDescent="0.35"/>
  <cols>
    <col min="18" max="18" width="13.7265625" bestFit="1" customWidth="1"/>
  </cols>
  <sheetData>
    <row r="2" spans="1:18" x14ac:dyDescent="0.35">
      <c r="B2" t="s">
        <v>2379</v>
      </c>
      <c r="D2" s="1"/>
      <c r="E2" s="1" t="s">
        <v>2</v>
      </c>
      <c r="F2" s="1" t="s">
        <v>2376</v>
      </c>
      <c r="G2" s="2" t="s">
        <v>2377</v>
      </c>
      <c r="H2" s="1" t="s">
        <v>2378</v>
      </c>
      <c r="I2" s="1"/>
      <c r="J2" s="1"/>
      <c r="K2" s="1" t="s">
        <v>2381</v>
      </c>
      <c r="L2" s="1"/>
      <c r="M2" s="1"/>
      <c r="N2" s="1" t="s">
        <v>2376</v>
      </c>
      <c r="O2" s="2" t="s">
        <v>2377</v>
      </c>
      <c r="P2" s="1" t="s">
        <v>2378</v>
      </c>
      <c r="Q2" s="1"/>
      <c r="R2" s="1"/>
    </row>
    <row r="3" spans="1:18" x14ac:dyDescent="0.35">
      <c r="B3" t="s">
        <v>2380</v>
      </c>
      <c r="C3" s="3" t="s">
        <v>1</v>
      </c>
      <c r="E3" t="s">
        <v>0</v>
      </c>
      <c r="F3" s="4" t="s">
        <v>0</v>
      </c>
      <c r="G3" s="5">
        <v>0.25119999999999998</v>
      </c>
      <c r="K3" t="s">
        <v>2380</v>
      </c>
      <c r="L3" s="3" t="s">
        <v>1</v>
      </c>
      <c r="N3" s="4" t="s">
        <v>0</v>
      </c>
      <c r="O3" s="4">
        <v>0.25059999999999999</v>
      </c>
      <c r="R3" t="s">
        <v>3</v>
      </c>
    </row>
    <row r="4" spans="1:18" s="6" customFormat="1" x14ac:dyDescent="0.35">
      <c r="A4" s="6" t="s">
        <v>4</v>
      </c>
      <c r="B4" s="6" t="s">
        <v>5</v>
      </c>
      <c r="C4" s="6">
        <v>1</v>
      </c>
      <c r="D4" s="7">
        <v>1.5E-3</v>
      </c>
      <c r="E4" s="6">
        <v>33000</v>
      </c>
      <c r="F4" s="8">
        <f>E4*0.15%</f>
        <v>49.5</v>
      </c>
      <c r="G4" s="9">
        <f>F4*25.2%</f>
        <v>12.474</v>
      </c>
      <c r="H4" s="6">
        <f>G4+E4</f>
        <v>33012.474000000002</v>
      </c>
      <c r="I4" s="10">
        <v>0.27</v>
      </c>
      <c r="J4" s="10"/>
      <c r="K4" s="10" t="s">
        <v>6</v>
      </c>
      <c r="L4" s="6">
        <v>2</v>
      </c>
      <c r="M4" s="7">
        <v>1E-3</v>
      </c>
      <c r="N4" s="6">
        <f>H4*0.1%</f>
        <v>33.012474000000005</v>
      </c>
      <c r="O4" s="11">
        <f>N4*25.2%</f>
        <v>8.3191434480000019</v>
      </c>
      <c r="P4" s="6">
        <f>O4+H4</f>
        <v>33020.793143448005</v>
      </c>
      <c r="Q4" s="12">
        <v>0.35</v>
      </c>
      <c r="R4" s="6">
        <f>O4+G4</f>
        <v>20.793143448000002</v>
      </c>
    </row>
    <row r="5" spans="1:18" x14ac:dyDescent="0.35">
      <c r="A5" t="s">
        <v>7</v>
      </c>
      <c r="B5" t="s">
        <v>5</v>
      </c>
      <c r="C5">
        <v>3</v>
      </c>
      <c r="E5">
        <f>P4</f>
        <v>33020.793143448005</v>
      </c>
      <c r="F5" s="8">
        <f t="shared" ref="F5:F8" si="0">E5*0.15%</f>
        <v>49.531189715172012</v>
      </c>
      <c r="G5" s="9">
        <f t="shared" ref="G5:G68" si="1">F5*25.2%</f>
        <v>12.481859808223348</v>
      </c>
      <c r="H5">
        <f t="shared" ref="H5:H68" si="2">G5+E5</f>
        <v>33033.275003256225</v>
      </c>
      <c r="K5" t="s">
        <v>6</v>
      </c>
      <c r="L5">
        <v>4</v>
      </c>
      <c r="N5" s="6">
        <f t="shared" ref="N5:N8" si="3">H5*0.1%</f>
        <v>33.033275003256229</v>
      </c>
      <c r="O5" s="11">
        <f t="shared" ref="O5:O68" si="4">N5*25.2%</f>
        <v>8.3243853008205697</v>
      </c>
      <c r="P5">
        <f t="shared" ref="P5:P68" si="5">O5+H5</f>
        <v>33041.599388557042</v>
      </c>
      <c r="R5">
        <f t="shared" ref="R5:R68" si="6">O5+G5</f>
        <v>20.806245109043918</v>
      </c>
    </row>
    <row r="6" spans="1:18" x14ac:dyDescent="0.35">
      <c r="A6" t="s">
        <v>8</v>
      </c>
      <c r="B6" t="s">
        <v>5</v>
      </c>
      <c r="C6">
        <v>5</v>
      </c>
      <c r="E6">
        <f t="shared" ref="E6:E69" si="7">P5</f>
        <v>33041.599388557042</v>
      </c>
      <c r="F6" s="8">
        <f t="shared" si="0"/>
        <v>49.562399082835562</v>
      </c>
      <c r="G6" s="9">
        <f t="shared" si="1"/>
        <v>12.489724568874562</v>
      </c>
      <c r="H6">
        <f t="shared" si="2"/>
        <v>33054.08911312592</v>
      </c>
      <c r="K6" t="s">
        <v>6</v>
      </c>
      <c r="L6">
        <v>6</v>
      </c>
      <c r="N6" s="6">
        <f t="shared" si="3"/>
        <v>33.054089113125919</v>
      </c>
      <c r="O6" s="11">
        <f t="shared" si="4"/>
        <v>8.329630456507731</v>
      </c>
      <c r="P6">
        <f t="shared" si="5"/>
        <v>33062.418743582428</v>
      </c>
      <c r="R6">
        <f t="shared" si="6"/>
        <v>20.819355025382293</v>
      </c>
    </row>
    <row r="7" spans="1:18" x14ac:dyDescent="0.35">
      <c r="A7" t="s">
        <v>9</v>
      </c>
      <c r="B7" t="s">
        <v>5</v>
      </c>
      <c r="C7">
        <v>7</v>
      </c>
      <c r="E7">
        <f t="shared" si="7"/>
        <v>33062.418743582428</v>
      </c>
      <c r="F7" s="8">
        <f t="shared" si="0"/>
        <v>49.59362811537364</v>
      </c>
      <c r="G7" s="9">
        <f t="shared" si="1"/>
        <v>12.497594285074157</v>
      </c>
      <c r="H7">
        <f t="shared" si="2"/>
        <v>33074.9163378675</v>
      </c>
      <c r="K7" t="s">
        <v>6</v>
      </c>
      <c r="L7">
        <v>8</v>
      </c>
      <c r="N7" s="6">
        <f t="shared" si="3"/>
        <v>33.074916337867499</v>
      </c>
      <c r="O7" s="11">
        <f t="shared" si="4"/>
        <v>8.3348789171426105</v>
      </c>
      <c r="P7">
        <f t="shared" si="5"/>
        <v>33083.251216784643</v>
      </c>
      <c r="R7">
        <f t="shared" si="6"/>
        <v>20.832473202216768</v>
      </c>
    </row>
    <row r="8" spans="1:18" x14ac:dyDescent="0.35">
      <c r="A8" t="s">
        <v>10</v>
      </c>
      <c r="B8" t="s">
        <v>5</v>
      </c>
      <c r="C8">
        <v>9</v>
      </c>
      <c r="E8">
        <f t="shared" si="7"/>
        <v>33083.251216784643</v>
      </c>
      <c r="F8" s="8">
        <f t="shared" si="0"/>
        <v>49.624876825176969</v>
      </c>
      <c r="G8" s="9">
        <f t="shared" si="1"/>
        <v>12.505468959944595</v>
      </c>
      <c r="H8">
        <f t="shared" si="2"/>
        <v>33095.756685744585</v>
      </c>
      <c r="K8" t="s">
        <v>6</v>
      </c>
      <c r="L8">
        <v>10</v>
      </c>
      <c r="N8" s="6">
        <f t="shared" si="3"/>
        <v>33.095756685744583</v>
      </c>
      <c r="O8" s="11">
        <f t="shared" si="4"/>
        <v>8.3401306848076349</v>
      </c>
      <c r="P8">
        <f t="shared" si="5"/>
        <v>33104.096816429395</v>
      </c>
      <c r="R8">
        <f t="shared" si="6"/>
        <v>20.84559964475223</v>
      </c>
    </row>
    <row r="9" spans="1:18" s="6" customFormat="1" x14ac:dyDescent="0.35">
      <c r="A9" s="6" t="s">
        <v>11</v>
      </c>
      <c r="B9" s="6" t="s">
        <v>6</v>
      </c>
      <c r="C9" s="6">
        <v>11</v>
      </c>
      <c r="D9" s="7">
        <v>5.0000000000000001E-4</v>
      </c>
      <c r="E9" s="6">
        <f t="shared" si="7"/>
        <v>33104.096816429395</v>
      </c>
      <c r="F9" s="8">
        <f>E9*0.05%</f>
        <v>16.552048408214699</v>
      </c>
      <c r="G9" s="9">
        <f t="shared" si="1"/>
        <v>4.171116198870104</v>
      </c>
      <c r="H9" s="6">
        <f t="shared" si="2"/>
        <v>33108.267932628267</v>
      </c>
      <c r="K9" s="6" t="s">
        <v>12</v>
      </c>
      <c r="L9" s="6">
        <v>12</v>
      </c>
      <c r="M9" s="7">
        <v>2E-3</v>
      </c>
      <c r="N9" s="6">
        <f>H9*0.2%</f>
        <v>66.216535865256532</v>
      </c>
      <c r="O9" s="11">
        <f t="shared" si="4"/>
        <v>16.686567038044647</v>
      </c>
      <c r="P9" s="6">
        <f t="shared" si="5"/>
        <v>33124.95449966631</v>
      </c>
      <c r="R9" s="6">
        <f t="shared" si="6"/>
        <v>20.857683236914752</v>
      </c>
    </row>
    <row r="10" spans="1:18" x14ac:dyDescent="0.35">
      <c r="A10" t="s">
        <v>13</v>
      </c>
      <c r="B10" t="s">
        <v>6</v>
      </c>
      <c r="C10">
        <v>13</v>
      </c>
      <c r="E10">
        <f t="shared" si="7"/>
        <v>33124.95449966631</v>
      </c>
      <c r="F10" s="8">
        <f t="shared" ref="F10:F13" si="8">E10*0.05%</f>
        <v>16.562477249833155</v>
      </c>
      <c r="G10" s="9">
        <f t="shared" si="1"/>
        <v>4.1737442669579545</v>
      </c>
      <c r="H10">
        <f t="shared" si="2"/>
        <v>33129.128243933264</v>
      </c>
      <c r="K10" t="s">
        <v>12</v>
      </c>
      <c r="L10">
        <v>14</v>
      </c>
      <c r="N10" s="6">
        <f t="shared" ref="N10:N13" si="9">H10*0.2%</f>
        <v>66.258256487866532</v>
      </c>
      <c r="O10" s="11">
        <f t="shared" si="4"/>
        <v>16.697080634942367</v>
      </c>
      <c r="P10">
        <f t="shared" si="5"/>
        <v>33145.825324568206</v>
      </c>
      <c r="R10">
        <f t="shared" si="6"/>
        <v>20.87082490190032</v>
      </c>
    </row>
    <row r="11" spans="1:18" x14ac:dyDescent="0.35">
      <c r="A11" t="s">
        <v>14</v>
      </c>
      <c r="B11" t="s">
        <v>6</v>
      </c>
      <c r="C11">
        <v>15</v>
      </c>
      <c r="E11">
        <f t="shared" si="7"/>
        <v>33145.825324568206</v>
      </c>
      <c r="F11" s="8">
        <f t="shared" si="8"/>
        <v>16.572912662284104</v>
      </c>
      <c r="G11" s="9">
        <f t="shared" si="1"/>
        <v>4.1763739908955939</v>
      </c>
      <c r="H11">
        <f t="shared" si="2"/>
        <v>33150.001698559099</v>
      </c>
      <c r="K11" t="s">
        <v>12</v>
      </c>
      <c r="L11">
        <v>16</v>
      </c>
      <c r="N11" s="6">
        <f t="shared" si="9"/>
        <v>66.300003397118203</v>
      </c>
      <c r="O11" s="11">
        <f t="shared" si="4"/>
        <v>16.707600856073789</v>
      </c>
      <c r="P11">
        <f t="shared" si="5"/>
        <v>33166.709299415175</v>
      </c>
      <c r="R11">
        <f t="shared" si="6"/>
        <v>20.883974846969384</v>
      </c>
    </row>
    <row r="12" spans="1:18" x14ac:dyDescent="0.35">
      <c r="A12" t="s">
        <v>15</v>
      </c>
      <c r="B12" t="s">
        <v>6</v>
      </c>
      <c r="C12">
        <v>17</v>
      </c>
      <c r="E12">
        <f t="shared" si="7"/>
        <v>33166.709299415175</v>
      </c>
      <c r="F12" s="8">
        <f t="shared" si="8"/>
        <v>16.583354649707587</v>
      </c>
      <c r="G12" s="9">
        <f t="shared" si="1"/>
        <v>4.179005371726312</v>
      </c>
      <c r="H12">
        <f t="shared" si="2"/>
        <v>33170.888304786902</v>
      </c>
      <c r="K12" t="s">
        <v>12</v>
      </c>
      <c r="L12">
        <v>18</v>
      </c>
      <c r="N12" s="6">
        <f t="shared" si="9"/>
        <v>66.341776609573799</v>
      </c>
      <c r="O12" s="11">
        <f t="shared" si="4"/>
        <v>16.718127705612599</v>
      </c>
      <c r="P12">
        <f t="shared" si="5"/>
        <v>33187.606432492517</v>
      </c>
      <c r="R12">
        <f t="shared" si="6"/>
        <v>20.897133077338911</v>
      </c>
    </row>
    <row r="13" spans="1:18" x14ac:dyDescent="0.35">
      <c r="A13" t="s">
        <v>16</v>
      </c>
      <c r="B13" t="s">
        <v>6</v>
      </c>
      <c r="C13">
        <v>19</v>
      </c>
      <c r="E13">
        <f t="shared" si="7"/>
        <v>33187.606432492517</v>
      </c>
      <c r="F13" s="8">
        <f t="shared" si="8"/>
        <v>16.593803216246258</v>
      </c>
      <c r="G13" s="9">
        <f t="shared" si="1"/>
        <v>4.1816384104940569</v>
      </c>
      <c r="H13">
        <f t="shared" si="2"/>
        <v>33191.788070903014</v>
      </c>
      <c r="K13" t="s">
        <v>12</v>
      </c>
      <c r="L13">
        <v>20</v>
      </c>
      <c r="N13" s="6">
        <f t="shared" si="9"/>
        <v>66.383576141806032</v>
      </c>
      <c r="O13" s="11">
        <f t="shared" si="4"/>
        <v>16.728661187735121</v>
      </c>
      <c r="P13">
        <f t="shared" si="5"/>
        <v>33208.516732090749</v>
      </c>
      <c r="R13">
        <f t="shared" si="6"/>
        <v>20.910299598229177</v>
      </c>
    </row>
    <row r="14" spans="1:18" s="6" customFormat="1" x14ac:dyDescent="0.35">
      <c r="A14" s="6" t="s">
        <v>17</v>
      </c>
      <c r="B14" s="6" t="s">
        <v>6</v>
      </c>
      <c r="C14" s="6">
        <v>21</v>
      </c>
      <c r="D14" s="7">
        <v>1.5E-3</v>
      </c>
      <c r="E14" s="6">
        <f t="shared" si="7"/>
        <v>33208.516732090749</v>
      </c>
      <c r="F14" s="8">
        <f>E14*0.15%</f>
        <v>49.812775098136122</v>
      </c>
      <c r="G14" s="9">
        <f t="shared" si="1"/>
        <v>12.552819324730303</v>
      </c>
      <c r="H14" s="6">
        <f t="shared" si="2"/>
        <v>33221.06955141548</v>
      </c>
      <c r="K14" s="6" t="s">
        <v>6</v>
      </c>
      <c r="L14" s="6">
        <v>22</v>
      </c>
      <c r="M14" s="7">
        <v>1E-3</v>
      </c>
      <c r="N14" s="6">
        <f>H14*0.1%</f>
        <v>33.221069551415482</v>
      </c>
      <c r="O14" s="11">
        <f t="shared" si="4"/>
        <v>8.3717095269567015</v>
      </c>
      <c r="P14" s="6">
        <f t="shared" si="5"/>
        <v>33229.44126094244</v>
      </c>
      <c r="R14" s="6">
        <f t="shared" si="6"/>
        <v>20.924528851687004</v>
      </c>
    </row>
    <row r="15" spans="1:18" x14ac:dyDescent="0.35">
      <c r="A15" t="s">
        <v>18</v>
      </c>
      <c r="B15" t="s">
        <v>6</v>
      </c>
      <c r="C15">
        <v>23</v>
      </c>
      <c r="E15">
        <f t="shared" si="7"/>
        <v>33229.44126094244</v>
      </c>
      <c r="F15" s="8">
        <f t="shared" ref="F15:F18" si="10">E15*0.15%</f>
        <v>49.844161891413663</v>
      </c>
      <c r="G15" s="9">
        <f t="shared" si="1"/>
        <v>12.560728796636242</v>
      </c>
      <c r="H15">
        <f t="shared" si="2"/>
        <v>33242.001989739074</v>
      </c>
      <c r="K15" t="s">
        <v>6</v>
      </c>
      <c r="L15">
        <v>24</v>
      </c>
      <c r="N15" s="6">
        <f t="shared" ref="N15:N18" si="11">H15*0.1%</f>
        <v>33.242001989739073</v>
      </c>
      <c r="O15" s="11">
        <f t="shared" si="4"/>
        <v>8.3769845014142472</v>
      </c>
      <c r="P15">
        <f t="shared" si="5"/>
        <v>33250.378974240492</v>
      </c>
      <c r="R15">
        <f t="shared" si="6"/>
        <v>20.93771329805049</v>
      </c>
    </row>
    <row r="16" spans="1:18" x14ac:dyDescent="0.35">
      <c r="A16" t="s">
        <v>19</v>
      </c>
      <c r="B16" t="s">
        <v>6</v>
      </c>
      <c r="C16">
        <v>25</v>
      </c>
      <c r="E16">
        <f t="shared" si="7"/>
        <v>33250.378974240492</v>
      </c>
      <c r="F16" s="8">
        <f t="shared" si="10"/>
        <v>49.875568461360736</v>
      </c>
      <c r="G16" s="9">
        <f t="shared" si="1"/>
        <v>12.568643252262905</v>
      </c>
      <c r="H16">
        <f t="shared" si="2"/>
        <v>33262.947617492755</v>
      </c>
      <c r="K16" t="s">
        <v>6</v>
      </c>
      <c r="L16">
        <v>26</v>
      </c>
      <c r="N16" s="6">
        <f t="shared" si="11"/>
        <v>33.262947617492756</v>
      </c>
      <c r="O16" s="11">
        <f t="shared" si="4"/>
        <v>8.3822627996081742</v>
      </c>
      <c r="P16">
        <f t="shared" si="5"/>
        <v>33271.32988029236</v>
      </c>
      <c r="R16">
        <f t="shared" si="6"/>
        <v>20.95090605187108</v>
      </c>
    </row>
    <row r="17" spans="1:18" x14ac:dyDescent="0.35">
      <c r="A17" t="s">
        <v>20</v>
      </c>
      <c r="B17" t="s">
        <v>6</v>
      </c>
      <c r="C17">
        <v>27</v>
      </c>
      <c r="E17">
        <f t="shared" si="7"/>
        <v>33271.32988029236</v>
      </c>
      <c r="F17" s="8">
        <f t="shared" si="10"/>
        <v>49.906994820438541</v>
      </c>
      <c r="G17" s="9">
        <f t="shared" si="1"/>
        <v>12.576562694750512</v>
      </c>
      <c r="H17">
        <f t="shared" si="2"/>
        <v>33283.906442987114</v>
      </c>
      <c r="K17" t="s">
        <v>6</v>
      </c>
      <c r="L17">
        <v>28</v>
      </c>
      <c r="N17" s="6">
        <f t="shared" si="11"/>
        <v>33.283906442987117</v>
      </c>
      <c r="O17" s="11">
        <f t="shared" si="4"/>
        <v>8.3875444236327539</v>
      </c>
      <c r="P17">
        <f t="shared" si="5"/>
        <v>33292.293987410747</v>
      </c>
      <c r="R17">
        <f t="shared" si="6"/>
        <v>20.964107118383268</v>
      </c>
    </row>
    <row r="18" spans="1:18" x14ac:dyDescent="0.35">
      <c r="A18" t="s">
        <v>21</v>
      </c>
      <c r="B18" t="s">
        <v>6</v>
      </c>
      <c r="C18">
        <v>29</v>
      </c>
      <c r="E18">
        <f t="shared" si="7"/>
        <v>33292.293987410747</v>
      </c>
      <c r="F18" s="8">
        <f t="shared" si="10"/>
        <v>49.938440981116123</v>
      </c>
      <c r="G18" s="9">
        <f t="shared" si="1"/>
        <v>12.584487127241264</v>
      </c>
      <c r="H18">
        <f t="shared" si="2"/>
        <v>33304.878474537989</v>
      </c>
      <c r="K18" t="s">
        <v>6</v>
      </c>
      <c r="L18">
        <v>30</v>
      </c>
      <c r="N18" s="6">
        <f t="shared" si="11"/>
        <v>33.304878474537986</v>
      </c>
      <c r="O18" s="11">
        <f t="shared" si="4"/>
        <v>8.3928293755835721</v>
      </c>
      <c r="P18">
        <f t="shared" si="5"/>
        <v>33313.271303913571</v>
      </c>
      <c r="R18">
        <f t="shared" si="6"/>
        <v>20.977316502824834</v>
      </c>
    </row>
    <row r="19" spans="1:18" s="6" customFormat="1" x14ac:dyDescent="0.35">
      <c r="A19" s="6" t="s">
        <v>22</v>
      </c>
      <c r="B19" s="6" t="s">
        <v>5</v>
      </c>
      <c r="C19" s="6">
        <v>31</v>
      </c>
      <c r="D19" s="7">
        <v>2E-3</v>
      </c>
      <c r="E19" s="6">
        <f t="shared" si="7"/>
        <v>33313.271303913571</v>
      </c>
      <c r="F19" s="8">
        <f>E19*0.2%</f>
        <v>66.626542607827147</v>
      </c>
      <c r="G19" s="9">
        <f t="shared" si="1"/>
        <v>16.78988873717244</v>
      </c>
      <c r="H19" s="6">
        <f t="shared" si="2"/>
        <v>33330.061192650741</v>
      </c>
      <c r="K19" s="6" t="s">
        <v>12</v>
      </c>
      <c r="L19" s="6">
        <v>32</v>
      </c>
      <c r="M19" s="7">
        <v>2.5000000000000001E-3</v>
      </c>
      <c r="N19" s="6">
        <f>H19*0.25%</f>
        <v>83.325152981626857</v>
      </c>
      <c r="O19" s="11">
        <f t="shared" si="4"/>
        <v>20.99793855136997</v>
      </c>
      <c r="P19" s="6">
        <f t="shared" si="5"/>
        <v>33351.059131202113</v>
      </c>
      <c r="R19" s="6">
        <f t="shared" si="6"/>
        <v>37.78782728854241</v>
      </c>
    </row>
    <row r="20" spans="1:18" x14ac:dyDescent="0.35">
      <c r="A20" t="s">
        <v>23</v>
      </c>
      <c r="B20" t="s">
        <v>5</v>
      </c>
      <c r="C20">
        <v>33</v>
      </c>
      <c r="E20">
        <f t="shared" si="7"/>
        <v>33351.059131202113</v>
      </c>
      <c r="F20" s="8">
        <f t="shared" ref="F20:F23" si="12">E20*0.2%</f>
        <v>66.702118262404227</v>
      </c>
      <c r="G20" s="9">
        <f t="shared" si="1"/>
        <v>16.808933802125864</v>
      </c>
      <c r="H20">
        <f t="shared" si="2"/>
        <v>33367.868065004237</v>
      </c>
      <c r="K20" t="s">
        <v>12</v>
      </c>
      <c r="L20">
        <v>34</v>
      </c>
      <c r="N20" s="6">
        <f t="shared" ref="N20:N23" si="13">H20*0.25%</f>
        <v>83.419670162510599</v>
      </c>
      <c r="O20" s="11">
        <f t="shared" si="4"/>
        <v>21.021756880952672</v>
      </c>
      <c r="P20">
        <f t="shared" si="5"/>
        <v>33388.88982188519</v>
      </c>
      <c r="R20">
        <f t="shared" si="6"/>
        <v>37.830690683078537</v>
      </c>
    </row>
    <row r="21" spans="1:18" x14ac:dyDescent="0.35">
      <c r="A21" t="s">
        <v>24</v>
      </c>
      <c r="B21" t="s">
        <v>5</v>
      </c>
      <c r="C21">
        <v>35</v>
      </c>
      <c r="E21">
        <f t="shared" si="7"/>
        <v>33388.88982188519</v>
      </c>
      <c r="F21" s="8">
        <f t="shared" si="12"/>
        <v>66.777779643770387</v>
      </c>
      <c r="G21" s="9">
        <f t="shared" si="1"/>
        <v>16.828000470230137</v>
      </c>
      <c r="H21">
        <f t="shared" si="2"/>
        <v>33405.717822355422</v>
      </c>
      <c r="K21" t="s">
        <v>12</v>
      </c>
      <c r="L21">
        <v>36</v>
      </c>
      <c r="N21" s="6">
        <f t="shared" si="13"/>
        <v>83.514294555888554</v>
      </c>
      <c r="O21" s="11">
        <f t="shared" si="4"/>
        <v>21.045602228083915</v>
      </c>
      <c r="P21">
        <f t="shared" si="5"/>
        <v>33426.763424583507</v>
      </c>
      <c r="R21">
        <f t="shared" si="6"/>
        <v>37.873602698314052</v>
      </c>
    </row>
    <row r="22" spans="1:18" x14ac:dyDescent="0.35">
      <c r="A22" t="s">
        <v>25</v>
      </c>
      <c r="B22" t="s">
        <v>5</v>
      </c>
      <c r="C22">
        <v>37</v>
      </c>
      <c r="E22">
        <f t="shared" si="7"/>
        <v>33426.763424583507</v>
      </c>
      <c r="F22" s="8">
        <f t="shared" si="12"/>
        <v>66.853526849167011</v>
      </c>
      <c r="G22" s="9">
        <f t="shared" si="1"/>
        <v>16.847088765990087</v>
      </c>
      <c r="H22">
        <f t="shared" si="2"/>
        <v>33443.6105133495</v>
      </c>
      <c r="K22" t="s">
        <v>12</v>
      </c>
      <c r="L22">
        <v>38</v>
      </c>
      <c r="N22" s="6">
        <f t="shared" si="13"/>
        <v>83.609026283373751</v>
      </c>
      <c r="O22" s="11">
        <f t="shared" si="4"/>
        <v>21.069474623410187</v>
      </c>
      <c r="P22">
        <f t="shared" si="5"/>
        <v>33464.679987972908</v>
      </c>
      <c r="R22">
        <f t="shared" si="6"/>
        <v>37.916563389400274</v>
      </c>
    </row>
    <row r="23" spans="1:18" x14ac:dyDescent="0.35">
      <c r="A23" t="s">
        <v>26</v>
      </c>
      <c r="B23" t="s">
        <v>5</v>
      </c>
      <c r="C23">
        <v>39</v>
      </c>
      <c r="E23">
        <f t="shared" si="7"/>
        <v>33464.679987972908</v>
      </c>
      <c r="F23" s="8">
        <f t="shared" si="12"/>
        <v>66.929359975945815</v>
      </c>
      <c r="G23" s="9">
        <f t="shared" si="1"/>
        <v>16.866198713938346</v>
      </c>
      <c r="H23">
        <f t="shared" si="2"/>
        <v>33481.546186686843</v>
      </c>
      <c r="K23" t="s">
        <v>12</v>
      </c>
      <c r="L23">
        <v>40</v>
      </c>
      <c r="N23" s="6">
        <f t="shared" si="13"/>
        <v>83.703865466717104</v>
      </c>
      <c r="O23" s="11">
        <f t="shared" si="4"/>
        <v>21.09337409761271</v>
      </c>
      <c r="P23">
        <f t="shared" si="5"/>
        <v>33502.639560784453</v>
      </c>
      <c r="R23">
        <f t="shared" si="6"/>
        <v>37.959572811551055</v>
      </c>
    </row>
    <row r="24" spans="1:18" s="6" customFormat="1" x14ac:dyDescent="0.35">
      <c r="A24" s="6" t="s">
        <v>27</v>
      </c>
      <c r="B24" s="6" t="s">
        <v>5</v>
      </c>
      <c r="C24" s="6">
        <v>41</v>
      </c>
      <c r="D24" s="7">
        <v>2.5000000000000001E-3</v>
      </c>
      <c r="E24" s="6">
        <f t="shared" si="7"/>
        <v>33502.639560784453</v>
      </c>
      <c r="F24" s="8">
        <f>E24*0.25%</f>
        <v>83.756598901961141</v>
      </c>
      <c r="G24" s="9">
        <f t="shared" si="1"/>
        <v>21.106662923294209</v>
      </c>
      <c r="H24" s="6">
        <f t="shared" si="2"/>
        <v>33523.746223707749</v>
      </c>
      <c r="K24" s="6" t="s">
        <v>6</v>
      </c>
      <c r="L24" s="6">
        <v>42</v>
      </c>
      <c r="M24" s="7">
        <v>2E-3</v>
      </c>
      <c r="N24" s="6">
        <f>H24*0.2%</f>
        <v>67.047492447415493</v>
      </c>
      <c r="O24" s="11">
        <f t="shared" si="4"/>
        <v>16.895968096748703</v>
      </c>
      <c r="P24" s="6">
        <f t="shared" si="5"/>
        <v>33540.642191804494</v>
      </c>
      <c r="R24" s="6">
        <f t="shared" si="6"/>
        <v>38.002631020042912</v>
      </c>
    </row>
    <row r="25" spans="1:18" x14ac:dyDescent="0.35">
      <c r="A25" t="s">
        <v>28</v>
      </c>
      <c r="B25" t="s">
        <v>5</v>
      </c>
      <c r="C25">
        <v>43</v>
      </c>
      <c r="E25">
        <f t="shared" si="7"/>
        <v>33540.642191804494</v>
      </c>
      <c r="F25" s="8">
        <f t="shared" ref="F25:F28" si="14">E25*0.25%</f>
        <v>83.851605479511235</v>
      </c>
      <c r="G25" s="9">
        <f t="shared" si="1"/>
        <v>21.130604580836831</v>
      </c>
      <c r="H25">
        <f t="shared" si="2"/>
        <v>33561.772796385332</v>
      </c>
      <c r="K25" t="s">
        <v>6</v>
      </c>
      <c r="L25">
        <v>44</v>
      </c>
      <c r="N25" s="6">
        <f t="shared" ref="N25:N28" si="15">H25*0.2%</f>
        <v>67.123545592770668</v>
      </c>
      <c r="O25" s="11">
        <f t="shared" si="4"/>
        <v>16.91513348937821</v>
      </c>
      <c r="P25">
        <f t="shared" si="5"/>
        <v>33578.687929874708</v>
      </c>
      <c r="R25">
        <f t="shared" si="6"/>
        <v>38.045738070215037</v>
      </c>
    </row>
    <row r="26" spans="1:18" x14ac:dyDescent="0.35">
      <c r="A26" t="s">
        <v>29</v>
      </c>
      <c r="B26" t="s">
        <v>5</v>
      </c>
      <c r="C26">
        <v>45</v>
      </c>
      <c r="E26">
        <f t="shared" si="7"/>
        <v>33578.687929874708</v>
      </c>
      <c r="F26" s="8">
        <f t="shared" si="14"/>
        <v>83.946719824686767</v>
      </c>
      <c r="G26" s="9">
        <f t="shared" si="1"/>
        <v>21.154573395821064</v>
      </c>
      <c r="H26">
        <f t="shared" si="2"/>
        <v>33599.842503270527</v>
      </c>
      <c r="K26" t="s">
        <v>6</v>
      </c>
      <c r="L26">
        <v>46</v>
      </c>
      <c r="N26" s="6">
        <f t="shared" si="15"/>
        <v>67.19968500654106</v>
      </c>
      <c r="O26" s="11">
        <f t="shared" si="4"/>
        <v>16.934320621648347</v>
      </c>
      <c r="P26">
        <f t="shared" si="5"/>
        <v>33616.776823892178</v>
      </c>
      <c r="R26">
        <f t="shared" si="6"/>
        <v>38.088894017469414</v>
      </c>
    </row>
    <row r="27" spans="1:18" x14ac:dyDescent="0.35">
      <c r="A27" t="s">
        <v>30</v>
      </c>
      <c r="B27" t="s">
        <v>5</v>
      </c>
      <c r="C27">
        <v>47</v>
      </c>
      <c r="E27">
        <f t="shared" si="7"/>
        <v>33616.776823892178</v>
      </c>
      <c r="F27" s="8">
        <f t="shared" si="14"/>
        <v>84.041942059730445</v>
      </c>
      <c r="G27" s="9">
        <f t="shared" si="1"/>
        <v>21.178569399052073</v>
      </c>
      <c r="H27">
        <f t="shared" si="2"/>
        <v>33637.955393291231</v>
      </c>
      <c r="K27" t="s">
        <v>6</v>
      </c>
      <c r="L27">
        <v>48</v>
      </c>
      <c r="N27" s="6">
        <f t="shared" si="15"/>
        <v>67.275910786582457</v>
      </c>
      <c r="O27" s="11">
        <f t="shared" si="4"/>
        <v>16.95352951821878</v>
      </c>
      <c r="P27">
        <f t="shared" si="5"/>
        <v>33654.908922809453</v>
      </c>
      <c r="R27">
        <f t="shared" si="6"/>
        <v>38.132098917270852</v>
      </c>
    </row>
    <row r="28" spans="1:18" x14ac:dyDescent="0.35">
      <c r="A28" t="s">
        <v>31</v>
      </c>
      <c r="B28" t="s">
        <v>5</v>
      </c>
      <c r="C28">
        <v>49</v>
      </c>
      <c r="E28">
        <f t="shared" si="7"/>
        <v>33654.908922809453</v>
      </c>
      <c r="F28" s="8">
        <f t="shared" si="14"/>
        <v>84.137272307023636</v>
      </c>
      <c r="G28" s="9">
        <f t="shared" si="1"/>
        <v>21.202592621369956</v>
      </c>
      <c r="H28">
        <f t="shared" si="2"/>
        <v>33676.111515430821</v>
      </c>
      <c r="K28" t="s">
        <v>6</v>
      </c>
      <c r="L28">
        <v>50</v>
      </c>
      <c r="N28" s="6">
        <f t="shared" si="15"/>
        <v>67.352223030861637</v>
      </c>
      <c r="O28" s="11">
        <f t="shared" si="4"/>
        <v>16.972760203777131</v>
      </c>
      <c r="P28">
        <f t="shared" si="5"/>
        <v>33693.084275634596</v>
      </c>
      <c r="R28">
        <f t="shared" si="6"/>
        <v>38.175352825147087</v>
      </c>
    </row>
    <row r="29" spans="1:18" s="6" customFormat="1" x14ac:dyDescent="0.35">
      <c r="A29" s="6" t="s">
        <v>32</v>
      </c>
      <c r="B29" s="6" t="s">
        <v>5</v>
      </c>
      <c r="C29" s="6">
        <v>51</v>
      </c>
      <c r="D29" s="7">
        <v>3.0000000000000001E-3</v>
      </c>
      <c r="E29" s="6">
        <f t="shared" si="7"/>
        <v>33693.084275634596</v>
      </c>
      <c r="F29" s="8">
        <f>E29*0.3%</f>
        <v>101.07925282690378</v>
      </c>
      <c r="G29" s="9">
        <f t="shared" si="1"/>
        <v>25.471971712379755</v>
      </c>
      <c r="H29" s="6">
        <f t="shared" si="2"/>
        <v>33718.556247346976</v>
      </c>
      <c r="K29" s="6" t="s">
        <v>12</v>
      </c>
      <c r="L29" s="6">
        <v>52</v>
      </c>
      <c r="M29" s="7">
        <v>3.5000000000000001E-3</v>
      </c>
      <c r="N29" s="6">
        <f>H29*0.35%</f>
        <v>118.01494686571441</v>
      </c>
      <c r="O29" s="11">
        <f t="shared" si="4"/>
        <v>29.739766610160032</v>
      </c>
      <c r="P29" s="6">
        <f t="shared" si="5"/>
        <v>33748.296013957137</v>
      </c>
      <c r="R29" s="6">
        <f t="shared" si="6"/>
        <v>55.211738322539787</v>
      </c>
    </row>
    <row r="30" spans="1:18" x14ac:dyDescent="0.35">
      <c r="A30" t="s">
        <v>33</v>
      </c>
      <c r="B30" t="s">
        <v>5</v>
      </c>
      <c r="C30">
        <v>53</v>
      </c>
      <c r="E30">
        <f t="shared" si="7"/>
        <v>33748.296013957137</v>
      </c>
      <c r="F30" s="8">
        <f t="shared" ref="F30:F33" si="16">E30*0.3%</f>
        <v>101.24488804187142</v>
      </c>
      <c r="G30" s="9">
        <f t="shared" si="1"/>
        <v>25.5137117865516</v>
      </c>
      <c r="H30">
        <f t="shared" si="2"/>
        <v>33773.809725743689</v>
      </c>
      <c r="K30" t="s">
        <v>12</v>
      </c>
      <c r="L30">
        <v>54</v>
      </c>
      <c r="N30" s="6">
        <f t="shared" ref="N30:N33" si="17">H30*0.35%</f>
        <v>118.2083340401029</v>
      </c>
      <c r="O30" s="11">
        <f t="shared" si="4"/>
        <v>29.788500178105931</v>
      </c>
      <c r="P30">
        <f t="shared" si="5"/>
        <v>33803.598225921793</v>
      </c>
      <c r="R30">
        <f t="shared" si="6"/>
        <v>55.302211964657531</v>
      </c>
    </row>
    <row r="31" spans="1:18" x14ac:dyDescent="0.35">
      <c r="A31" t="s">
        <v>34</v>
      </c>
      <c r="B31" t="s">
        <v>5</v>
      </c>
      <c r="C31">
        <v>55</v>
      </c>
      <c r="E31">
        <f t="shared" si="7"/>
        <v>33803.598225921793</v>
      </c>
      <c r="F31" s="8">
        <f t="shared" si="16"/>
        <v>101.41079467776538</v>
      </c>
      <c r="G31" s="9">
        <f t="shared" si="1"/>
        <v>25.555520258796875</v>
      </c>
      <c r="H31">
        <f t="shared" si="2"/>
        <v>33829.153746180593</v>
      </c>
      <c r="K31" t="s">
        <v>12</v>
      </c>
      <c r="L31">
        <v>56</v>
      </c>
      <c r="N31" s="6">
        <f t="shared" si="17"/>
        <v>118.40203811163207</v>
      </c>
      <c r="O31" s="11">
        <f t="shared" si="4"/>
        <v>29.837313604131282</v>
      </c>
      <c r="P31">
        <f t="shared" si="5"/>
        <v>33858.991059784727</v>
      </c>
      <c r="R31">
        <f t="shared" si="6"/>
        <v>55.392833862928157</v>
      </c>
    </row>
    <row r="32" spans="1:18" x14ac:dyDescent="0.35">
      <c r="A32" t="s">
        <v>35</v>
      </c>
      <c r="B32" t="s">
        <v>5</v>
      </c>
      <c r="C32">
        <v>57</v>
      </c>
      <c r="E32">
        <f t="shared" si="7"/>
        <v>33858.991059784727</v>
      </c>
      <c r="F32" s="8">
        <f t="shared" si="16"/>
        <v>101.57697317935418</v>
      </c>
      <c r="G32" s="9">
        <f t="shared" si="1"/>
        <v>25.597397241197253</v>
      </c>
      <c r="H32">
        <f t="shared" si="2"/>
        <v>33884.588457025922</v>
      </c>
      <c r="K32" t="s">
        <v>12</v>
      </c>
      <c r="L32">
        <v>58</v>
      </c>
      <c r="N32" s="6">
        <f t="shared" si="17"/>
        <v>118.59605959959072</v>
      </c>
      <c r="O32" s="11">
        <f t="shared" si="4"/>
        <v>29.886207019096862</v>
      </c>
      <c r="P32">
        <f t="shared" si="5"/>
        <v>33914.474664045018</v>
      </c>
      <c r="R32">
        <f t="shared" si="6"/>
        <v>55.483604260294115</v>
      </c>
    </row>
    <row r="33" spans="1:18" s="13" customFormat="1" x14ac:dyDescent="0.35">
      <c r="A33" s="13" t="s">
        <v>36</v>
      </c>
      <c r="B33" s="13" t="s">
        <v>5</v>
      </c>
      <c r="C33" s="13">
        <v>59</v>
      </c>
      <c r="E33" s="13">
        <f t="shared" si="7"/>
        <v>33914.474664045018</v>
      </c>
      <c r="F33" s="14">
        <f t="shared" si="16"/>
        <v>101.74342399213505</v>
      </c>
      <c r="G33" s="9">
        <f t="shared" si="1"/>
        <v>25.639342846018032</v>
      </c>
      <c r="H33" s="13">
        <f t="shared" si="2"/>
        <v>33940.114006891039</v>
      </c>
      <c r="K33" s="13" t="s">
        <v>12</v>
      </c>
      <c r="L33" s="13">
        <v>60</v>
      </c>
      <c r="N33" s="13">
        <f t="shared" si="17"/>
        <v>118.79039902411863</v>
      </c>
      <c r="O33" s="11">
        <f t="shared" si="4"/>
        <v>29.935180554077895</v>
      </c>
      <c r="P33" s="13">
        <f t="shared" si="5"/>
        <v>33970.049187445118</v>
      </c>
      <c r="R33" s="13">
        <f t="shared" si="6"/>
        <v>55.574523400095927</v>
      </c>
    </row>
    <row r="34" spans="1:18" s="6" customFormat="1" x14ac:dyDescent="0.35">
      <c r="A34" s="6" t="s">
        <v>37</v>
      </c>
      <c r="B34" s="6" t="s">
        <v>6</v>
      </c>
      <c r="C34" s="6">
        <v>61</v>
      </c>
      <c r="D34" s="7">
        <v>2.5000000000000001E-3</v>
      </c>
      <c r="E34" s="6">
        <f t="shared" si="7"/>
        <v>33970.049187445118</v>
      </c>
      <c r="F34" s="8">
        <f>E34*0.25%</f>
        <v>84.925122968612797</v>
      </c>
      <c r="G34" s="9">
        <f t="shared" si="1"/>
        <v>21.401130988090426</v>
      </c>
      <c r="H34" s="6">
        <f t="shared" si="2"/>
        <v>33991.450318433206</v>
      </c>
      <c r="I34" s="12">
        <v>0.3</v>
      </c>
      <c r="J34" s="12"/>
      <c r="K34" s="12" t="s">
        <v>12</v>
      </c>
      <c r="L34" s="6">
        <v>62</v>
      </c>
      <c r="M34" s="7">
        <v>4.0000000000000001E-3</v>
      </c>
      <c r="N34" s="6">
        <f>H34*0.3%</f>
        <v>101.97435095529963</v>
      </c>
      <c r="O34" s="11">
        <f t="shared" si="4"/>
        <v>25.697536440735504</v>
      </c>
      <c r="P34" s="6">
        <f t="shared" si="5"/>
        <v>34017.14785487394</v>
      </c>
      <c r="Q34" s="10">
        <v>0.27</v>
      </c>
      <c r="R34" s="6">
        <f t="shared" si="6"/>
        <v>47.098667428825934</v>
      </c>
    </row>
    <row r="35" spans="1:18" x14ac:dyDescent="0.35">
      <c r="A35" t="s">
        <v>38</v>
      </c>
      <c r="B35" t="s">
        <v>6</v>
      </c>
      <c r="C35">
        <v>63</v>
      </c>
      <c r="E35">
        <f t="shared" si="7"/>
        <v>34017.14785487394</v>
      </c>
      <c r="F35" s="8">
        <f t="shared" ref="F35:F38" si="18">E35*0.25%</f>
        <v>85.04286963718485</v>
      </c>
      <c r="G35" s="9">
        <f t="shared" si="1"/>
        <v>21.430803148570583</v>
      </c>
      <c r="H35">
        <f t="shared" si="2"/>
        <v>34038.57865802251</v>
      </c>
      <c r="K35" t="s">
        <v>12</v>
      </c>
      <c r="L35">
        <v>64</v>
      </c>
      <c r="N35" s="6">
        <f t="shared" ref="N35:N38" si="19">H35*0.3%</f>
        <v>102.11573597406753</v>
      </c>
      <c r="O35" s="11">
        <f t="shared" si="4"/>
        <v>25.733165465465017</v>
      </c>
      <c r="P35">
        <f t="shared" si="5"/>
        <v>34064.311823487973</v>
      </c>
      <c r="R35">
        <f t="shared" si="6"/>
        <v>47.163968614035596</v>
      </c>
    </row>
    <row r="36" spans="1:18" x14ac:dyDescent="0.35">
      <c r="A36" t="s">
        <v>39</v>
      </c>
      <c r="B36" t="s">
        <v>6</v>
      </c>
      <c r="C36">
        <v>65</v>
      </c>
      <c r="E36">
        <f t="shared" si="7"/>
        <v>34064.311823487973</v>
      </c>
      <c r="F36" s="8">
        <f t="shared" si="18"/>
        <v>85.160779558719938</v>
      </c>
      <c r="G36" s="9">
        <f t="shared" si="1"/>
        <v>21.460516448797424</v>
      </c>
      <c r="H36">
        <f t="shared" si="2"/>
        <v>34085.772339936768</v>
      </c>
      <c r="K36" t="s">
        <v>12</v>
      </c>
      <c r="L36">
        <v>66</v>
      </c>
      <c r="N36" s="6">
        <f t="shared" si="19"/>
        <v>102.2573170198103</v>
      </c>
      <c r="O36" s="11">
        <f t="shared" si="4"/>
        <v>25.768843888992198</v>
      </c>
      <c r="P36">
        <f t="shared" si="5"/>
        <v>34111.541183825757</v>
      </c>
      <c r="R36">
        <f t="shared" si="6"/>
        <v>47.229360337789622</v>
      </c>
    </row>
    <row r="37" spans="1:18" x14ac:dyDescent="0.35">
      <c r="A37" t="s">
        <v>40</v>
      </c>
      <c r="B37" t="s">
        <v>6</v>
      </c>
      <c r="C37">
        <v>67</v>
      </c>
      <c r="E37">
        <f t="shared" si="7"/>
        <v>34111.541183825757</v>
      </c>
      <c r="F37" s="8">
        <f t="shared" si="18"/>
        <v>85.278852959564389</v>
      </c>
      <c r="G37" s="9">
        <f t="shared" si="1"/>
        <v>21.490270945810227</v>
      </c>
      <c r="H37">
        <f t="shared" si="2"/>
        <v>34133.031454771568</v>
      </c>
      <c r="K37" t="s">
        <v>12</v>
      </c>
      <c r="L37">
        <v>68</v>
      </c>
      <c r="N37" s="6">
        <f t="shared" si="19"/>
        <v>102.39909436431471</v>
      </c>
      <c r="O37" s="11">
        <f t="shared" si="4"/>
        <v>25.804571779807308</v>
      </c>
      <c r="P37">
        <f t="shared" si="5"/>
        <v>34158.836026551377</v>
      </c>
      <c r="R37">
        <f t="shared" si="6"/>
        <v>47.294842725617535</v>
      </c>
    </row>
    <row r="38" spans="1:18" x14ac:dyDescent="0.35">
      <c r="A38" t="s">
        <v>41</v>
      </c>
      <c r="B38" t="s">
        <v>6</v>
      </c>
      <c r="C38">
        <v>69</v>
      </c>
      <c r="E38">
        <f t="shared" si="7"/>
        <v>34158.836026551377</v>
      </c>
      <c r="F38" s="8">
        <f t="shared" si="18"/>
        <v>85.397090066378439</v>
      </c>
      <c r="G38" s="9">
        <f t="shared" si="1"/>
        <v>21.520066696727365</v>
      </c>
      <c r="H38">
        <f t="shared" si="2"/>
        <v>34180.356093248105</v>
      </c>
      <c r="K38" t="s">
        <v>12</v>
      </c>
      <c r="L38">
        <v>70</v>
      </c>
      <c r="N38" s="6">
        <f t="shared" si="19"/>
        <v>102.54106827974432</v>
      </c>
      <c r="O38" s="11">
        <f t="shared" si="4"/>
        <v>25.840349206495571</v>
      </c>
      <c r="P38">
        <f t="shared" si="5"/>
        <v>34206.196442454602</v>
      </c>
      <c r="R38">
        <f t="shared" si="6"/>
        <v>47.360415903222936</v>
      </c>
    </row>
    <row r="39" spans="1:18" s="6" customFormat="1" x14ac:dyDescent="0.35">
      <c r="A39" s="6" t="s">
        <v>42</v>
      </c>
      <c r="B39" s="6" t="s">
        <v>5</v>
      </c>
      <c r="C39" s="6">
        <v>71</v>
      </c>
      <c r="D39" s="7">
        <v>5.0000000000000001E-3</v>
      </c>
      <c r="E39" s="6">
        <f t="shared" si="7"/>
        <v>34206.196442454602</v>
      </c>
      <c r="F39" s="8">
        <f>E39*0.5%</f>
        <v>171.03098221227302</v>
      </c>
      <c r="G39" s="9">
        <f t="shared" si="1"/>
        <v>43.099807517492799</v>
      </c>
      <c r="H39" s="6">
        <f t="shared" si="2"/>
        <v>34249.296249972096</v>
      </c>
      <c r="K39" s="6" t="s">
        <v>6</v>
      </c>
      <c r="L39" s="6">
        <v>72</v>
      </c>
      <c r="M39" s="7">
        <v>4.4999999999999997E-3</v>
      </c>
      <c r="N39" s="6">
        <f>H39*0.45%</f>
        <v>154.12183312487446</v>
      </c>
      <c r="O39" s="11">
        <f t="shared" si="4"/>
        <v>38.838701947468365</v>
      </c>
      <c r="P39" s="6">
        <f t="shared" si="5"/>
        <v>34288.134951919565</v>
      </c>
      <c r="R39" s="6">
        <f t="shared" si="6"/>
        <v>81.938509464961157</v>
      </c>
    </row>
    <row r="40" spans="1:18" x14ac:dyDescent="0.35">
      <c r="A40" t="s">
        <v>43</v>
      </c>
      <c r="B40" t="s">
        <v>5</v>
      </c>
      <c r="C40">
        <v>73</v>
      </c>
      <c r="E40">
        <f t="shared" si="7"/>
        <v>34288.134951919565</v>
      </c>
      <c r="F40" s="8">
        <f t="shared" ref="F40:F43" si="20">E40*0.5%</f>
        <v>171.44067475959784</v>
      </c>
      <c r="G40" s="9">
        <f t="shared" si="1"/>
        <v>43.203050039418656</v>
      </c>
      <c r="H40">
        <f t="shared" si="2"/>
        <v>34331.338001958982</v>
      </c>
      <c r="K40" t="s">
        <v>6</v>
      </c>
      <c r="L40">
        <v>74</v>
      </c>
      <c r="N40" s="6">
        <f t="shared" ref="N40:N43" si="21">H40*0.45%</f>
        <v>154.49102100881544</v>
      </c>
      <c r="O40" s="11">
        <f t="shared" si="4"/>
        <v>38.931737294221492</v>
      </c>
      <c r="P40">
        <f t="shared" si="5"/>
        <v>34370.269739253206</v>
      </c>
      <c r="R40">
        <f t="shared" si="6"/>
        <v>82.134787333640148</v>
      </c>
    </row>
    <row r="41" spans="1:18" x14ac:dyDescent="0.35">
      <c r="A41" t="s">
        <v>44</v>
      </c>
      <c r="B41" t="s">
        <v>5</v>
      </c>
      <c r="C41">
        <v>75</v>
      </c>
      <c r="E41">
        <f t="shared" si="7"/>
        <v>34370.269739253206</v>
      </c>
      <c r="F41" s="8">
        <f t="shared" si="20"/>
        <v>171.85134869626603</v>
      </c>
      <c r="G41" s="9">
        <f t="shared" si="1"/>
        <v>43.306539871459037</v>
      </c>
      <c r="H41">
        <f t="shared" si="2"/>
        <v>34413.576279124667</v>
      </c>
      <c r="K41" t="s">
        <v>6</v>
      </c>
      <c r="L41">
        <v>76</v>
      </c>
      <c r="N41" s="6">
        <f t="shared" si="21"/>
        <v>154.86109325606103</v>
      </c>
      <c r="O41" s="11">
        <f t="shared" si="4"/>
        <v>39.024995500527382</v>
      </c>
      <c r="P41">
        <f t="shared" si="5"/>
        <v>34452.601274625194</v>
      </c>
      <c r="R41">
        <f t="shared" si="6"/>
        <v>82.331535371986419</v>
      </c>
    </row>
    <row r="42" spans="1:18" x14ac:dyDescent="0.35">
      <c r="A42" t="s">
        <v>45</v>
      </c>
      <c r="B42" t="s">
        <v>5</v>
      </c>
      <c r="C42">
        <v>77</v>
      </c>
      <c r="E42">
        <f t="shared" si="7"/>
        <v>34452.601274625194</v>
      </c>
      <c r="F42" s="8">
        <f t="shared" si="20"/>
        <v>172.26300637312599</v>
      </c>
      <c r="G42" s="9">
        <f t="shared" si="1"/>
        <v>43.410277606027748</v>
      </c>
      <c r="H42">
        <f t="shared" si="2"/>
        <v>34496.011552231219</v>
      </c>
      <c r="K42" t="s">
        <v>6</v>
      </c>
      <c r="L42">
        <v>78</v>
      </c>
      <c r="N42" s="6">
        <f t="shared" si="21"/>
        <v>155.2320519850405</v>
      </c>
      <c r="O42" s="11">
        <f t="shared" si="4"/>
        <v>39.118477100230209</v>
      </c>
      <c r="P42">
        <f t="shared" si="5"/>
        <v>34535.130029331449</v>
      </c>
      <c r="R42">
        <f t="shared" si="6"/>
        <v>82.528754706257956</v>
      </c>
    </row>
    <row r="43" spans="1:18" x14ac:dyDescent="0.35">
      <c r="A43" t="s">
        <v>46</v>
      </c>
      <c r="B43" t="s">
        <v>5</v>
      </c>
      <c r="C43">
        <v>79</v>
      </c>
      <c r="E43">
        <f t="shared" si="7"/>
        <v>34535.130029331449</v>
      </c>
      <c r="F43" s="8">
        <f t="shared" si="20"/>
        <v>172.67565014665726</v>
      </c>
      <c r="G43" s="9">
        <f t="shared" si="1"/>
        <v>43.514263836957632</v>
      </c>
      <c r="H43">
        <f t="shared" si="2"/>
        <v>34578.644293168407</v>
      </c>
      <c r="K43" t="s">
        <v>6</v>
      </c>
      <c r="L43">
        <v>80</v>
      </c>
      <c r="N43" s="6">
        <f t="shared" si="21"/>
        <v>155.60389931925786</v>
      </c>
      <c r="O43" s="11">
        <f t="shared" si="4"/>
        <v>39.212182628452979</v>
      </c>
      <c r="P43">
        <f t="shared" si="5"/>
        <v>34617.856475796863</v>
      </c>
      <c r="R43">
        <f t="shared" si="6"/>
        <v>82.726446465410618</v>
      </c>
    </row>
    <row r="44" spans="1:18" s="6" customFormat="1" x14ac:dyDescent="0.35">
      <c r="A44" s="6" t="s">
        <v>47</v>
      </c>
      <c r="B44" s="6" t="s">
        <v>6</v>
      </c>
      <c r="C44" s="6">
        <v>81</v>
      </c>
      <c r="D44" s="7">
        <v>4.4999999999999997E-3</v>
      </c>
      <c r="E44" s="6">
        <f t="shared" si="7"/>
        <v>34617.856475796863</v>
      </c>
      <c r="F44" s="8">
        <f>E44*0.45%</f>
        <v>155.78035414108589</v>
      </c>
      <c r="G44" s="9">
        <f t="shared" si="1"/>
        <v>39.256649243553646</v>
      </c>
      <c r="H44" s="6">
        <f t="shared" si="2"/>
        <v>34657.113125040414</v>
      </c>
      <c r="K44" s="6" t="s">
        <v>6</v>
      </c>
      <c r="L44" s="6">
        <v>82</v>
      </c>
      <c r="M44" s="7">
        <v>3.0000000000000001E-3</v>
      </c>
      <c r="N44" s="6">
        <f>H44*0.3%</f>
        <v>103.97133937512125</v>
      </c>
      <c r="O44" s="11">
        <f t="shared" si="4"/>
        <v>26.200777522530554</v>
      </c>
      <c r="P44" s="6">
        <f t="shared" si="5"/>
        <v>34683.313902562943</v>
      </c>
      <c r="R44" s="6">
        <f t="shared" si="6"/>
        <v>65.457426766084197</v>
      </c>
    </row>
    <row r="45" spans="1:18" x14ac:dyDescent="0.35">
      <c r="A45" t="s">
        <v>48</v>
      </c>
      <c r="B45" t="s">
        <v>6</v>
      </c>
      <c r="C45">
        <v>83</v>
      </c>
      <c r="E45">
        <f t="shared" si="7"/>
        <v>34683.313902562943</v>
      </c>
      <c r="F45" s="8">
        <f t="shared" ref="F45:F48" si="22">E45*0.45%</f>
        <v>156.07491256153327</v>
      </c>
      <c r="G45" s="9">
        <f t="shared" si="1"/>
        <v>39.330877965506382</v>
      </c>
      <c r="H45">
        <f t="shared" si="2"/>
        <v>34722.644780528448</v>
      </c>
      <c r="K45" t="s">
        <v>6</v>
      </c>
      <c r="L45">
        <v>84</v>
      </c>
      <c r="N45" s="6">
        <f t="shared" ref="N45:N48" si="23">H45*0.3%</f>
        <v>104.16793434158535</v>
      </c>
      <c r="O45" s="11">
        <f t="shared" si="4"/>
        <v>26.250319454079509</v>
      </c>
      <c r="P45">
        <f t="shared" si="5"/>
        <v>34748.895099982525</v>
      </c>
      <c r="R45">
        <f t="shared" si="6"/>
        <v>65.581197419585891</v>
      </c>
    </row>
    <row r="46" spans="1:18" x14ac:dyDescent="0.35">
      <c r="A46" t="s">
        <v>49</v>
      </c>
      <c r="B46" t="s">
        <v>6</v>
      </c>
      <c r="C46">
        <v>85</v>
      </c>
      <c r="E46">
        <f t="shared" si="7"/>
        <v>34748.895099982525</v>
      </c>
      <c r="F46" s="8">
        <f t="shared" si="22"/>
        <v>156.37002794992139</v>
      </c>
      <c r="G46" s="9">
        <f t="shared" si="1"/>
        <v>39.405247043380193</v>
      </c>
      <c r="H46">
        <f t="shared" si="2"/>
        <v>34788.300347025906</v>
      </c>
      <c r="K46" t="s">
        <v>6</v>
      </c>
      <c r="L46">
        <v>86</v>
      </c>
      <c r="N46" s="6">
        <f t="shared" si="23"/>
        <v>104.36490104107772</v>
      </c>
      <c r="O46" s="11">
        <f t="shared" si="4"/>
        <v>26.299955062351586</v>
      </c>
      <c r="P46">
        <f t="shared" si="5"/>
        <v>34814.600302088256</v>
      </c>
      <c r="R46">
        <f t="shared" si="6"/>
        <v>65.705202105731786</v>
      </c>
    </row>
    <row r="47" spans="1:18" x14ac:dyDescent="0.35">
      <c r="A47" t="s">
        <v>50</v>
      </c>
      <c r="B47" t="s">
        <v>6</v>
      </c>
      <c r="C47">
        <v>87</v>
      </c>
      <c r="E47">
        <f t="shared" si="7"/>
        <v>34814.600302088256</v>
      </c>
      <c r="F47" s="8">
        <f t="shared" si="22"/>
        <v>156.66570135939716</v>
      </c>
      <c r="G47" s="9">
        <f t="shared" si="1"/>
        <v>39.479756742568085</v>
      </c>
      <c r="H47">
        <f t="shared" si="2"/>
        <v>34854.080058830827</v>
      </c>
      <c r="K47" t="s">
        <v>6</v>
      </c>
      <c r="L47">
        <v>88</v>
      </c>
      <c r="N47" s="6">
        <f t="shared" si="23"/>
        <v>104.56224017649248</v>
      </c>
      <c r="O47" s="11">
        <f t="shared" si="4"/>
        <v>26.349684524476107</v>
      </c>
      <c r="P47">
        <f t="shared" si="5"/>
        <v>34880.4297433553</v>
      </c>
      <c r="R47">
        <f t="shared" si="6"/>
        <v>65.829441267044189</v>
      </c>
    </row>
    <row r="48" spans="1:18" x14ac:dyDescent="0.35">
      <c r="A48" t="s">
        <v>51</v>
      </c>
      <c r="B48" t="s">
        <v>6</v>
      </c>
      <c r="C48">
        <v>89</v>
      </c>
      <c r="E48">
        <f t="shared" si="7"/>
        <v>34880.4297433553</v>
      </c>
      <c r="F48" s="8">
        <f t="shared" si="22"/>
        <v>156.96193384509886</v>
      </c>
      <c r="G48" s="9">
        <f t="shared" si="1"/>
        <v>39.554407328964913</v>
      </c>
      <c r="H48">
        <f t="shared" si="2"/>
        <v>34919.984150684264</v>
      </c>
      <c r="K48" t="s">
        <v>6</v>
      </c>
      <c r="L48">
        <v>90</v>
      </c>
      <c r="N48" s="6">
        <f t="shared" si="23"/>
        <v>104.7599524520528</v>
      </c>
      <c r="O48" s="11">
        <f t="shared" si="4"/>
        <v>26.399508017917306</v>
      </c>
      <c r="P48">
        <f t="shared" si="5"/>
        <v>34946.38365870218</v>
      </c>
      <c r="R48">
        <f t="shared" si="6"/>
        <v>65.953915346882212</v>
      </c>
    </row>
    <row r="49" spans="1:18" s="6" customFormat="1" x14ac:dyDescent="0.35">
      <c r="A49" s="6" t="s">
        <v>52</v>
      </c>
      <c r="B49" s="6" t="s">
        <v>5</v>
      </c>
      <c r="C49" s="6">
        <v>91</v>
      </c>
      <c r="D49" s="7">
        <v>5.0000000000000001E-3</v>
      </c>
      <c r="E49" s="6">
        <f t="shared" si="7"/>
        <v>34946.38365870218</v>
      </c>
      <c r="F49" s="8">
        <f>E49*0.5%</f>
        <v>174.73191829351092</v>
      </c>
      <c r="G49" s="9">
        <f t="shared" si="1"/>
        <v>44.032443409964749</v>
      </c>
      <c r="H49" s="6">
        <f t="shared" si="2"/>
        <v>34990.416102112147</v>
      </c>
      <c r="K49" s="6" t="s">
        <v>6</v>
      </c>
      <c r="L49" s="6">
        <v>92</v>
      </c>
      <c r="M49" s="7">
        <v>4.4999999999999997E-3</v>
      </c>
      <c r="N49" s="6">
        <f>H49*0.45%</f>
        <v>157.45687245950469</v>
      </c>
      <c r="O49" s="11">
        <f t="shared" si="4"/>
        <v>39.679131859795184</v>
      </c>
      <c r="P49" s="6">
        <f t="shared" si="5"/>
        <v>35030.095233971944</v>
      </c>
      <c r="R49" s="6">
        <f t="shared" si="6"/>
        <v>83.711575269759933</v>
      </c>
    </row>
    <row r="50" spans="1:18" x14ac:dyDescent="0.35">
      <c r="A50" t="s">
        <v>53</v>
      </c>
      <c r="B50" t="s">
        <v>5</v>
      </c>
      <c r="C50">
        <v>93</v>
      </c>
      <c r="E50">
        <f t="shared" si="7"/>
        <v>35030.095233971944</v>
      </c>
      <c r="F50" s="8">
        <f t="shared" ref="F50:F53" si="24">E50*0.5%</f>
        <v>175.15047616985973</v>
      </c>
      <c r="G50" s="9">
        <f t="shared" si="1"/>
        <v>44.137919994804655</v>
      </c>
      <c r="H50">
        <f t="shared" si="2"/>
        <v>35074.23315396675</v>
      </c>
      <c r="K50" t="s">
        <v>6</v>
      </c>
      <c r="L50">
        <v>94</v>
      </c>
      <c r="N50" s="6">
        <f t="shared" ref="N50:N53" si="25">H50*0.45%</f>
        <v>157.83404919285039</v>
      </c>
      <c r="O50" s="11">
        <f t="shared" si="4"/>
        <v>39.774180396598297</v>
      </c>
      <c r="P50">
        <f t="shared" si="5"/>
        <v>35114.007334363348</v>
      </c>
      <c r="R50">
        <f t="shared" si="6"/>
        <v>83.912100391402959</v>
      </c>
    </row>
    <row r="51" spans="1:18" x14ac:dyDescent="0.35">
      <c r="A51" t="s">
        <v>54</v>
      </c>
      <c r="B51" t="s">
        <v>5</v>
      </c>
      <c r="C51">
        <v>95</v>
      </c>
      <c r="E51">
        <f t="shared" si="7"/>
        <v>35114.007334363348</v>
      </c>
      <c r="F51" s="8">
        <f t="shared" si="24"/>
        <v>175.57003667181675</v>
      </c>
      <c r="G51" s="9">
        <f t="shared" si="1"/>
        <v>44.243649241297824</v>
      </c>
      <c r="H51">
        <f t="shared" si="2"/>
        <v>35158.250983604645</v>
      </c>
      <c r="K51" t="s">
        <v>6</v>
      </c>
      <c r="L51">
        <v>96</v>
      </c>
      <c r="N51" s="6">
        <f t="shared" si="25"/>
        <v>158.21212942622091</v>
      </c>
      <c r="O51" s="11">
        <f t="shared" si="4"/>
        <v>39.869456615407671</v>
      </c>
      <c r="P51">
        <f t="shared" si="5"/>
        <v>35198.120440220053</v>
      </c>
      <c r="R51">
        <f t="shared" si="6"/>
        <v>84.113105856705488</v>
      </c>
    </row>
    <row r="52" spans="1:18" x14ac:dyDescent="0.35">
      <c r="A52" t="s">
        <v>55</v>
      </c>
      <c r="B52" t="s">
        <v>5</v>
      </c>
      <c r="C52">
        <v>97</v>
      </c>
      <c r="E52">
        <f t="shared" si="7"/>
        <v>35198.120440220053</v>
      </c>
      <c r="F52" s="8">
        <f t="shared" si="24"/>
        <v>175.99060220110027</v>
      </c>
      <c r="G52" s="9">
        <f t="shared" si="1"/>
        <v>44.349631754677269</v>
      </c>
      <c r="H52">
        <f t="shared" si="2"/>
        <v>35242.470071974727</v>
      </c>
      <c r="K52" t="s">
        <v>6</v>
      </c>
      <c r="L52">
        <v>98</v>
      </c>
      <c r="N52" s="6">
        <f t="shared" si="25"/>
        <v>158.5911153238863</v>
      </c>
      <c r="O52" s="11">
        <f t="shared" si="4"/>
        <v>39.964961061619348</v>
      </c>
      <c r="P52">
        <f t="shared" si="5"/>
        <v>35282.435033036345</v>
      </c>
      <c r="R52">
        <f t="shared" si="6"/>
        <v>84.314592816296624</v>
      </c>
    </row>
    <row r="53" spans="1:18" x14ac:dyDescent="0.35">
      <c r="A53" t="s">
        <v>56</v>
      </c>
      <c r="B53" t="s">
        <v>5</v>
      </c>
      <c r="C53">
        <v>99</v>
      </c>
      <c r="E53">
        <f t="shared" si="7"/>
        <v>35282.435033036345</v>
      </c>
      <c r="F53" s="8">
        <f t="shared" si="24"/>
        <v>176.41217516518174</v>
      </c>
      <c r="G53" s="9">
        <f t="shared" si="1"/>
        <v>44.4558681416258</v>
      </c>
      <c r="H53">
        <f t="shared" si="2"/>
        <v>35326.890901177969</v>
      </c>
      <c r="K53" t="s">
        <v>6</v>
      </c>
      <c r="L53">
        <v>100</v>
      </c>
      <c r="N53" s="6">
        <f t="shared" si="25"/>
        <v>158.97100905530087</v>
      </c>
      <c r="O53" s="11">
        <f t="shared" si="4"/>
        <v>40.060694281935817</v>
      </c>
      <c r="P53">
        <f t="shared" si="5"/>
        <v>35366.951595459905</v>
      </c>
      <c r="R53">
        <f t="shared" si="6"/>
        <v>84.516562423561624</v>
      </c>
    </row>
    <row r="54" spans="1:18" s="6" customFormat="1" x14ac:dyDescent="0.35">
      <c r="A54" s="6" t="s">
        <v>57</v>
      </c>
      <c r="B54" s="6" t="s">
        <v>6</v>
      </c>
      <c r="C54" s="6">
        <v>101</v>
      </c>
      <c r="D54" s="7">
        <v>4.4999999999999997E-3</v>
      </c>
      <c r="E54" s="6">
        <f t="shared" si="7"/>
        <v>35366.951595459905</v>
      </c>
      <c r="F54" s="8">
        <f>E54*0.45%</f>
        <v>159.15128217956959</v>
      </c>
      <c r="G54" s="9">
        <f t="shared" si="1"/>
        <v>40.106123109251534</v>
      </c>
      <c r="H54" s="6">
        <f t="shared" si="2"/>
        <v>35407.057718569158</v>
      </c>
      <c r="K54" s="6" t="s">
        <v>12</v>
      </c>
      <c r="L54" s="6">
        <v>102</v>
      </c>
      <c r="M54" s="7">
        <v>4.5999999999999999E-3</v>
      </c>
      <c r="N54" s="6">
        <f>H54*0.46%</f>
        <v>162.87246550541812</v>
      </c>
      <c r="O54" s="11">
        <f t="shared" si="4"/>
        <v>41.043861307365368</v>
      </c>
      <c r="P54" s="6">
        <f t="shared" si="5"/>
        <v>35448.101579876522</v>
      </c>
      <c r="R54" s="6">
        <f t="shared" si="6"/>
        <v>81.149984416616903</v>
      </c>
    </row>
    <row r="55" spans="1:18" x14ac:dyDescent="0.35">
      <c r="A55" t="s">
        <v>58</v>
      </c>
      <c r="B55" t="s">
        <v>6</v>
      </c>
      <c r="C55">
        <v>103</v>
      </c>
      <c r="E55">
        <f t="shared" si="7"/>
        <v>35448.101579876522</v>
      </c>
      <c r="F55" s="8">
        <f t="shared" ref="F55:F58" si="26">E55*0.45%</f>
        <v>159.51645710944436</v>
      </c>
      <c r="G55" s="9">
        <f t="shared" si="1"/>
        <v>40.198147191579977</v>
      </c>
      <c r="H55">
        <f t="shared" si="2"/>
        <v>35488.299727068101</v>
      </c>
      <c r="K55" t="s">
        <v>12</v>
      </c>
      <c r="L55">
        <v>104</v>
      </c>
      <c r="N55" s="6">
        <f t="shared" ref="N55:N57" si="27">H55*0.46%</f>
        <v>163.24617874451326</v>
      </c>
      <c r="O55" s="11">
        <f t="shared" si="4"/>
        <v>41.138037043617338</v>
      </c>
      <c r="P55">
        <f t="shared" si="5"/>
        <v>35529.437764111717</v>
      </c>
      <c r="R55">
        <f t="shared" si="6"/>
        <v>81.336184235197322</v>
      </c>
    </row>
    <row r="56" spans="1:18" x14ac:dyDescent="0.35">
      <c r="A56" t="s">
        <v>59</v>
      </c>
      <c r="B56" t="s">
        <v>6</v>
      </c>
      <c r="C56">
        <v>105</v>
      </c>
      <c r="E56">
        <f t="shared" si="7"/>
        <v>35529.437764111717</v>
      </c>
      <c r="F56" s="8">
        <f t="shared" si="26"/>
        <v>159.88246993850274</v>
      </c>
      <c r="G56" s="9">
        <f t="shared" si="1"/>
        <v>40.290382424502688</v>
      </c>
      <c r="H56">
        <f t="shared" si="2"/>
        <v>35569.728146536218</v>
      </c>
      <c r="K56" t="s">
        <v>12</v>
      </c>
      <c r="L56">
        <v>106</v>
      </c>
      <c r="N56" s="6">
        <f t="shared" si="27"/>
        <v>163.6207494740666</v>
      </c>
      <c r="O56" s="11">
        <f t="shared" si="4"/>
        <v>41.232428867464783</v>
      </c>
      <c r="P56">
        <f t="shared" si="5"/>
        <v>35610.960575403682</v>
      </c>
      <c r="R56">
        <f t="shared" si="6"/>
        <v>81.522811291967471</v>
      </c>
    </row>
    <row r="57" spans="1:18" x14ac:dyDescent="0.35">
      <c r="A57" t="s">
        <v>60</v>
      </c>
      <c r="B57" t="s">
        <v>6</v>
      </c>
      <c r="C57">
        <v>107</v>
      </c>
      <c r="E57">
        <f t="shared" si="7"/>
        <v>35610.960575403682</v>
      </c>
      <c r="F57" s="8">
        <f t="shared" si="26"/>
        <v>160.24932258931659</v>
      </c>
      <c r="G57" s="9">
        <f t="shared" si="1"/>
        <v>40.382829292507779</v>
      </c>
      <c r="H57">
        <f t="shared" si="2"/>
        <v>35651.343404696192</v>
      </c>
      <c r="K57" t="s">
        <v>12</v>
      </c>
      <c r="L57">
        <v>108</v>
      </c>
      <c r="N57" s="6">
        <f t="shared" si="27"/>
        <v>163.99617966160247</v>
      </c>
      <c r="O57" s="11">
        <f t="shared" si="4"/>
        <v>41.327037274723821</v>
      </c>
      <c r="P57">
        <f t="shared" si="5"/>
        <v>35692.670441970913</v>
      </c>
      <c r="R57">
        <f t="shared" si="6"/>
        <v>81.7098665672316</v>
      </c>
    </row>
    <row r="58" spans="1:18" x14ac:dyDescent="0.35">
      <c r="A58" t="s">
        <v>61</v>
      </c>
      <c r="B58" t="s">
        <v>6</v>
      </c>
      <c r="C58">
        <v>109</v>
      </c>
      <c r="E58">
        <f t="shared" si="7"/>
        <v>35692.670441970913</v>
      </c>
      <c r="F58" s="8">
        <f t="shared" si="26"/>
        <v>160.61701698886912</v>
      </c>
      <c r="G58" s="9">
        <f t="shared" si="1"/>
        <v>40.47548828119502</v>
      </c>
      <c r="H58">
        <f t="shared" si="2"/>
        <v>35733.145930252111</v>
      </c>
      <c r="K58" t="s">
        <v>12</v>
      </c>
      <c r="L58">
        <v>110</v>
      </c>
      <c r="N58" s="6">
        <f>H58*0.46%</f>
        <v>164.3724712791597</v>
      </c>
      <c r="O58" s="11">
        <f t="shared" si="4"/>
        <v>41.42186276234824</v>
      </c>
      <c r="P58">
        <f t="shared" si="5"/>
        <v>35774.567793014459</v>
      </c>
      <c r="R58">
        <f t="shared" si="6"/>
        <v>81.897351043543267</v>
      </c>
    </row>
    <row r="59" spans="1:18" s="6" customFormat="1" x14ac:dyDescent="0.35">
      <c r="A59" s="6" t="s">
        <v>62</v>
      </c>
      <c r="B59" s="6" t="s">
        <v>6</v>
      </c>
      <c r="C59" s="6">
        <v>111</v>
      </c>
      <c r="D59" s="7">
        <v>4.0000000000000001E-3</v>
      </c>
      <c r="E59" s="6">
        <f t="shared" si="7"/>
        <v>35774.567793014459</v>
      </c>
      <c r="F59" s="8">
        <f>E59*0.4%</f>
        <v>143.09827117205785</v>
      </c>
      <c r="G59" s="9">
        <f t="shared" si="1"/>
        <v>36.060764335358577</v>
      </c>
      <c r="H59" s="6">
        <f t="shared" si="2"/>
        <v>35810.628557349817</v>
      </c>
      <c r="K59" s="6" t="s">
        <v>6</v>
      </c>
      <c r="L59" s="6">
        <v>112</v>
      </c>
      <c r="M59" s="7">
        <v>3.5000000000000001E-3</v>
      </c>
      <c r="N59" s="6">
        <f>H59*0.35%</f>
        <v>125.33719995072434</v>
      </c>
      <c r="O59" s="11">
        <f t="shared" si="4"/>
        <v>31.584974387582534</v>
      </c>
      <c r="P59" s="6">
        <f t="shared" si="5"/>
        <v>35842.213531737398</v>
      </c>
      <c r="R59" s="6">
        <f t="shared" si="6"/>
        <v>67.645738722941104</v>
      </c>
    </row>
    <row r="60" spans="1:18" x14ac:dyDescent="0.35">
      <c r="A60" t="s">
        <v>63</v>
      </c>
      <c r="B60" t="s">
        <v>6</v>
      </c>
      <c r="C60">
        <v>113</v>
      </c>
      <c r="E60">
        <f t="shared" si="7"/>
        <v>35842.213531737398</v>
      </c>
      <c r="F60" s="8">
        <f t="shared" ref="F60:F63" si="28">E60*0.4%</f>
        <v>143.3688541269496</v>
      </c>
      <c r="G60" s="9">
        <f t="shared" si="1"/>
        <v>36.128951239991302</v>
      </c>
      <c r="H60">
        <f t="shared" si="2"/>
        <v>35878.342482977387</v>
      </c>
      <c r="K60" t="s">
        <v>6</v>
      </c>
      <c r="L60">
        <v>114</v>
      </c>
      <c r="N60" s="6">
        <f t="shared" ref="N60:N63" si="29">H60*0.35%</f>
        <v>125.57419869042084</v>
      </c>
      <c r="O60" s="11">
        <f t="shared" si="4"/>
        <v>31.644698069986053</v>
      </c>
      <c r="P60">
        <f t="shared" si="5"/>
        <v>35909.987181047371</v>
      </c>
      <c r="R60">
        <f t="shared" si="6"/>
        <v>67.773649309977358</v>
      </c>
    </row>
    <row r="61" spans="1:18" x14ac:dyDescent="0.35">
      <c r="A61" t="s">
        <v>64</v>
      </c>
      <c r="B61" t="s">
        <v>6</v>
      </c>
      <c r="C61">
        <v>115</v>
      </c>
      <c r="E61">
        <f t="shared" si="7"/>
        <v>35909.987181047371</v>
      </c>
      <c r="F61" s="8">
        <f t="shared" si="28"/>
        <v>143.63994872418948</v>
      </c>
      <c r="G61" s="9">
        <f t="shared" si="1"/>
        <v>36.197267078495749</v>
      </c>
      <c r="H61">
        <f t="shared" si="2"/>
        <v>35946.184448125867</v>
      </c>
      <c r="K61" t="s">
        <v>6</v>
      </c>
      <c r="L61">
        <v>116</v>
      </c>
      <c r="N61" s="6">
        <f t="shared" si="29"/>
        <v>125.81164556844053</v>
      </c>
      <c r="O61" s="11">
        <f t="shared" si="4"/>
        <v>31.704534683247012</v>
      </c>
      <c r="P61">
        <f t="shared" si="5"/>
        <v>35977.888982809112</v>
      </c>
      <c r="R61">
        <f t="shared" si="6"/>
        <v>67.90180176174276</v>
      </c>
    </row>
    <row r="62" spans="1:18" x14ac:dyDescent="0.35">
      <c r="A62" t="s">
        <v>65</v>
      </c>
      <c r="B62" t="s">
        <v>6</v>
      </c>
      <c r="C62">
        <v>117</v>
      </c>
      <c r="E62">
        <f t="shared" si="7"/>
        <v>35977.888982809112</v>
      </c>
      <c r="F62" s="8">
        <f t="shared" si="28"/>
        <v>143.91155593123645</v>
      </c>
      <c r="G62" s="9">
        <f t="shared" si="1"/>
        <v>36.265712094671585</v>
      </c>
      <c r="H62">
        <f t="shared" si="2"/>
        <v>36014.154694903787</v>
      </c>
      <c r="K62" t="s">
        <v>6</v>
      </c>
      <c r="L62">
        <v>118</v>
      </c>
      <c r="N62" s="6">
        <f t="shared" si="29"/>
        <v>126.04954143216324</v>
      </c>
      <c r="O62" s="11">
        <f t="shared" si="4"/>
        <v>31.764484440905136</v>
      </c>
      <c r="P62">
        <f t="shared" si="5"/>
        <v>36045.919179344695</v>
      </c>
      <c r="R62">
        <f t="shared" si="6"/>
        <v>68.030196535576721</v>
      </c>
    </row>
    <row r="63" spans="1:18" s="13" customFormat="1" x14ac:dyDescent="0.35">
      <c r="A63" s="13" t="s">
        <v>66</v>
      </c>
      <c r="B63" s="13" t="s">
        <v>6</v>
      </c>
      <c r="C63" s="13">
        <v>119</v>
      </c>
      <c r="E63" s="13">
        <f t="shared" si="7"/>
        <v>36045.919179344695</v>
      </c>
      <c r="F63" s="14">
        <f t="shared" si="28"/>
        <v>144.18367671737877</v>
      </c>
      <c r="G63" s="9">
        <f t="shared" si="1"/>
        <v>36.334286532779451</v>
      </c>
      <c r="H63" s="13">
        <f t="shared" si="2"/>
        <v>36082.253465877475</v>
      </c>
      <c r="K63" s="13" t="s">
        <v>6</v>
      </c>
      <c r="L63" s="13">
        <v>120</v>
      </c>
      <c r="N63" s="13">
        <f t="shared" si="29"/>
        <v>126.28788713057115</v>
      </c>
      <c r="O63" s="11">
        <f t="shared" si="4"/>
        <v>31.82454755690393</v>
      </c>
      <c r="P63" s="13">
        <f t="shared" si="5"/>
        <v>36114.07801343438</v>
      </c>
      <c r="R63" s="13">
        <f t="shared" si="6"/>
        <v>68.158834089683381</v>
      </c>
    </row>
    <row r="64" spans="1:18" s="6" customFormat="1" x14ac:dyDescent="0.35">
      <c r="A64" s="6" t="s">
        <v>67</v>
      </c>
      <c r="B64" s="6" t="s">
        <v>5</v>
      </c>
      <c r="C64" s="6">
        <v>121</v>
      </c>
      <c r="D64" s="7">
        <v>3.7000000000000002E-3</v>
      </c>
      <c r="E64" s="6">
        <f t="shared" si="7"/>
        <v>36114.07801343438</v>
      </c>
      <c r="F64" s="8">
        <f>E64*0.37%</f>
        <v>133.62208864970722</v>
      </c>
      <c r="G64" s="9">
        <f t="shared" si="1"/>
        <v>33.672766339726223</v>
      </c>
      <c r="H64" s="6">
        <f t="shared" si="2"/>
        <v>36147.750779774105</v>
      </c>
      <c r="I64" s="10">
        <v>0.35</v>
      </c>
      <c r="J64" s="10"/>
      <c r="K64" s="10" t="s">
        <v>6</v>
      </c>
      <c r="L64" s="6">
        <v>122</v>
      </c>
      <c r="M64" s="7">
        <v>3.0000000000000001E-3</v>
      </c>
      <c r="N64" s="6">
        <f>H64*0.3%</f>
        <v>108.44325233932231</v>
      </c>
      <c r="O64" s="11">
        <f t="shared" si="4"/>
        <v>27.327699589509223</v>
      </c>
      <c r="P64" s="6">
        <f t="shared" si="5"/>
        <v>36175.078479363612</v>
      </c>
      <c r="Q64" s="12">
        <v>0.4</v>
      </c>
      <c r="R64" s="6">
        <f t="shared" si="6"/>
        <v>61.000465929235446</v>
      </c>
    </row>
    <row r="65" spans="1:18" x14ac:dyDescent="0.35">
      <c r="A65" t="s">
        <v>68</v>
      </c>
      <c r="B65" t="s">
        <v>5</v>
      </c>
      <c r="C65">
        <v>123</v>
      </c>
      <c r="E65">
        <f t="shared" si="7"/>
        <v>36175.078479363612</v>
      </c>
      <c r="F65" s="8">
        <f t="shared" ref="F65:F68" si="30">E65*0.37%</f>
        <v>133.84779037364538</v>
      </c>
      <c r="G65" s="9">
        <f t="shared" si="1"/>
        <v>33.729643174158639</v>
      </c>
      <c r="H65">
        <f t="shared" si="2"/>
        <v>36208.808122537768</v>
      </c>
      <c r="K65" t="s">
        <v>6</v>
      </c>
      <c r="L65">
        <v>124</v>
      </c>
      <c r="N65" s="6">
        <f t="shared" ref="N65:N68" si="31">H65*0.3%</f>
        <v>108.62642436761331</v>
      </c>
      <c r="O65" s="11">
        <f t="shared" si="4"/>
        <v>27.373858940638556</v>
      </c>
      <c r="P65">
        <f t="shared" si="5"/>
        <v>36236.18198147841</v>
      </c>
      <c r="R65">
        <f t="shared" si="6"/>
        <v>61.103502114797195</v>
      </c>
    </row>
    <row r="66" spans="1:18" x14ac:dyDescent="0.35">
      <c r="A66" t="s">
        <v>69</v>
      </c>
      <c r="B66" t="s">
        <v>5</v>
      </c>
      <c r="C66">
        <v>125</v>
      </c>
      <c r="E66">
        <f t="shared" si="7"/>
        <v>36236.18198147841</v>
      </c>
      <c r="F66" s="8">
        <f t="shared" si="30"/>
        <v>134.07387333147011</v>
      </c>
      <c r="G66" s="9">
        <f t="shared" si="1"/>
        <v>33.786616079530468</v>
      </c>
      <c r="H66">
        <f t="shared" si="2"/>
        <v>36269.968597557941</v>
      </c>
      <c r="K66" t="s">
        <v>6</v>
      </c>
      <c r="L66">
        <v>126</v>
      </c>
      <c r="N66" s="6">
        <f t="shared" si="31"/>
        <v>108.80990579267383</v>
      </c>
      <c r="O66" s="11">
        <f t="shared" si="4"/>
        <v>27.420096259753805</v>
      </c>
      <c r="P66">
        <f t="shared" si="5"/>
        <v>36297.388693817695</v>
      </c>
      <c r="R66">
        <f t="shared" si="6"/>
        <v>61.206712339284273</v>
      </c>
    </row>
    <row r="67" spans="1:18" x14ac:dyDescent="0.35">
      <c r="A67" t="s">
        <v>70</v>
      </c>
      <c r="B67" t="s">
        <v>5</v>
      </c>
      <c r="C67">
        <v>127</v>
      </c>
      <c r="E67">
        <f t="shared" si="7"/>
        <v>36297.388693817695</v>
      </c>
      <c r="F67" s="8">
        <f t="shared" si="30"/>
        <v>134.30033816712549</v>
      </c>
      <c r="G67" s="9">
        <f t="shared" si="1"/>
        <v>33.843685218115624</v>
      </c>
      <c r="H67">
        <f t="shared" si="2"/>
        <v>36331.232379035813</v>
      </c>
      <c r="K67" t="s">
        <v>6</v>
      </c>
      <c r="L67">
        <v>128</v>
      </c>
      <c r="N67" s="6">
        <f t="shared" si="31"/>
        <v>108.99369713710745</v>
      </c>
      <c r="O67" s="11">
        <f t="shared" si="4"/>
        <v>27.466411678551076</v>
      </c>
      <c r="P67">
        <f t="shared" si="5"/>
        <v>36358.698790714363</v>
      </c>
      <c r="R67">
        <f t="shared" si="6"/>
        <v>61.3100968966667</v>
      </c>
    </row>
    <row r="68" spans="1:18" x14ac:dyDescent="0.35">
      <c r="A68" t="s">
        <v>71</v>
      </c>
      <c r="B68" t="s">
        <v>5</v>
      </c>
      <c r="C68">
        <v>129</v>
      </c>
      <c r="E68">
        <f t="shared" si="7"/>
        <v>36358.698790714363</v>
      </c>
      <c r="F68" s="8">
        <f t="shared" si="30"/>
        <v>134.52718552564315</v>
      </c>
      <c r="G68" s="9">
        <f t="shared" si="1"/>
        <v>33.900850752462077</v>
      </c>
      <c r="H68">
        <f t="shared" si="2"/>
        <v>36392.599641466826</v>
      </c>
      <c r="K68" t="s">
        <v>6</v>
      </c>
      <c r="L68">
        <v>130</v>
      </c>
      <c r="N68" s="6">
        <f t="shared" si="31"/>
        <v>109.17779892440048</v>
      </c>
      <c r="O68" s="11">
        <f t="shared" si="4"/>
        <v>27.512805328948922</v>
      </c>
      <c r="P68">
        <f t="shared" si="5"/>
        <v>36420.112446795778</v>
      </c>
      <c r="R68">
        <f t="shared" si="6"/>
        <v>61.413656081410998</v>
      </c>
    </row>
    <row r="69" spans="1:18" s="6" customFormat="1" x14ac:dyDescent="0.35">
      <c r="A69" s="6" t="s">
        <v>72</v>
      </c>
      <c r="B69" s="6" t="s">
        <v>6</v>
      </c>
      <c r="C69" s="6">
        <v>131</v>
      </c>
      <c r="D69" s="7">
        <v>3.0000000000000001E-3</v>
      </c>
      <c r="E69" s="6">
        <f t="shared" si="7"/>
        <v>36420.112446795778</v>
      </c>
      <c r="F69" s="8">
        <f t="shared" ref="F69:F73" si="32">E69*0.3%</f>
        <v>109.26033734038734</v>
      </c>
      <c r="G69" s="9">
        <f t="shared" ref="G69:G132" si="33">F69*25.2%</f>
        <v>27.533605009777609</v>
      </c>
      <c r="H69" s="6">
        <f t="shared" ref="H69:H132" si="34">G69+E69</f>
        <v>36447.646051805554</v>
      </c>
      <c r="K69" s="6" t="s">
        <v>12</v>
      </c>
      <c r="L69" s="6">
        <v>132</v>
      </c>
      <c r="M69" s="7">
        <v>4.0000000000000001E-3</v>
      </c>
      <c r="N69" s="6">
        <f t="shared" ref="N69:N73" si="35">H69*0.4%</f>
        <v>145.79058420722222</v>
      </c>
      <c r="O69" s="11">
        <f t="shared" ref="O69:O132" si="36">N69*25.2%</f>
        <v>36.739227220220002</v>
      </c>
      <c r="P69" s="6">
        <f t="shared" ref="P69:P132" si="37">O69+H69</f>
        <v>36484.385279025773</v>
      </c>
      <c r="R69" s="6">
        <f t="shared" ref="R69:R132" si="38">O69+G69</f>
        <v>64.272832229997618</v>
      </c>
    </row>
    <row r="70" spans="1:18" x14ac:dyDescent="0.35">
      <c r="A70" t="s">
        <v>73</v>
      </c>
      <c r="B70" t="s">
        <v>6</v>
      </c>
      <c r="C70">
        <v>133</v>
      </c>
      <c r="E70">
        <f t="shared" ref="E70:E133" si="39">P69</f>
        <v>36484.385279025773</v>
      </c>
      <c r="F70" s="8">
        <f t="shared" si="32"/>
        <v>109.45315583707732</v>
      </c>
      <c r="G70" s="9">
        <f t="shared" si="33"/>
        <v>27.582195270943483</v>
      </c>
      <c r="H70">
        <f t="shared" si="34"/>
        <v>36511.967474296718</v>
      </c>
      <c r="K70" t="s">
        <v>12</v>
      </c>
      <c r="L70">
        <v>134</v>
      </c>
      <c r="N70" s="6">
        <f t="shared" si="35"/>
        <v>146.04786989718687</v>
      </c>
      <c r="O70" s="11">
        <f t="shared" si="36"/>
        <v>36.804063214091094</v>
      </c>
      <c r="P70">
        <f t="shared" si="37"/>
        <v>36548.771537510809</v>
      </c>
      <c r="R70">
        <f t="shared" si="38"/>
        <v>64.386258485034574</v>
      </c>
    </row>
    <row r="71" spans="1:18" x14ac:dyDescent="0.35">
      <c r="A71" t="s">
        <v>74</v>
      </c>
      <c r="B71" t="s">
        <v>6</v>
      </c>
      <c r="C71">
        <v>135</v>
      </c>
      <c r="E71">
        <f t="shared" si="39"/>
        <v>36548.771537510809</v>
      </c>
      <c r="F71" s="8">
        <f t="shared" si="32"/>
        <v>109.64631461253244</v>
      </c>
      <c r="G71" s="9">
        <f t="shared" si="33"/>
        <v>27.630871282358175</v>
      </c>
      <c r="H71">
        <f t="shared" si="34"/>
        <v>36576.402408793168</v>
      </c>
      <c r="K71" t="s">
        <v>12</v>
      </c>
      <c r="L71">
        <v>136</v>
      </c>
      <c r="N71" s="6">
        <f t="shared" si="35"/>
        <v>146.30560963517269</v>
      </c>
      <c r="O71" s="11">
        <f t="shared" si="36"/>
        <v>36.86901362806352</v>
      </c>
      <c r="P71">
        <f t="shared" si="37"/>
        <v>36613.271422421232</v>
      </c>
      <c r="R71">
        <f t="shared" si="38"/>
        <v>64.499884910421699</v>
      </c>
    </row>
    <row r="72" spans="1:18" x14ac:dyDescent="0.35">
      <c r="A72" t="s">
        <v>75</v>
      </c>
      <c r="B72" t="s">
        <v>6</v>
      </c>
      <c r="C72">
        <v>137</v>
      </c>
      <c r="E72">
        <f t="shared" si="39"/>
        <v>36613.271422421232</v>
      </c>
      <c r="F72" s="8">
        <f t="shared" si="32"/>
        <v>109.83981426726371</v>
      </c>
      <c r="G72" s="9">
        <f t="shared" si="33"/>
        <v>27.679633195350455</v>
      </c>
      <c r="H72">
        <f t="shared" si="34"/>
        <v>36640.951055616584</v>
      </c>
      <c r="K72" t="s">
        <v>12</v>
      </c>
      <c r="L72">
        <v>138</v>
      </c>
      <c r="N72" s="6">
        <f t="shared" si="35"/>
        <v>146.56380422246633</v>
      </c>
      <c r="O72" s="11">
        <f t="shared" si="36"/>
        <v>36.934078664061516</v>
      </c>
      <c r="P72">
        <f t="shared" si="37"/>
        <v>36677.885134280645</v>
      </c>
      <c r="R72">
        <f t="shared" si="38"/>
        <v>64.613711859411978</v>
      </c>
    </row>
    <row r="73" spans="1:18" x14ac:dyDescent="0.35">
      <c r="A73" t="s">
        <v>76</v>
      </c>
      <c r="B73" t="s">
        <v>6</v>
      </c>
      <c r="C73">
        <v>139</v>
      </c>
      <c r="E73">
        <f t="shared" si="39"/>
        <v>36677.885134280645</v>
      </c>
      <c r="F73" s="8">
        <f t="shared" si="32"/>
        <v>110.03365540284193</v>
      </c>
      <c r="G73" s="9">
        <f t="shared" si="33"/>
        <v>27.728481161516168</v>
      </c>
      <c r="H73">
        <f t="shared" si="34"/>
        <v>36705.613615442162</v>
      </c>
      <c r="K73" t="s">
        <v>12</v>
      </c>
      <c r="L73">
        <v>140</v>
      </c>
      <c r="N73" s="6">
        <f t="shared" si="35"/>
        <v>146.82245446176864</v>
      </c>
      <c r="O73" s="11">
        <f t="shared" si="36"/>
        <v>36.9992585243657</v>
      </c>
      <c r="P73">
        <f t="shared" si="37"/>
        <v>36742.612873966529</v>
      </c>
      <c r="R73">
        <f t="shared" si="38"/>
        <v>64.727739685881872</v>
      </c>
    </row>
    <row r="74" spans="1:18" s="6" customFormat="1" x14ac:dyDescent="0.35">
      <c r="A74" s="6" t="s">
        <v>77</v>
      </c>
      <c r="B74" s="6" t="s">
        <v>5</v>
      </c>
      <c r="C74" s="6">
        <v>141</v>
      </c>
      <c r="D74" s="7">
        <v>4.0000000000000001E-3</v>
      </c>
      <c r="E74" s="6">
        <f t="shared" si="39"/>
        <v>36742.612873966529</v>
      </c>
      <c r="F74" s="8">
        <f>E74*0.4%</f>
        <v>146.97045149586612</v>
      </c>
      <c r="G74" s="9">
        <f t="shared" si="33"/>
        <v>37.036553776958264</v>
      </c>
      <c r="H74" s="6">
        <f t="shared" si="34"/>
        <v>36779.64942774349</v>
      </c>
      <c r="K74" s="6" t="s">
        <v>12</v>
      </c>
      <c r="L74" s="6">
        <v>142</v>
      </c>
      <c r="M74" s="7">
        <v>5.0000000000000001E-3</v>
      </c>
      <c r="N74" s="6">
        <f>H74*0.5%</f>
        <v>183.89824713871747</v>
      </c>
      <c r="O74" s="11">
        <f t="shared" si="36"/>
        <v>46.342358278956802</v>
      </c>
      <c r="P74" s="6">
        <f t="shared" si="37"/>
        <v>36825.991786022445</v>
      </c>
      <c r="R74" s="6">
        <f t="shared" si="38"/>
        <v>83.378912055915066</v>
      </c>
    </row>
    <row r="75" spans="1:18" x14ac:dyDescent="0.35">
      <c r="A75" t="s">
        <v>78</v>
      </c>
      <c r="B75" t="s">
        <v>5</v>
      </c>
      <c r="C75">
        <v>143</v>
      </c>
      <c r="E75">
        <f t="shared" si="39"/>
        <v>36825.991786022445</v>
      </c>
      <c r="F75" s="8">
        <f t="shared" ref="F75:F78" si="40">E75*0.4%</f>
        <v>147.3039671440898</v>
      </c>
      <c r="G75" s="9">
        <f t="shared" si="33"/>
        <v>37.120599720310629</v>
      </c>
      <c r="H75">
        <f t="shared" si="34"/>
        <v>36863.112385742759</v>
      </c>
      <c r="K75" t="s">
        <v>12</v>
      </c>
      <c r="L75">
        <v>144</v>
      </c>
      <c r="N75" s="6">
        <f t="shared" ref="N75:N78" si="41">H75*0.5%</f>
        <v>184.31556192871381</v>
      </c>
      <c r="O75" s="11">
        <f t="shared" si="36"/>
        <v>46.447521606035878</v>
      </c>
      <c r="P75">
        <f t="shared" si="37"/>
        <v>36909.559907348797</v>
      </c>
      <c r="R75">
        <f t="shared" si="38"/>
        <v>83.5681213263465</v>
      </c>
    </row>
    <row r="76" spans="1:18" x14ac:dyDescent="0.35">
      <c r="A76" t="s">
        <v>79</v>
      </c>
      <c r="B76" t="s">
        <v>5</v>
      </c>
      <c r="C76">
        <v>145</v>
      </c>
      <c r="E76">
        <f t="shared" si="39"/>
        <v>36909.559907348797</v>
      </c>
      <c r="F76" s="8">
        <f t="shared" si="40"/>
        <v>147.6382396293952</v>
      </c>
      <c r="G76" s="9">
        <f t="shared" si="33"/>
        <v>37.204836386607589</v>
      </c>
      <c r="H76">
        <f t="shared" si="34"/>
        <v>36946.764743735403</v>
      </c>
      <c r="K76" t="s">
        <v>12</v>
      </c>
      <c r="L76">
        <v>146</v>
      </c>
      <c r="N76" s="6">
        <f t="shared" si="41"/>
        <v>184.73382371867703</v>
      </c>
      <c r="O76" s="11">
        <f t="shared" si="36"/>
        <v>46.552923577106611</v>
      </c>
      <c r="P76">
        <f t="shared" si="37"/>
        <v>36993.317667312513</v>
      </c>
      <c r="R76">
        <f t="shared" si="38"/>
        <v>83.757759963714193</v>
      </c>
    </row>
    <row r="77" spans="1:18" x14ac:dyDescent="0.35">
      <c r="A77" t="s">
        <v>80</v>
      </c>
      <c r="B77" t="s">
        <v>5</v>
      </c>
      <c r="C77">
        <v>147</v>
      </c>
      <c r="E77">
        <f t="shared" si="39"/>
        <v>36993.317667312513</v>
      </c>
      <c r="F77" s="8">
        <f t="shared" si="40"/>
        <v>147.97327066925004</v>
      </c>
      <c r="G77" s="9">
        <f t="shared" si="33"/>
        <v>37.289264208651012</v>
      </c>
      <c r="H77">
        <f t="shared" si="34"/>
        <v>37030.606931521164</v>
      </c>
      <c r="K77" t="s">
        <v>12</v>
      </c>
      <c r="L77">
        <v>148</v>
      </c>
      <c r="N77" s="6">
        <f t="shared" si="41"/>
        <v>185.15303465760582</v>
      </c>
      <c r="O77" s="11">
        <f t="shared" si="36"/>
        <v>46.658564733716666</v>
      </c>
      <c r="P77">
        <f t="shared" si="37"/>
        <v>37077.265496254884</v>
      </c>
      <c r="R77">
        <f t="shared" si="38"/>
        <v>83.947828942367678</v>
      </c>
    </row>
    <row r="78" spans="1:18" x14ac:dyDescent="0.35">
      <c r="A78" t="s">
        <v>81</v>
      </c>
      <c r="B78" t="s">
        <v>5</v>
      </c>
      <c r="C78">
        <v>149</v>
      </c>
      <c r="E78">
        <f t="shared" si="39"/>
        <v>37077.265496254884</v>
      </c>
      <c r="F78" s="8">
        <f t="shared" si="40"/>
        <v>148.30906198501953</v>
      </c>
      <c r="G78" s="9">
        <f t="shared" si="33"/>
        <v>37.373883620224923</v>
      </c>
      <c r="H78">
        <f t="shared" si="34"/>
        <v>37114.639379875109</v>
      </c>
      <c r="K78" t="s">
        <v>12</v>
      </c>
      <c r="L78">
        <v>150</v>
      </c>
      <c r="N78" s="6">
        <f t="shared" si="41"/>
        <v>185.57319689937555</v>
      </c>
      <c r="O78" s="11">
        <f t="shared" si="36"/>
        <v>46.76444561864264</v>
      </c>
      <c r="P78">
        <f t="shared" si="37"/>
        <v>37161.403825493748</v>
      </c>
      <c r="R78">
        <f t="shared" si="38"/>
        <v>84.138329238867556</v>
      </c>
    </row>
    <row r="79" spans="1:18" s="6" customFormat="1" x14ac:dyDescent="0.35">
      <c r="A79" s="6" t="s">
        <v>82</v>
      </c>
      <c r="B79" s="6" t="s">
        <v>5</v>
      </c>
      <c r="C79" s="6">
        <v>151</v>
      </c>
      <c r="D79" s="7">
        <v>5.0000000000000001E-3</v>
      </c>
      <c r="E79" s="6">
        <f t="shared" si="39"/>
        <v>37161.403825493748</v>
      </c>
      <c r="F79" s="8">
        <f>E79*0.5%</f>
        <v>185.80701912746875</v>
      </c>
      <c r="G79" s="9">
        <f t="shared" si="33"/>
        <v>46.823368820122127</v>
      </c>
      <c r="H79" s="6">
        <f t="shared" si="34"/>
        <v>37208.227194313869</v>
      </c>
      <c r="K79" s="6" t="s">
        <v>6</v>
      </c>
      <c r="L79" s="6">
        <v>152</v>
      </c>
      <c r="M79" s="7">
        <v>4.4999999999999997E-3</v>
      </c>
      <c r="N79" s="6">
        <f>H79*0.45%</f>
        <v>167.43702237441244</v>
      </c>
      <c r="O79" s="11">
        <f t="shared" si="36"/>
        <v>42.194129638351932</v>
      </c>
      <c r="P79" s="6">
        <f t="shared" si="37"/>
        <v>37250.421323952221</v>
      </c>
      <c r="R79" s="6">
        <f t="shared" si="38"/>
        <v>89.017498458474051</v>
      </c>
    </row>
    <row r="80" spans="1:18" x14ac:dyDescent="0.35">
      <c r="A80" t="s">
        <v>83</v>
      </c>
      <c r="B80" t="s">
        <v>5</v>
      </c>
      <c r="C80">
        <v>153</v>
      </c>
      <c r="E80">
        <f t="shared" si="39"/>
        <v>37250.421323952221</v>
      </c>
      <c r="F80" s="8">
        <f t="shared" ref="F80:F83" si="42">E80*0.5%</f>
        <v>186.25210661976112</v>
      </c>
      <c r="G80" s="9">
        <f t="shared" si="33"/>
        <v>46.935530868179804</v>
      </c>
      <c r="H80">
        <f t="shared" si="34"/>
        <v>37297.356854820398</v>
      </c>
      <c r="K80" t="s">
        <v>6</v>
      </c>
      <c r="L80">
        <v>154</v>
      </c>
      <c r="N80" s="6">
        <f t="shared" ref="N80:N83" si="43">H80*0.45%</f>
        <v>167.8381058466918</v>
      </c>
      <c r="O80" s="11">
        <f t="shared" si="36"/>
        <v>42.295202673366333</v>
      </c>
      <c r="P80">
        <f t="shared" si="37"/>
        <v>37339.652057493768</v>
      </c>
      <c r="R80">
        <f t="shared" si="38"/>
        <v>89.23073354154613</v>
      </c>
    </row>
    <row r="81" spans="1:18" x14ac:dyDescent="0.35">
      <c r="A81" t="s">
        <v>84</v>
      </c>
      <c r="B81" t="s">
        <v>5</v>
      </c>
      <c r="C81">
        <v>155</v>
      </c>
      <c r="E81">
        <f t="shared" si="39"/>
        <v>37339.652057493768</v>
      </c>
      <c r="F81" s="8">
        <f t="shared" si="42"/>
        <v>186.69826028746886</v>
      </c>
      <c r="G81" s="9">
        <f t="shared" si="33"/>
        <v>47.047961592442149</v>
      </c>
      <c r="H81">
        <f t="shared" si="34"/>
        <v>37386.700019086209</v>
      </c>
      <c r="K81" t="s">
        <v>6</v>
      </c>
      <c r="L81">
        <v>156</v>
      </c>
      <c r="N81" s="6">
        <f t="shared" si="43"/>
        <v>168.24015008588796</v>
      </c>
      <c r="O81" s="11">
        <f t="shared" si="36"/>
        <v>42.396517821643769</v>
      </c>
      <c r="P81">
        <f t="shared" si="37"/>
        <v>37429.096536907855</v>
      </c>
      <c r="R81">
        <f t="shared" si="38"/>
        <v>89.444479414085919</v>
      </c>
    </row>
    <row r="82" spans="1:18" x14ac:dyDescent="0.35">
      <c r="A82" t="s">
        <v>85</v>
      </c>
      <c r="B82" t="s">
        <v>5</v>
      </c>
      <c r="C82">
        <v>157</v>
      </c>
      <c r="E82">
        <f t="shared" si="39"/>
        <v>37429.096536907855</v>
      </c>
      <c r="F82" s="8">
        <f t="shared" si="42"/>
        <v>187.14548268453927</v>
      </c>
      <c r="G82" s="9">
        <f t="shared" si="33"/>
        <v>47.160661636503896</v>
      </c>
      <c r="H82">
        <f t="shared" si="34"/>
        <v>37476.257198544357</v>
      </c>
      <c r="K82" t="s">
        <v>6</v>
      </c>
      <c r="L82">
        <v>158</v>
      </c>
      <c r="N82" s="6">
        <f t="shared" si="43"/>
        <v>168.64315739344963</v>
      </c>
      <c r="O82" s="11">
        <f t="shared" si="36"/>
        <v>42.498075663149308</v>
      </c>
      <c r="P82">
        <f t="shared" si="37"/>
        <v>37518.755274207506</v>
      </c>
      <c r="R82">
        <f t="shared" si="38"/>
        <v>89.658737299653211</v>
      </c>
    </row>
    <row r="83" spans="1:18" x14ac:dyDescent="0.35">
      <c r="A83" t="s">
        <v>86</v>
      </c>
      <c r="B83" t="s">
        <v>5</v>
      </c>
      <c r="C83">
        <v>159</v>
      </c>
      <c r="E83">
        <f t="shared" si="39"/>
        <v>37518.755274207506</v>
      </c>
      <c r="F83" s="8">
        <f t="shared" si="42"/>
        <v>187.59377637103754</v>
      </c>
      <c r="G83" s="9">
        <f t="shared" si="33"/>
        <v>47.27363164550146</v>
      </c>
      <c r="H83">
        <f t="shared" si="34"/>
        <v>37566.028905853011</v>
      </c>
      <c r="K83" t="s">
        <v>6</v>
      </c>
      <c r="L83">
        <v>160</v>
      </c>
      <c r="N83" s="6">
        <f t="shared" si="43"/>
        <v>169.04713007633856</v>
      </c>
      <c r="O83" s="11">
        <f t="shared" si="36"/>
        <v>42.59987677923732</v>
      </c>
      <c r="P83">
        <f t="shared" si="37"/>
        <v>37608.628782632251</v>
      </c>
      <c r="R83">
        <f t="shared" si="38"/>
        <v>89.873508424738787</v>
      </c>
    </row>
    <row r="84" spans="1:18" s="6" customFormat="1" x14ac:dyDescent="0.35">
      <c r="A84" s="6" t="s">
        <v>87</v>
      </c>
      <c r="B84" s="6" t="s">
        <v>5</v>
      </c>
      <c r="C84" s="6">
        <v>161</v>
      </c>
      <c r="D84" s="7">
        <v>6.0000000000000001E-3</v>
      </c>
      <c r="E84" s="6">
        <f t="shared" si="39"/>
        <v>37608.628782632251</v>
      </c>
      <c r="F84" s="8">
        <f>E84*0.6%</f>
        <v>225.65177269579351</v>
      </c>
      <c r="G84" s="9">
        <f t="shared" si="33"/>
        <v>56.864246719339967</v>
      </c>
      <c r="H84" s="6">
        <f t="shared" si="34"/>
        <v>37665.493029351594</v>
      </c>
      <c r="K84" s="6" t="s">
        <v>12</v>
      </c>
      <c r="L84" s="6">
        <v>162</v>
      </c>
      <c r="M84" s="7">
        <v>7.0000000000000001E-3</v>
      </c>
      <c r="N84" s="6">
        <f>H84*0.7%</f>
        <v>263.65845120546112</v>
      </c>
      <c r="O84" s="11">
        <f t="shared" si="36"/>
        <v>66.441929703776196</v>
      </c>
      <c r="P84" s="6">
        <f t="shared" si="37"/>
        <v>37731.934959055368</v>
      </c>
      <c r="R84" s="6">
        <f t="shared" si="38"/>
        <v>123.30617642311617</v>
      </c>
    </row>
    <row r="85" spans="1:18" x14ac:dyDescent="0.35">
      <c r="A85" t="s">
        <v>88</v>
      </c>
      <c r="B85" t="s">
        <v>5</v>
      </c>
      <c r="C85">
        <v>163</v>
      </c>
      <c r="E85">
        <f t="shared" si="39"/>
        <v>37731.934959055368</v>
      </c>
      <c r="F85" s="8">
        <f t="shared" ref="F85:F88" si="44">E85*0.6%</f>
        <v>226.39160975433222</v>
      </c>
      <c r="G85" s="9">
        <f t="shared" si="33"/>
        <v>57.050685658091723</v>
      </c>
      <c r="H85">
        <f t="shared" si="34"/>
        <v>37788.985644713459</v>
      </c>
      <c r="K85" t="s">
        <v>12</v>
      </c>
      <c r="L85">
        <v>164</v>
      </c>
      <c r="N85" s="6">
        <f t="shared" ref="N85:N88" si="45">H85*0.7%</f>
        <v>264.52289951299417</v>
      </c>
      <c r="O85" s="11">
        <f t="shared" si="36"/>
        <v>66.659770677274537</v>
      </c>
      <c r="P85">
        <f t="shared" si="37"/>
        <v>37855.645415390733</v>
      </c>
      <c r="R85">
        <f t="shared" si="38"/>
        <v>123.71045633536626</v>
      </c>
    </row>
    <row r="86" spans="1:18" x14ac:dyDescent="0.35">
      <c r="A86" t="s">
        <v>89</v>
      </c>
      <c r="B86" t="s">
        <v>5</v>
      </c>
      <c r="C86">
        <v>165</v>
      </c>
      <c r="E86">
        <f t="shared" si="39"/>
        <v>37855.645415390733</v>
      </c>
      <c r="F86" s="8">
        <f t="shared" si="44"/>
        <v>227.13387249234441</v>
      </c>
      <c r="G86" s="9">
        <f t="shared" si="33"/>
        <v>57.237735868070793</v>
      </c>
      <c r="H86">
        <f t="shared" si="34"/>
        <v>37912.8831512588</v>
      </c>
      <c r="K86" t="s">
        <v>12</v>
      </c>
      <c r="L86">
        <v>166</v>
      </c>
      <c r="N86" s="6">
        <f t="shared" si="45"/>
        <v>265.39018205881155</v>
      </c>
      <c r="O86" s="11">
        <f t="shared" si="36"/>
        <v>66.878325878820505</v>
      </c>
      <c r="P86">
        <f t="shared" si="37"/>
        <v>37979.761477137617</v>
      </c>
      <c r="R86">
        <f t="shared" si="38"/>
        <v>124.11606174689129</v>
      </c>
    </row>
    <row r="87" spans="1:18" x14ac:dyDescent="0.35">
      <c r="A87" t="s">
        <v>90</v>
      </c>
      <c r="B87" t="s">
        <v>5</v>
      </c>
      <c r="C87">
        <v>167</v>
      </c>
      <c r="E87">
        <f t="shared" si="39"/>
        <v>37979.761477137617</v>
      </c>
      <c r="F87" s="8">
        <f t="shared" si="44"/>
        <v>227.87856886282572</v>
      </c>
      <c r="G87" s="9">
        <f t="shared" si="33"/>
        <v>57.425399353432084</v>
      </c>
      <c r="H87">
        <f t="shared" si="34"/>
        <v>38037.186876491047</v>
      </c>
      <c r="K87" t="s">
        <v>12</v>
      </c>
      <c r="L87">
        <v>168</v>
      </c>
      <c r="N87" s="6">
        <f t="shared" si="45"/>
        <v>266.2603081354373</v>
      </c>
      <c r="O87" s="11">
        <f t="shared" si="36"/>
        <v>67.097597650130197</v>
      </c>
      <c r="P87">
        <f t="shared" si="37"/>
        <v>38104.284474141175</v>
      </c>
      <c r="R87">
        <f t="shared" si="38"/>
        <v>124.52299700356228</v>
      </c>
    </row>
    <row r="88" spans="1:18" x14ac:dyDescent="0.35">
      <c r="A88" t="s">
        <v>91</v>
      </c>
      <c r="B88" t="s">
        <v>5</v>
      </c>
      <c r="C88">
        <v>169</v>
      </c>
      <c r="E88">
        <f t="shared" si="39"/>
        <v>38104.284474141175</v>
      </c>
      <c r="F88" s="8">
        <f t="shared" si="44"/>
        <v>228.62570684484706</v>
      </c>
      <c r="G88" s="9">
        <f t="shared" si="33"/>
        <v>57.613678124901462</v>
      </c>
      <c r="H88">
        <f t="shared" si="34"/>
        <v>38161.898152266076</v>
      </c>
      <c r="K88" t="s">
        <v>12</v>
      </c>
      <c r="L88">
        <v>170</v>
      </c>
      <c r="N88" s="6">
        <f t="shared" si="45"/>
        <v>267.13328706586253</v>
      </c>
      <c r="O88" s="11">
        <f t="shared" si="36"/>
        <v>67.317588340597354</v>
      </c>
      <c r="P88">
        <f t="shared" si="37"/>
        <v>38229.215740606676</v>
      </c>
      <c r="R88">
        <f t="shared" si="38"/>
        <v>124.93126646549882</v>
      </c>
    </row>
    <row r="89" spans="1:18" s="6" customFormat="1" x14ac:dyDescent="0.35">
      <c r="A89" s="6" t="s">
        <v>92</v>
      </c>
      <c r="B89" s="6" t="s">
        <v>5</v>
      </c>
      <c r="C89" s="6">
        <v>171</v>
      </c>
      <c r="D89" s="7">
        <v>7.0000000000000001E-3</v>
      </c>
      <c r="E89" s="6">
        <f t="shared" si="39"/>
        <v>38229.215740606676</v>
      </c>
      <c r="F89" s="8">
        <f>E89*0.7%</f>
        <v>267.60451018424669</v>
      </c>
      <c r="G89" s="9">
        <f t="shared" si="33"/>
        <v>67.436336566430171</v>
      </c>
      <c r="H89" s="6">
        <f t="shared" si="34"/>
        <v>38296.652077173108</v>
      </c>
      <c r="K89" s="6" t="s">
        <v>12</v>
      </c>
      <c r="L89" s="6">
        <v>172</v>
      </c>
      <c r="M89" s="7">
        <v>8.0000000000000002E-3</v>
      </c>
      <c r="N89" s="6">
        <f>H89*0.8%</f>
        <v>306.37321661738486</v>
      </c>
      <c r="O89" s="11">
        <f t="shared" si="36"/>
        <v>77.206050587580989</v>
      </c>
      <c r="P89" s="6">
        <f t="shared" si="37"/>
        <v>38373.858127760686</v>
      </c>
      <c r="R89" s="6">
        <f t="shared" si="38"/>
        <v>144.64238715401115</v>
      </c>
    </row>
    <row r="90" spans="1:18" x14ac:dyDescent="0.35">
      <c r="A90" t="s">
        <v>93</v>
      </c>
      <c r="B90" t="s">
        <v>5</v>
      </c>
      <c r="C90">
        <v>173</v>
      </c>
      <c r="E90">
        <f t="shared" si="39"/>
        <v>38373.858127760686</v>
      </c>
      <c r="F90" s="8">
        <f t="shared" ref="F90:F93" si="46">E90*0.7%</f>
        <v>268.61700689432479</v>
      </c>
      <c r="G90" s="9">
        <f t="shared" si="33"/>
        <v>67.691485737369845</v>
      </c>
      <c r="H90">
        <f t="shared" si="34"/>
        <v>38441.549613498057</v>
      </c>
      <c r="K90" t="s">
        <v>12</v>
      </c>
      <c r="L90">
        <v>174</v>
      </c>
      <c r="N90" s="6">
        <f t="shared" ref="N90:N93" si="47">H90*0.8%</f>
        <v>307.53239690798443</v>
      </c>
      <c r="O90" s="11">
        <f t="shared" si="36"/>
        <v>77.498164020812084</v>
      </c>
      <c r="P90">
        <f t="shared" si="37"/>
        <v>38519.04777751887</v>
      </c>
      <c r="R90">
        <f t="shared" si="38"/>
        <v>145.18964975818193</v>
      </c>
    </row>
    <row r="91" spans="1:18" x14ac:dyDescent="0.35">
      <c r="A91" t="s">
        <v>94</v>
      </c>
      <c r="B91" t="s">
        <v>5</v>
      </c>
      <c r="C91">
        <v>175</v>
      </c>
      <c r="E91">
        <f t="shared" si="39"/>
        <v>38519.04777751887</v>
      </c>
      <c r="F91" s="8">
        <f t="shared" si="46"/>
        <v>269.63333444263208</v>
      </c>
      <c r="G91" s="9">
        <f t="shared" si="33"/>
        <v>67.947600279543281</v>
      </c>
      <c r="H91">
        <f t="shared" si="34"/>
        <v>38586.995377798412</v>
      </c>
      <c r="K91" t="s">
        <v>12</v>
      </c>
      <c r="L91">
        <v>176</v>
      </c>
      <c r="N91" s="6">
        <f t="shared" si="47"/>
        <v>308.69596302238728</v>
      </c>
      <c r="O91" s="11">
        <f t="shared" si="36"/>
        <v>77.791382681641593</v>
      </c>
      <c r="P91">
        <f t="shared" si="37"/>
        <v>38664.786760480056</v>
      </c>
      <c r="R91">
        <f t="shared" si="38"/>
        <v>145.73898296118489</v>
      </c>
    </row>
    <row r="92" spans="1:18" x14ac:dyDescent="0.35">
      <c r="A92" t="s">
        <v>95</v>
      </c>
      <c r="B92" t="s">
        <v>5</v>
      </c>
      <c r="C92">
        <v>177</v>
      </c>
      <c r="E92">
        <f t="shared" si="39"/>
        <v>38664.786760480056</v>
      </c>
      <c r="F92" s="8">
        <f t="shared" si="46"/>
        <v>270.65350732336037</v>
      </c>
      <c r="G92" s="9">
        <f t="shared" si="33"/>
        <v>68.204683845486812</v>
      </c>
      <c r="H92">
        <f t="shared" si="34"/>
        <v>38732.99144432554</v>
      </c>
      <c r="K92" t="s">
        <v>12</v>
      </c>
      <c r="L92">
        <v>178</v>
      </c>
      <c r="N92" s="6">
        <f t="shared" si="47"/>
        <v>309.86393155460433</v>
      </c>
      <c r="O92" s="11">
        <f t="shared" si="36"/>
        <v>78.085710751760288</v>
      </c>
      <c r="P92">
        <f t="shared" si="37"/>
        <v>38811.077155077299</v>
      </c>
      <c r="R92">
        <f t="shared" si="38"/>
        <v>146.29039459724709</v>
      </c>
    </row>
    <row r="93" spans="1:18" s="13" customFormat="1" x14ac:dyDescent="0.35">
      <c r="A93" s="13" t="s">
        <v>96</v>
      </c>
      <c r="B93" s="13" t="s">
        <v>5</v>
      </c>
      <c r="C93" s="13">
        <v>179</v>
      </c>
      <c r="E93" s="13">
        <f t="shared" si="39"/>
        <v>38811.077155077299</v>
      </c>
      <c r="F93" s="14">
        <f t="shared" si="46"/>
        <v>271.67754008554107</v>
      </c>
      <c r="G93" s="9">
        <f t="shared" si="33"/>
        <v>68.462740101556349</v>
      </c>
      <c r="H93" s="13">
        <f t="shared" si="34"/>
        <v>38879.539895178852</v>
      </c>
      <c r="K93" s="13" t="s">
        <v>12</v>
      </c>
      <c r="L93" s="13">
        <v>180</v>
      </c>
      <c r="N93" s="13">
        <f t="shared" si="47"/>
        <v>311.03631916143081</v>
      </c>
      <c r="O93" s="11">
        <f t="shared" si="36"/>
        <v>78.381152428680565</v>
      </c>
      <c r="P93" s="13">
        <f t="shared" si="37"/>
        <v>38957.921047607531</v>
      </c>
      <c r="R93" s="13">
        <f t="shared" si="38"/>
        <v>146.84389253023693</v>
      </c>
    </row>
    <row r="94" spans="1:18" s="6" customFormat="1" x14ac:dyDescent="0.35">
      <c r="A94" s="6" t="s">
        <v>97</v>
      </c>
      <c r="B94" s="6" t="s">
        <v>6</v>
      </c>
      <c r="C94" s="6">
        <v>181</v>
      </c>
      <c r="D94" s="7">
        <v>6.4999999999999997E-3</v>
      </c>
      <c r="E94" s="6">
        <f t="shared" si="39"/>
        <v>38957.921047607531</v>
      </c>
      <c r="F94" s="8">
        <f>E94*0.65%</f>
        <v>253.22648680944897</v>
      </c>
      <c r="G94" s="9">
        <f t="shared" si="33"/>
        <v>63.813074675981142</v>
      </c>
      <c r="H94" s="6">
        <f t="shared" si="34"/>
        <v>39021.734122283509</v>
      </c>
      <c r="I94" s="12">
        <v>0.45</v>
      </c>
      <c r="J94" s="12"/>
      <c r="K94" s="12" t="s">
        <v>12</v>
      </c>
      <c r="L94" s="6">
        <v>182</v>
      </c>
      <c r="M94" s="7">
        <v>8.9999999999999993E-3</v>
      </c>
      <c r="N94" s="6">
        <f>H94*0.9%</f>
        <v>351.19560710055163</v>
      </c>
      <c r="O94" s="11">
        <f t="shared" si="36"/>
        <v>88.501292989339007</v>
      </c>
      <c r="P94" s="6">
        <f t="shared" si="37"/>
        <v>39110.235415272851</v>
      </c>
      <c r="R94" s="6">
        <f t="shared" si="38"/>
        <v>152.31436766532016</v>
      </c>
    </row>
    <row r="95" spans="1:18" x14ac:dyDescent="0.35">
      <c r="A95" t="s">
        <v>98</v>
      </c>
      <c r="B95" t="s">
        <v>6</v>
      </c>
      <c r="C95">
        <v>183</v>
      </c>
      <c r="E95">
        <f t="shared" si="39"/>
        <v>39110.235415272851</v>
      </c>
      <c r="F95" s="8">
        <f t="shared" ref="F95:F98" si="48">E95*0.65%</f>
        <v>254.21653019927356</v>
      </c>
      <c r="G95" s="9">
        <f t="shared" si="33"/>
        <v>64.062565610216936</v>
      </c>
      <c r="H95">
        <f t="shared" si="34"/>
        <v>39174.297980883071</v>
      </c>
      <c r="K95" t="s">
        <v>12</v>
      </c>
      <c r="L95">
        <v>184</v>
      </c>
      <c r="N95" s="6">
        <f t="shared" ref="N95:N98" si="49">H95*0.9%</f>
        <v>352.56868182794767</v>
      </c>
      <c r="O95" s="11">
        <f t="shared" si="36"/>
        <v>88.847307820642811</v>
      </c>
      <c r="P95">
        <f t="shared" si="37"/>
        <v>39263.145288703716</v>
      </c>
      <c r="R95">
        <f t="shared" si="38"/>
        <v>152.90987343085976</v>
      </c>
    </row>
    <row r="96" spans="1:18" x14ac:dyDescent="0.35">
      <c r="A96" t="s">
        <v>99</v>
      </c>
      <c r="B96" t="s">
        <v>6</v>
      </c>
      <c r="C96">
        <v>185</v>
      </c>
      <c r="E96">
        <f t="shared" si="39"/>
        <v>39263.145288703716</v>
      </c>
      <c r="F96" s="8">
        <f t="shared" si="48"/>
        <v>255.21044437657417</v>
      </c>
      <c r="G96" s="9">
        <f t="shared" si="33"/>
        <v>64.313031982896689</v>
      </c>
      <c r="H96">
        <f t="shared" si="34"/>
        <v>39327.458320686615</v>
      </c>
      <c r="K96" t="s">
        <v>12</v>
      </c>
      <c r="L96">
        <v>186</v>
      </c>
      <c r="N96" s="6">
        <f t="shared" si="49"/>
        <v>353.94712488617961</v>
      </c>
      <c r="O96" s="11">
        <f t="shared" si="36"/>
        <v>89.194675471317268</v>
      </c>
      <c r="P96">
        <f t="shared" si="37"/>
        <v>39416.652996157936</v>
      </c>
      <c r="R96">
        <f t="shared" si="38"/>
        <v>153.50770745421397</v>
      </c>
    </row>
    <row r="97" spans="1:18" x14ac:dyDescent="0.35">
      <c r="A97" t="s">
        <v>100</v>
      </c>
      <c r="B97" t="s">
        <v>6</v>
      </c>
      <c r="C97">
        <v>187</v>
      </c>
      <c r="E97">
        <f t="shared" si="39"/>
        <v>39416.652996157936</v>
      </c>
      <c r="F97" s="8">
        <f t="shared" si="48"/>
        <v>256.20824447502662</v>
      </c>
      <c r="G97" s="9">
        <f t="shared" si="33"/>
        <v>64.564477607706706</v>
      </c>
      <c r="H97">
        <f t="shared" si="34"/>
        <v>39481.217473765646</v>
      </c>
      <c r="K97" t="s">
        <v>12</v>
      </c>
      <c r="L97">
        <v>188</v>
      </c>
      <c r="N97" s="6">
        <f t="shared" si="49"/>
        <v>355.33095726389087</v>
      </c>
      <c r="O97" s="11">
        <f t="shared" si="36"/>
        <v>89.543401230500493</v>
      </c>
      <c r="P97">
        <f t="shared" si="37"/>
        <v>39570.760874996144</v>
      </c>
      <c r="R97">
        <f t="shared" si="38"/>
        <v>154.1078788382072</v>
      </c>
    </row>
    <row r="98" spans="1:18" x14ac:dyDescent="0.35">
      <c r="A98" t="s">
        <v>101</v>
      </c>
      <c r="B98" t="s">
        <v>6</v>
      </c>
      <c r="C98">
        <v>189</v>
      </c>
      <c r="E98">
        <f t="shared" si="39"/>
        <v>39570.760874996144</v>
      </c>
      <c r="F98" s="8">
        <f t="shared" si="48"/>
        <v>257.20994568747494</v>
      </c>
      <c r="G98" s="9">
        <f t="shared" si="33"/>
        <v>64.816906313243692</v>
      </c>
      <c r="H98">
        <f t="shared" si="34"/>
        <v>39635.577781309388</v>
      </c>
      <c r="K98" t="s">
        <v>12</v>
      </c>
      <c r="L98">
        <v>190</v>
      </c>
      <c r="N98" s="6">
        <f t="shared" si="49"/>
        <v>356.72020003178454</v>
      </c>
      <c r="O98" s="11">
        <f t="shared" si="36"/>
        <v>89.893490408009711</v>
      </c>
      <c r="P98">
        <f t="shared" si="37"/>
        <v>39725.471271717397</v>
      </c>
      <c r="R98">
        <f t="shared" si="38"/>
        <v>154.7103967212534</v>
      </c>
    </row>
    <row r="99" spans="1:18" s="6" customFormat="1" x14ac:dyDescent="0.35">
      <c r="A99" s="6" t="s">
        <v>102</v>
      </c>
      <c r="B99" s="6" t="s">
        <v>6</v>
      </c>
      <c r="C99" s="6">
        <v>191</v>
      </c>
      <c r="D99" s="7">
        <v>6.0000000000000001E-3</v>
      </c>
      <c r="E99" s="6">
        <f t="shared" si="39"/>
        <v>39725.471271717397</v>
      </c>
      <c r="F99" s="8">
        <f>E99*0.6%</f>
        <v>238.35282763030438</v>
      </c>
      <c r="G99" s="9">
        <f t="shared" si="33"/>
        <v>60.064912562836703</v>
      </c>
      <c r="H99" s="6">
        <f t="shared" si="34"/>
        <v>39785.53618428023</v>
      </c>
      <c r="K99" s="6" t="s">
        <v>12</v>
      </c>
      <c r="L99" s="6">
        <v>192</v>
      </c>
      <c r="M99" s="7">
        <v>8.5000000000000006E-3</v>
      </c>
      <c r="N99" s="6">
        <f>H99*0.85%</f>
        <v>338.17705756638196</v>
      </c>
      <c r="O99" s="11">
        <f t="shared" si="36"/>
        <v>85.220618506728258</v>
      </c>
      <c r="P99" s="6">
        <f t="shared" si="37"/>
        <v>39870.756802786957</v>
      </c>
      <c r="R99" s="6">
        <f t="shared" si="38"/>
        <v>145.28553106956497</v>
      </c>
    </row>
    <row r="100" spans="1:18" x14ac:dyDescent="0.35">
      <c r="A100" t="s">
        <v>103</v>
      </c>
      <c r="B100" t="s">
        <v>6</v>
      </c>
      <c r="C100">
        <v>193</v>
      </c>
      <c r="E100">
        <f t="shared" si="39"/>
        <v>39870.756802786957</v>
      </c>
      <c r="F100" s="8">
        <f t="shared" ref="F100:F103" si="50">E100*0.6%</f>
        <v>239.22454081672174</v>
      </c>
      <c r="G100" s="9">
        <f t="shared" si="33"/>
        <v>60.284584285813878</v>
      </c>
      <c r="H100">
        <f t="shared" si="34"/>
        <v>39931.041387072772</v>
      </c>
      <c r="K100" t="s">
        <v>12</v>
      </c>
      <c r="L100">
        <v>194</v>
      </c>
      <c r="N100" s="6">
        <f t="shared" ref="N100:N103" si="51">H100*0.85%</f>
        <v>339.4138517901186</v>
      </c>
      <c r="O100" s="11">
        <f t="shared" si="36"/>
        <v>85.532290651109889</v>
      </c>
      <c r="P100">
        <f t="shared" si="37"/>
        <v>40016.573677723878</v>
      </c>
      <c r="R100">
        <f t="shared" si="38"/>
        <v>145.81687493692377</v>
      </c>
    </row>
    <row r="101" spans="1:18" x14ac:dyDescent="0.35">
      <c r="A101" t="s">
        <v>104</v>
      </c>
      <c r="B101" t="s">
        <v>6</v>
      </c>
      <c r="C101">
        <v>195</v>
      </c>
      <c r="E101">
        <f t="shared" si="39"/>
        <v>40016.573677723878</v>
      </c>
      <c r="F101" s="8">
        <f t="shared" si="50"/>
        <v>240.09944206634327</v>
      </c>
      <c r="G101" s="9">
        <f t="shared" si="33"/>
        <v>60.505059400718508</v>
      </c>
      <c r="H101">
        <f t="shared" si="34"/>
        <v>40077.078737124597</v>
      </c>
      <c r="K101" t="s">
        <v>12</v>
      </c>
      <c r="L101">
        <v>196</v>
      </c>
      <c r="N101" s="6">
        <f t="shared" si="51"/>
        <v>340.6551692655591</v>
      </c>
      <c r="O101" s="11">
        <f t="shared" si="36"/>
        <v>85.845102654920893</v>
      </c>
      <c r="P101">
        <f t="shared" si="37"/>
        <v>40162.92383977952</v>
      </c>
      <c r="R101">
        <f t="shared" si="38"/>
        <v>146.3501620556394</v>
      </c>
    </row>
    <row r="102" spans="1:18" x14ac:dyDescent="0.35">
      <c r="A102" t="s">
        <v>105</v>
      </c>
      <c r="B102" t="s">
        <v>6</v>
      </c>
      <c r="C102">
        <v>197</v>
      </c>
      <c r="E102">
        <f t="shared" si="39"/>
        <v>40162.92383977952</v>
      </c>
      <c r="F102" s="8">
        <f t="shared" si="50"/>
        <v>240.97754303867711</v>
      </c>
      <c r="G102" s="9">
        <f t="shared" si="33"/>
        <v>60.726340845746634</v>
      </c>
      <c r="H102">
        <f t="shared" si="34"/>
        <v>40223.650180625264</v>
      </c>
      <c r="K102" t="s">
        <v>12</v>
      </c>
      <c r="L102">
        <v>198</v>
      </c>
      <c r="N102" s="6">
        <f t="shared" si="51"/>
        <v>341.90102653531477</v>
      </c>
      <c r="O102" s="11">
        <f t="shared" si="36"/>
        <v>86.159058686899328</v>
      </c>
      <c r="P102">
        <f t="shared" si="37"/>
        <v>40309.809239312162</v>
      </c>
      <c r="R102">
        <f t="shared" si="38"/>
        <v>146.88539953264598</v>
      </c>
    </row>
    <row r="103" spans="1:18" x14ac:dyDescent="0.35">
      <c r="A103" t="s">
        <v>106</v>
      </c>
      <c r="B103" t="s">
        <v>6</v>
      </c>
      <c r="C103">
        <v>199</v>
      </c>
      <c r="E103">
        <f t="shared" si="39"/>
        <v>40309.809239312162</v>
      </c>
      <c r="F103" s="8">
        <f t="shared" si="50"/>
        <v>241.85885543587298</v>
      </c>
      <c r="G103" s="9">
        <f t="shared" si="33"/>
        <v>60.94843156983999</v>
      </c>
      <c r="H103">
        <f t="shared" si="34"/>
        <v>40370.757670882005</v>
      </c>
      <c r="K103" t="s">
        <v>12</v>
      </c>
      <c r="L103">
        <v>200</v>
      </c>
      <c r="N103" s="6">
        <f t="shared" si="51"/>
        <v>343.15144020249704</v>
      </c>
      <c r="O103" s="11">
        <f t="shared" si="36"/>
        <v>86.474162931029255</v>
      </c>
      <c r="P103">
        <f t="shared" si="37"/>
        <v>40457.231833813035</v>
      </c>
      <c r="R103">
        <f t="shared" si="38"/>
        <v>147.42259450086925</v>
      </c>
    </row>
    <row r="104" spans="1:18" s="6" customFormat="1" x14ac:dyDescent="0.35">
      <c r="A104" s="6" t="s">
        <v>107</v>
      </c>
      <c r="B104" s="6" t="s">
        <v>6</v>
      </c>
      <c r="C104" s="6">
        <v>201</v>
      </c>
      <c r="D104" s="7">
        <v>5.4999999999999997E-3</v>
      </c>
      <c r="E104" s="6">
        <f t="shared" si="39"/>
        <v>40457.231833813035</v>
      </c>
      <c r="F104" s="8">
        <f>E104*0.55%</f>
        <v>222.51477508597171</v>
      </c>
      <c r="G104" s="9">
        <f t="shared" si="33"/>
        <v>56.073723321664872</v>
      </c>
      <c r="H104" s="6">
        <f t="shared" si="34"/>
        <v>40513.305557134699</v>
      </c>
      <c r="K104" s="6" t="s">
        <v>12</v>
      </c>
      <c r="L104" s="6">
        <v>202</v>
      </c>
      <c r="M104" s="7">
        <v>8.0000000000000002E-3</v>
      </c>
      <c r="N104" s="6">
        <f>H104*0.8%</f>
        <v>324.1064444570776</v>
      </c>
      <c r="O104" s="11">
        <f t="shared" si="36"/>
        <v>81.674824003183559</v>
      </c>
      <c r="P104" s="6">
        <f t="shared" si="37"/>
        <v>40594.980381137881</v>
      </c>
      <c r="R104" s="6">
        <f t="shared" si="38"/>
        <v>137.74854732484843</v>
      </c>
    </row>
    <row r="105" spans="1:18" x14ac:dyDescent="0.35">
      <c r="A105" t="s">
        <v>108</v>
      </c>
      <c r="B105" t="s">
        <v>6</v>
      </c>
      <c r="C105">
        <v>203</v>
      </c>
      <c r="E105">
        <f t="shared" si="39"/>
        <v>40594.980381137881</v>
      </c>
      <c r="F105" s="8">
        <f t="shared" ref="F105:F108" si="52">E105*0.55%</f>
        <v>223.27239209625836</v>
      </c>
      <c r="G105" s="9">
        <f t="shared" si="33"/>
        <v>56.264642808257108</v>
      </c>
      <c r="H105">
        <f t="shared" si="34"/>
        <v>40651.24502394614</v>
      </c>
      <c r="K105" t="s">
        <v>12</v>
      </c>
      <c r="L105">
        <v>204</v>
      </c>
      <c r="N105" s="6">
        <f t="shared" ref="N105:N108" si="53">H105*0.8%</f>
        <v>325.20996019156911</v>
      </c>
      <c r="O105" s="11">
        <f t="shared" si="36"/>
        <v>81.952909968275421</v>
      </c>
      <c r="P105">
        <f t="shared" si="37"/>
        <v>40733.197933914416</v>
      </c>
      <c r="R105">
        <f t="shared" si="38"/>
        <v>138.21755277653253</v>
      </c>
    </row>
    <row r="106" spans="1:18" x14ac:dyDescent="0.35">
      <c r="A106" t="s">
        <v>109</v>
      </c>
      <c r="B106" t="s">
        <v>6</v>
      </c>
      <c r="C106">
        <v>205</v>
      </c>
      <c r="E106">
        <f t="shared" si="39"/>
        <v>40733.197933914416</v>
      </c>
      <c r="F106" s="8">
        <f t="shared" si="52"/>
        <v>224.03258863652931</v>
      </c>
      <c r="G106" s="9">
        <f t="shared" si="33"/>
        <v>56.456212336405386</v>
      </c>
      <c r="H106">
        <f t="shared" si="34"/>
        <v>40789.654146250825</v>
      </c>
      <c r="K106" t="s">
        <v>12</v>
      </c>
      <c r="L106">
        <v>206</v>
      </c>
      <c r="N106" s="6">
        <f t="shared" si="53"/>
        <v>326.3172331700066</v>
      </c>
      <c r="O106" s="11">
        <f t="shared" si="36"/>
        <v>82.231942758841669</v>
      </c>
      <c r="P106">
        <f t="shared" si="37"/>
        <v>40871.886089009669</v>
      </c>
      <c r="R106">
        <f t="shared" si="38"/>
        <v>138.68815509524705</v>
      </c>
    </row>
    <row r="107" spans="1:18" x14ac:dyDescent="0.35">
      <c r="A107" t="s">
        <v>110</v>
      </c>
      <c r="B107" t="s">
        <v>6</v>
      </c>
      <c r="C107">
        <v>207</v>
      </c>
      <c r="E107">
        <f t="shared" si="39"/>
        <v>40871.886089009669</v>
      </c>
      <c r="F107" s="8">
        <f t="shared" si="52"/>
        <v>224.79537348955321</v>
      </c>
      <c r="G107" s="9">
        <f t="shared" si="33"/>
        <v>56.648434119367408</v>
      </c>
      <c r="H107">
        <f t="shared" si="34"/>
        <v>40928.534523129034</v>
      </c>
      <c r="K107" t="s">
        <v>12</v>
      </c>
      <c r="L107">
        <v>208</v>
      </c>
      <c r="N107" s="6">
        <f t="shared" si="53"/>
        <v>327.4282761850323</v>
      </c>
      <c r="O107" s="11">
        <f t="shared" si="36"/>
        <v>82.511925598628139</v>
      </c>
      <c r="P107">
        <f t="shared" si="37"/>
        <v>41011.046448727662</v>
      </c>
      <c r="R107">
        <f t="shared" si="38"/>
        <v>139.16035971799556</v>
      </c>
    </row>
    <row r="108" spans="1:18" x14ac:dyDescent="0.35">
      <c r="A108" t="s">
        <v>111</v>
      </c>
      <c r="B108" t="s">
        <v>6</v>
      </c>
      <c r="C108">
        <v>209</v>
      </c>
      <c r="D108" s="15"/>
      <c r="E108">
        <f t="shared" si="39"/>
        <v>41011.046448727662</v>
      </c>
      <c r="F108" s="8">
        <f t="shared" si="52"/>
        <v>225.56075546800216</v>
      </c>
      <c r="G108" s="9">
        <f t="shared" si="33"/>
        <v>56.841310377936544</v>
      </c>
      <c r="H108">
        <f t="shared" si="34"/>
        <v>41067.887759105601</v>
      </c>
      <c r="K108" t="s">
        <v>12</v>
      </c>
      <c r="L108">
        <v>210</v>
      </c>
      <c r="N108" s="6">
        <f t="shared" si="53"/>
        <v>328.54310207284482</v>
      </c>
      <c r="O108" s="11">
        <f t="shared" si="36"/>
        <v>82.792861722356889</v>
      </c>
      <c r="P108">
        <f t="shared" si="37"/>
        <v>41150.68062082796</v>
      </c>
      <c r="R108">
        <f t="shared" si="38"/>
        <v>139.63417210029343</v>
      </c>
    </row>
    <row r="109" spans="1:18" s="6" customFormat="1" x14ac:dyDescent="0.35">
      <c r="A109" s="6" t="s">
        <v>112</v>
      </c>
      <c r="B109" s="6" t="s">
        <v>6</v>
      </c>
      <c r="C109" s="6">
        <v>211</v>
      </c>
      <c r="D109" s="7">
        <v>5.0000000000000001E-3</v>
      </c>
      <c r="E109" s="6">
        <f t="shared" si="39"/>
        <v>41150.68062082796</v>
      </c>
      <c r="F109" s="8">
        <f>E109*0.5%</f>
        <v>205.75340310413981</v>
      </c>
      <c r="G109" s="9">
        <f t="shared" si="33"/>
        <v>51.849857582243231</v>
      </c>
      <c r="H109" s="6">
        <f t="shared" si="34"/>
        <v>41202.530478410205</v>
      </c>
      <c r="K109" s="6" t="s">
        <v>12</v>
      </c>
      <c r="L109" s="6">
        <v>212</v>
      </c>
      <c r="M109" s="7">
        <v>7.4999999999999997E-3</v>
      </c>
      <c r="N109" s="6">
        <f>H109*0.75%</f>
        <v>309.01897858807655</v>
      </c>
      <c r="O109" s="11">
        <f t="shared" si="36"/>
        <v>77.872782604195294</v>
      </c>
      <c r="P109" s="6">
        <f t="shared" si="37"/>
        <v>41280.403261014399</v>
      </c>
      <c r="R109" s="6">
        <f t="shared" si="38"/>
        <v>129.72264018643853</v>
      </c>
    </row>
    <row r="110" spans="1:18" x14ac:dyDescent="0.35">
      <c r="A110" t="s">
        <v>113</v>
      </c>
      <c r="B110" t="s">
        <v>6</v>
      </c>
      <c r="C110">
        <v>213</v>
      </c>
      <c r="E110">
        <f t="shared" si="39"/>
        <v>41280.403261014399</v>
      </c>
      <c r="F110" s="8">
        <f t="shared" ref="F110:F113" si="54">E110*0.5%</f>
        <v>206.40201630507201</v>
      </c>
      <c r="G110" s="9">
        <f t="shared" si="33"/>
        <v>52.013308108878149</v>
      </c>
      <c r="H110">
        <f t="shared" si="34"/>
        <v>41332.416569123277</v>
      </c>
      <c r="K110" t="s">
        <v>12</v>
      </c>
      <c r="L110">
        <v>214</v>
      </c>
      <c r="N110" s="6">
        <f t="shared" ref="N110:N113" si="55">H110*0.75%</f>
        <v>309.99312426842459</v>
      </c>
      <c r="O110" s="11">
        <f t="shared" si="36"/>
        <v>78.118267315642996</v>
      </c>
      <c r="P110">
        <f t="shared" si="37"/>
        <v>41410.534836438921</v>
      </c>
      <c r="R110">
        <f t="shared" si="38"/>
        <v>130.13157542452115</v>
      </c>
    </row>
    <row r="111" spans="1:18" x14ac:dyDescent="0.35">
      <c r="A111" t="s">
        <v>114</v>
      </c>
      <c r="B111" t="s">
        <v>6</v>
      </c>
      <c r="C111">
        <v>215</v>
      </c>
      <c r="E111">
        <f t="shared" si="39"/>
        <v>41410.534836438921</v>
      </c>
      <c r="F111" s="8">
        <f t="shared" si="54"/>
        <v>207.05267418219461</v>
      </c>
      <c r="G111" s="9">
        <f t="shared" si="33"/>
        <v>52.177273893913039</v>
      </c>
      <c r="H111">
        <f t="shared" si="34"/>
        <v>41462.712110332832</v>
      </c>
      <c r="K111" t="s">
        <v>12</v>
      </c>
      <c r="L111">
        <v>216</v>
      </c>
      <c r="N111" s="6">
        <f t="shared" si="55"/>
        <v>310.97034082749622</v>
      </c>
      <c r="O111" s="11">
        <f t="shared" si="36"/>
        <v>78.364525888529045</v>
      </c>
      <c r="P111">
        <f t="shared" si="37"/>
        <v>41541.076636221362</v>
      </c>
      <c r="R111">
        <f t="shared" si="38"/>
        <v>130.54179978244207</v>
      </c>
    </row>
    <row r="112" spans="1:18" x14ac:dyDescent="0.35">
      <c r="A112" t="s">
        <v>115</v>
      </c>
      <c r="B112" t="s">
        <v>6</v>
      </c>
      <c r="C112">
        <v>217</v>
      </c>
      <c r="E112">
        <f t="shared" si="39"/>
        <v>41541.076636221362</v>
      </c>
      <c r="F112" s="8">
        <f t="shared" si="54"/>
        <v>207.70538318110681</v>
      </c>
      <c r="G112" s="9">
        <f t="shared" si="33"/>
        <v>52.341756561638917</v>
      </c>
      <c r="H112">
        <f t="shared" si="34"/>
        <v>41593.418392783002</v>
      </c>
      <c r="K112" t="s">
        <v>12</v>
      </c>
      <c r="L112">
        <v>218</v>
      </c>
      <c r="N112" s="6">
        <f t="shared" si="55"/>
        <v>311.95063794587253</v>
      </c>
      <c r="O112" s="11">
        <f t="shared" si="36"/>
        <v>78.611560762359872</v>
      </c>
      <c r="P112">
        <f t="shared" si="37"/>
        <v>41672.02995354536</v>
      </c>
      <c r="R112">
        <f t="shared" si="38"/>
        <v>130.95331732399879</v>
      </c>
    </row>
    <row r="113" spans="1:18" x14ac:dyDescent="0.35">
      <c r="A113" t="s">
        <v>116</v>
      </c>
      <c r="B113" t="s">
        <v>6</v>
      </c>
      <c r="C113">
        <v>219</v>
      </c>
      <c r="E113">
        <f t="shared" si="39"/>
        <v>41672.02995354536</v>
      </c>
      <c r="F113" s="8">
        <f t="shared" si="54"/>
        <v>208.3601497677268</v>
      </c>
      <c r="G113" s="9">
        <f t="shared" si="33"/>
        <v>52.506757741467155</v>
      </c>
      <c r="H113">
        <f t="shared" si="34"/>
        <v>41724.536711286826</v>
      </c>
      <c r="K113" t="s">
        <v>12</v>
      </c>
      <c r="L113">
        <v>220</v>
      </c>
      <c r="N113" s="6">
        <f t="shared" si="55"/>
        <v>312.93402533465121</v>
      </c>
      <c r="O113" s="11">
        <f t="shared" si="36"/>
        <v>78.859374384332099</v>
      </c>
      <c r="P113">
        <f t="shared" si="37"/>
        <v>41803.396085671156</v>
      </c>
      <c r="R113">
        <f t="shared" si="38"/>
        <v>131.36613212579925</v>
      </c>
    </row>
    <row r="114" spans="1:18" s="6" customFormat="1" x14ac:dyDescent="0.35">
      <c r="A114" s="6" t="s">
        <v>117</v>
      </c>
      <c r="B114" s="6" t="s">
        <v>6</v>
      </c>
      <c r="C114" s="6">
        <v>221</v>
      </c>
      <c r="D114" s="7">
        <v>4.4999999999999997E-3</v>
      </c>
      <c r="E114" s="6">
        <f t="shared" si="39"/>
        <v>41803.396085671156</v>
      </c>
      <c r="F114" s="8">
        <f>E114*0.45%</f>
        <v>188.11528238552023</v>
      </c>
      <c r="G114" s="9">
        <f t="shared" si="33"/>
        <v>47.4050511611511</v>
      </c>
      <c r="H114" s="6">
        <f t="shared" si="34"/>
        <v>41850.801136832306</v>
      </c>
      <c r="K114" s="6" t="s">
        <v>12</v>
      </c>
      <c r="L114" s="6">
        <v>222</v>
      </c>
      <c r="M114" s="7">
        <v>7.0000000000000097E-3</v>
      </c>
      <c r="N114" s="6">
        <f>H114*0.7%</f>
        <v>292.95560795782609</v>
      </c>
      <c r="O114" s="11">
        <f t="shared" si="36"/>
        <v>73.82481320537218</v>
      </c>
      <c r="P114" s="6">
        <f t="shared" si="37"/>
        <v>41924.625950037676</v>
      </c>
      <c r="R114" s="6">
        <f t="shared" si="38"/>
        <v>121.22986436652329</v>
      </c>
    </row>
    <row r="115" spans="1:18" x14ac:dyDescent="0.35">
      <c r="A115" t="s">
        <v>118</v>
      </c>
      <c r="B115" t="s">
        <v>6</v>
      </c>
      <c r="C115">
        <v>223</v>
      </c>
      <c r="E115">
        <f t="shared" si="39"/>
        <v>41924.625950037676</v>
      </c>
      <c r="F115" s="8">
        <f t="shared" ref="F115:F118" si="56">E115*0.45%</f>
        <v>188.66081677516956</v>
      </c>
      <c r="G115" s="9">
        <f t="shared" si="33"/>
        <v>47.542525827342729</v>
      </c>
      <c r="H115">
        <f t="shared" si="34"/>
        <v>41972.168475865023</v>
      </c>
      <c r="K115" t="s">
        <v>12</v>
      </c>
      <c r="L115">
        <v>224</v>
      </c>
      <c r="N115" s="6">
        <f t="shared" ref="N115:N118" si="57">H115*0.7%</f>
        <v>293.80517933105511</v>
      </c>
      <c r="O115" s="11">
        <f t="shared" si="36"/>
        <v>74.038905191425883</v>
      </c>
      <c r="P115">
        <f t="shared" si="37"/>
        <v>42046.207381056447</v>
      </c>
      <c r="R115">
        <f t="shared" si="38"/>
        <v>121.58143101876861</v>
      </c>
    </row>
    <row r="116" spans="1:18" x14ac:dyDescent="0.35">
      <c r="A116" t="s">
        <v>119</v>
      </c>
      <c r="B116" t="s">
        <v>6</v>
      </c>
      <c r="C116">
        <v>225</v>
      </c>
      <c r="E116">
        <f t="shared" si="39"/>
        <v>42046.207381056447</v>
      </c>
      <c r="F116" s="8">
        <f t="shared" si="56"/>
        <v>189.20793321475404</v>
      </c>
      <c r="G116" s="9">
        <f t="shared" si="33"/>
        <v>47.680399170118015</v>
      </c>
      <c r="H116">
        <f t="shared" si="34"/>
        <v>42093.887780226563</v>
      </c>
      <c r="K116" t="s">
        <v>12</v>
      </c>
      <c r="L116">
        <v>226</v>
      </c>
      <c r="N116" s="6">
        <f t="shared" si="57"/>
        <v>294.65721446158591</v>
      </c>
      <c r="O116" s="11">
        <f t="shared" si="36"/>
        <v>74.253618044319651</v>
      </c>
      <c r="P116">
        <f t="shared" si="37"/>
        <v>42168.141398270884</v>
      </c>
      <c r="R116">
        <f t="shared" si="38"/>
        <v>121.93401721443766</v>
      </c>
    </row>
    <row r="117" spans="1:18" x14ac:dyDescent="0.35">
      <c r="A117" t="s">
        <v>120</v>
      </c>
      <c r="B117" t="s">
        <v>6</v>
      </c>
      <c r="C117">
        <v>227</v>
      </c>
      <c r="E117">
        <f t="shared" si="39"/>
        <v>42168.141398270884</v>
      </c>
      <c r="F117" s="8">
        <f t="shared" si="56"/>
        <v>189.75663629221899</v>
      </c>
      <c r="G117" s="9">
        <f t="shared" si="33"/>
        <v>47.818672345639186</v>
      </c>
      <c r="H117">
        <f t="shared" si="34"/>
        <v>42215.960070616522</v>
      </c>
      <c r="K117" t="s">
        <v>12</v>
      </c>
      <c r="L117">
        <v>228</v>
      </c>
      <c r="N117" s="6">
        <f t="shared" si="57"/>
        <v>295.51172049431563</v>
      </c>
      <c r="O117" s="11">
        <f t="shared" si="36"/>
        <v>74.468953564567542</v>
      </c>
      <c r="P117">
        <f t="shared" si="37"/>
        <v>42290.429024181089</v>
      </c>
      <c r="R117">
        <f t="shared" si="38"/>
        <v>122.28762591020673</v>
      </c>
    </row>
    <row r="118" spans="1:18" x14ac:dyDescent="0.35">
      <c r="A118" t="s">
        <v>121</v>
      </c>
      <c r="B118" t="s">
        <v>6</v>
      </c>
      <c r="C118">
        <v>229</v>
      </c>
      <c r="E118">
        <f t="shared" si="39"/>
        <v>42290.429024181089</v>
      </c>
      <c r="F118" s="8">
        <f t="shared" si="56"/>
        <v>190.30693060881492</v>
      </c>
      <c r="G118" s="9">
        <f t="shared" si="33"/>
        <v>47.957346513421363</v>
      </c>
      <c r="H118">
        <f t="shared" si="34"/>
        <v>42338.386370694512</v>
      </c>
      <c r="K118" t="s">
        <v>12</v>
      </c>
      <c r="L118">
        <v>230</v>
      </c>
      <c r="N118" s="6">
        <f t="shared" si="57"/>
        <v>296.36870459486153</v>
      </c>
      <c r="O118" s="11">
        <f t="shared" si="36"/>
        <v>74.684913557905105</v>
      </c>
      <c r="P118">
        <f t="shared" si="37"/>
        <v>42413.071284252415</v>
      </c>
      <c r="R118">
        <f t="shared" si="38"/>
        <v>122.64226007132646</v>
      </c>
    </row>
    <row r="119" spans="1:18" s="6" customFormat="1" x14ac:dyDescent="0.35">
      <c r="A119" s="6" t="s">
        <v>122</v>
      </c>
      <c r="B119" s="6" t="s">
        <v>6</v>
      </c>
      <c r="C119" s="6">
        <v>231</v>
      </c>
      <c r="D119" s="7">
        <v>4.0000000000000001E-3</v>
      </c>
      <c r="E119" s="6">
        <f t="shared" si="39"/>
        <v>42413.071284252415</v>
      </c>
      <c r="F119" s="8">
        <f>E119*0.4%</f>
        <v>169.65228513700967</v>
      </c>
      <c r="G119" s="9">
        <f t="shared" si="33"/>
        <v>42.752375854526434</v>
      </c>
      <c r="H119" s="6">
        <f t="shared" si="34"/>
        <v>42455.823660106944</v>
      </c>
      <c r="K119" s="6" t="s">
        <v>12</v>
      </c>
      <c r="L119" s="6">
        <v>232</v>
      </c>
      <c r="M119" s="7">
        <v>6.5000000000000101E-3</v>
      </c>
      <c r="N119" s="6">
        <f>H119*0.65%</f>
        <v>275.96285379069514</v>
      </c>
      <c r="O119" s="11">
        <f t="shared" si="36"/>
        <v>69.542639155255173</v>
      </c>
      <c r="P119" s="6">
        <f t="shared" si="37"/>
        <v>42525.366299262198</v>
      </c>
      <c r="R119" s="6">
        <f t="shared" si="38"/>
        <v>112.29501500978161</v>
      </c>
    </row>
    <row r="120" spans="1:18" x14ac:dyDescent="0.35">
      <c r="A120" t="s">
        <v>123</v>
      </c>
      <c r="B120" t="s">
        <v>6</v>
      </c>
      <c r="C120">
        <v>233</v>
      </c>
      <c r="E120">
        <f t="shared" si="39"/>
        <v>42525.366299262198</v>
      </c>
      <c r="F120" s="8">
        <f t="shared" ref="F120:F123" si="58">E120*0.4%</f>
        <v>170.10146519704878</v>
      </c>
      <c r="G120" s="9">
        <f t="shared" si="33"/>
        <v>42.865569229656295</v>
      </c>
      <c r="H120">
        <f t="shared" si="34"/>
        <v>42568.231868491857</v>
      </c>
      <c r="K120" t="s">
        <v>12</v>
      </c>
      <c r="L120">
        <v>234</v>
      </c>
      <c r="N120" s="6">
        <f t="shared" ref="N120:N123" si="59">H120*0.65%</f>
        <v>276.69350714519709</v>
      </c>
      <c r="O120" s="11">
        <f t="shared" si="36"/>
        <v>69.726763800589666</v>
      </c>
      <c r="P120">
        <f t="shared" si="37"/>
        <v>42637.958632292444</v>
      </c>
      <c r="R120">
        <f t="shared" si="38"/>
        <v>112.59233303024595</v>
      </c>
    </row>
    <row r="121" spans="1:18" x14ac:dyDescent="0.35">
      <c r="A121" t="s">
        <v>124</v>
      </c>
      <c r="B121" t="s">
        <v>6</v>
      </c>
      <c r="C121">
        <v>235</v>
      </c>
      <c r="E121">
        <f t="shared" si="39"/>
        <v>42637.958632292444</v>
      </c>
      <c r="F121" s="8">
        <f t="shared" si="58"/>
        <v>170.55183452916978</v>
      </c>
      <c r="G121" s="9">
        <f t="shared" si="33"/>
        <v>42.979062301350787</v>
      </c>
      <c r="H121">
        <f t="shared" si="34"/>
        <v>42680.937694593798</v>
      </c>
      <c r="K121" t="s">
        <v>12</v>
      </c>
      <c r="L121">
        <v>236</v>
      </c>
      <c r="N121" s="6">
        <f t="shared" si="59"/>
        <v>277.4260950148597</v>
      </c>
      <c r="O121" s="11">
        <f t="shared" si="36"/>
        <v>69.911375943744645</v>
      </c>
      <c r="P121">
        <f t="shared" si="37"/>
        <v>42750.849070537544</v>
      </c>
      <c r="R121">
        <f t="shared" si="38"/>
        <v>112.89043824509542</v>
      </c>
    </row>
    <row r="122" spans="1:18" x14ac:dyDescent="0.35">
      <c r="A122" t="s">
        <v>125</v>
      </c>
      <c r="B122" t="s">
        <v>6</v>
      </c>
      <c r="C122">
        <v>237</v>
      </c>
      <c r="E122">
        <f t="shared" si="39"/>
        <v>42750.849070537544</v>
      </c>
      <c r="F122" s="8">
        <f t="shared" si="58"/>
        <v>171.00339628215019</v>
      </c>
      <c r="G122" s="9">
        <f t="shared" si="33"/>
        <v>43.092855863101846</v>
      </c>
      <c r="H122">
        <f t="shared" si="34"/>
        <v>42793.941926400643</v>
      </c>
      <c r="K122" t="s">
        <v>12</v>
      </c>
      <c r="L122">
        <v>238</v>
      </c>
      <c r="N122" s="6">
        <f t="shared" si="59"/>
        <v>278.16062252160418</v>
      </c>
      <c r="O122" s="11">
        <f t="shared" si="36"/>
        <v>70.096476875444253</v>
      </c>
      <c r="P122">
        <f t="shared" si="37"/>
        <v>42864.038403276085</v>
      </c>
      <c r="R122">
        <f t="shared" si="38"/>
        <v>113.1893327385461</v>
      </c>
    </row>
    <row r="123" spans="1:18" s="13" customFormat="1" x14ac:dyDescent="0.35">
      <c r="A123" s="13" t="s">
        <v>126</v>
      </c>
      <c r="B123" s="13" t="s">
        <v>6</v>
      </c>
      <c r="C123" s="13">
        <v>239</v>
      </c>
      <c r="E123" s="13">
        <f t="shared" si="39"/>
        <v>42864.038403276085</v>
      </c>
      <c r="F123" s="14">
        <f t="shared" si="58"/>
        <v>171.45615361310433</v>
      </c>
      <c r="G123" s="9">
        <f t="shared" si="33"/>
        <v>43.206950710502291</v>
      </c>
      <c r="H123" s="13">
        <f t="shared" si="34"/>
        <v>42907.245353986589</v>
      </c>
      <c r="K123" s="13" t="s">
        <v>12</v>
      </c>
      <c r="L123" s="13">
        <v>240</v>
      </c>
      <c r="N123" s="13">
        <f t="shared" si="59"/>
        <v>278.89709480091284</v>
      </c>
      <c r="O123" s="11">
        <f t="shared" si="36"/>
        <v>70.282067889830032</v>
      </c>
      <c r="P123" s="13">
        <f t="shared" si="37"/>
        <v>42977.527421876417</v>
      </c>
      <c r="R123" s="13">
        <f t="shared" si="38"/>
        <v>113.48901860033232</v>
      </c>
    </row>
    <row r="124" spans="1:18" s="6" customFormat="1" x14ac:dyDescent="0.35">
      <c r="A124" s="6" t="s">
        <v>127</v>
      </c>
      <c r="B124" s="6" t="s">
        <v>6</v>
      </c>
      <c r="C124" s="6">
        <v>241</v>
      </c>
      <c r="D124" s="7">
        <v>5.0000000000000001E-3</v>
      </c>
      <c r="E124" s="6">
        <f t="shared" si="39"/>
        <v>42977.527421876417</v>
      </c>
      <c r="F124" s="8">
        <f>E124*0.5%</f>
        <v>214.8876371093821</v>
      </c>
      <c r="G124" s="9">
        <f t="shared" si="33"/>
        <v>54.151684551564287</v>
      </c>
      <c r="H124" s="6">
        <f t="shared" si="34"/>
        <v>43031.679106427982</v>
      </c>
      <c r="K124" s="6" t="s">
        <v>12</v>
      </c>
      <c r="L124" s="6">
        <v>242</v>
      </c>
      <c r="M124" s="7">
        <v>6.0000000000000097E-3</v>
      </c>
      <c r="N124" s="6">
        <f>H124*0.6%</f>
        <v>258.19007463856792</v>
      </c>
      <c r="O124" s="11">
        <f t="shared" si="36"/>
        <v>65.06389880891912</v>
      </c>
      <c r="P124" s="6">
        <f t="shared" si="37"/>
        <v>43096.743005236902</v>
      </c>
      <c r="R124" s="6">
        <f t="shared" si="38"/>
        <v>119.21558336048341</v>
      </c>
    </row>
    <row r="125" spans="1:18" x14ac:dyDescent="0.35">
      <c r="A125" t="s">
        <v>128</v>
      </c>
      <c r="B125" t="s">
        <v>6</v>
      </c>
      <c r="C125">
        <v>243</v>
      </c>
      <c r="E125">
        <f t="shared" si="39"/>
        <v>43096.743005236902</v>
      </c>
      <c r="F125" s="8">
        <f t="shared" ref="F125:F128" si="60">E125*0.5%</f>
        <v>215.48371502618451</v>
      </c>
      <c r="G125" s="9">
        <f t="shared" si="33"/>
        <v>54.301896186598498</v>
      </c>
      <c r="H125">
        <f t="shared" si="34"/>
        <v>43151.044901423498</v>
      </c>
      <c r="K125" t="s">
        <v>12</v>
      </c>
      <c r="L125">
        <v>244</v>
      </c>
      <c r="N125" s="6">
        <f t="shared" ref="N125:N128" si="61">H125*0.6%</f>
        <v>258.90626940854099</v>
      </c>
      <c r="O125" s="11">
        <f t="shared" si="36"/>
        <v>65.244379890952331</v>
      </c>
      <c r="P125">
        <f t="shared" si="37"/>
        <v>43216.28928131445</v>
      </c>
      <c r="R125">
        <f t="shared" si="38"/>
        <v>119.54627607755083</v>
      </c>
    </row>
    <row r="126" spans="1:18" x14ac:dyDescent="0.35">
      <c r="A126" t="s">
        <v>129</v>
      </c>
      <c r="B126" t="s">
        <v>6</v>
      </c>
      <c r="C126">
        <v>245</v>
      </c>
      <c r="E126">
        <f t="shared" si="39"/>
        <v>43216.28928131445</v>
      </c>
      <c r="F126" s="8">
        <f t="shared" si="60"/>
        <v>216.08144640657224</v>
      </c>
      <c r="G126" s="9">
        <f t="shared" si="33"/>
        <v>54.452524494456206</v>
      </c>
      <c r="H126">
        <f t="shared" si="34"/>
        <v>43270.74180580891</v>
      </c>
      <c r="K126" t="s">
        <v>12</v>
      </c>
      <c r="L126">
        <v>246</v>
      </c>
      <c r="N126" s="6">
        <f t="shared" si="61"/>
        <v>259.62445083485346</v>
      </c>
      <c r="O126" s="11">
        <f t="shared" si="36"/>
        <v>65.425361610383078</v>
      </c>
      <c r="P126">
        <f t="shared" si="37"/>
        <v>43336.167167419291</v>
      </c>
      <c r="R126">
        <f t="shared" si="38"/>
        <v>119.87788610483929</v>
      </c>
    </row>
    <row r="127" spans="1:18" x14ac:dyDescent="0.35">
      <c r="A127" t="s">
        <v>130</v>
      </c>
      <c r="B127" t="s">
        <v>6</v>
      </c>
      <c r="C127">
        <v>247</v>
      </c>
      <c r="E127">
        <f t="shared" si="39"/>
        <v>43336.167167419291</v>
      </c>
      <c r="F127" s="8">
        <f t="shared" si="60"/>
        <v>216.68083583709645</v>
      </c>
      <c r="G127" s="9">
        <f t="shared" si="33"/>
        <v>54.603570630948305</v>
      </c>
      <c r="H127">
        <f t="shared" si="34"/>
        <v>43390.77073805024</v>
      </c>
      <c r="K127" t="s">
        <v>12</v>
      </c>
      <c r="L127">
        <v>248</v>
      </c>
      <c r="N127" s="6">
        <f t="shared" si="61"/>
        <v>260.34462442830147</v>
      </c>
      <c r="O127" s="11">
        <f t="shared" si="36"/>
        <v>65.606845355931966</v>
      </c>
      <c r="P127">
        <f t="shared" si="37"/>
        <v>43456.377583406174</v>
      </c>
      <c r="R127">
        <f t="shared" si="38"/>
        <v>120.21041598688026</v>
      </c>
    </row>
    <row r="128" spans="1:18" x14ac:dyDescent="0.35">
      <c r="A128" t="s">
        <v>131</v>
      </c>
      <c r="B128" t="s">
        <v>6</v>
      </c>
      <c r="C128">
        <v>249</v>
      </c>
      <c r="E128">
        <f t="shared" si="39"/>
        <v>43456.377583406174</v>
      </c>
      <c r="F128" s="8">
        <f t="shared" si="60"/>
        <v>217.28188791703087</v>
      </c>
      <c r="G128" s="9">
        <f t="shared" si="33"/>
        <v>54.755035755091782</v>
      </c>
      <c r="H128">
        <f t="shared" si="34"/>
        <v>43511.132619161268</v>
      </c>
      <c r="K128" t="s">
        <v>12</v>
      </c>
      <c r="L128">
        <v>250</v>
      </c>
      <c r="N128" s="6">
        <f t="shared" si="61"/>
        <v>261.06679571496761</v>
      </c>
      <c r="O128" s="11">
        <f t="shared" si="36"/>
        <v>65.788832520171837</v>
      </c>
      <c r="P128">
        <f t="shared" si="37"/>
        <v>43576.921451681439</v>
      </c>
      <c r="R128">
        <f t="shared" si="38"/>
        <v>120.54386827526362</v>
      </c>
    </row>
    <row r="129" spans="1:18" s="6" customFormat="1" x14ac:dyDescent="0.35">
      <c r="A129" s="6" t="s">
        <v>132</v>
      </c>
      <c r="B129" s="6" t="s">
        <v>5</v>
      </c>
      <c r="C129" s="6">
        <v>251</v>
      </c>
      <c r="D129" s="7">
        <v>6.0000000000000001E-3</v>
      </c>
      <c r="E129" s="6">
        <f t="shared" si="39"/>
        <v>43576.921451681439</v>
      </c>
      <c r="F129" s="8">
        <f>E129*0.6%</f>
        <v>261.46152871008866</v>
      </c>
      <c r="G129" s="9">
        <f t="shared" si="33"/>
        <v>65.888305234942337</v>
      </c>
      <c r="H129" s="6">
        <f t="shared" si="34"/>
        <v>43642.80975691638</v>
      </c>
      <c r="K129" s="6" t="s">
        <v>6</v>
      </c>
      <c r="L129" s="6">
        <v>252</v>
      </c>
      <c r="M129" s="7">
        <v>5.5000000000000101E-3</v>
      </c>
      <c r="N129" s="6">
        <f>H129*0.55%</f>
        <v>240.0354536630401</v>
      </c>
      <c r="O129" s="11">
        <f t="shared" si="36"/>
        <v>60.488934323086106</v>
      </c>
      <c r="P129" s="6">
        <f t="shared" si="37"/>
        <v>43703.298691239463</v>
      </c>
      <c r="R129" s="6">
        <f t="shared" si="38"/>
        <v>126.37723955802844</v>
      </c>
    </row>
    <row r="130" spans="1:18" x14ac:dyDescent="0.35">
      <c r="A130" t="s">
        <v>133</v>
      </c>
      <c r="B130" t="s">
        <v>5</v>
      </c>
      <c r="C130">
        <v>253</v>
      </c>
      <c r="E130">
        <f t="shared" si="39"/>
        <v>43703.298691239463</v>
      </c>
      <c r="F130" s="8">
        <f t="shared" ref="F130:F133" si="62">E130*0.6%</f>
        <v>262.21979214743681</v>
      </c>
      <c r="G130" s="9">
        <f t="shared" si="33"/>
        <v>66.079387621154069</v>
      </c>
      <c r="H130">
        <f t="shared" si="34"/>
        <v>43769.378078860616</v>
      </c>
      <c r="K130" t="s">
        <v>6</v>
      </c>
      <c r="L130">
        <v>254</v>
      </c>
      <c r="N130" s="6">
        <f t="shared" ref="N130:N133" si="63">H130*0.55%</f>
        <v>240.7315794337334</v>
      </c>
      <c r="O130" s="11">
        <f t="shared" si="36"/>
        <v>60.66435801730082</v>
      </c>
      <c r="P130">
        <f t="shared" si="37"/>
        <v>43830.04243687792</v>
      </c>
      <c r="R130">
        <f t="shared" si="38"/>
        <v>126.7437456384549</v>
      </c>
    </row>
    <row r="131" spans="1:18" x14ac:dyDescent="0.35">
      <c r="A131" t="s">
        <v>134</v>
      </c>
      <c r="B131" t="s">
        <v>5</v>
      </c>
      <c r="C131">
        <v>255</v>
      </c>
      <c r="E131">
        <f t="shared" si="39"/>
        <v>43830.04243687792</v>
      </c>
      <c r="F131" s="8">
        <f t="shared" si="62"/>
        <v>262.98025462126753</v>
      </c>
      <c r="G131" s="9">
        <f t="shared" si="33"/>
        <v>66.271024164559421</v>
      </c>
      <c r="H131">
        <f t="shared" si="34"/>
        <v>43896.313461042482</v>
      </c>
      <c r="K131" t="s">
        <v>6</v>
      </c>
      <c r="L131">
        <v>256</v>
      </c>
      <c r="N131" s="6">
        <f t="shared" si="63"/>
        <v>241.42972403573367</v>
      </c>
      <c r="O131" s="11">
        <f t="shared" si="36"/>
        <v>60.840290457004883</v>
      </c>
      <c r="P131">
        <f t="shared" si="37"/>
        <v>43957.153751499485</v>
      </c>
      <c r="R131">
        <f t="shared" si="38"/>
        <v>127.1113146215643</v>
      </c>
    </row>
    <row r="132" spans="1:18" x14ac:dyDescent="0.35">
      <c r="A132" t="s">
        <v>135</v>
      </c>
      <c r="B132" t="s">
        <v>5</v>
      </c>
      <c r="C132">
        <v>257</v>
      </c>
      <c r="E132">
        <f t="shared" si="39"/>
        <v>43957.153751499485</v>
      </c>
      <c r="F132" s="8">
        <f t="shared" si="62"/>
        <v>263.74292250899691</v>
      </c>
      <c r="G132" s="9">
        <f t="shared" si="33"/>
        <v>66.46321647226722</v>
      </c>
      <c r="H132">
        <f t="shared" si="34"/>
        <v>44023.61696797175</v>
      </c>
      <c r="K132" t="s">
        <v>6</v>
      </c>
      <c r="L132">
        <v>258</v>
      </c>
      <c r="N132" s="6">
        <f t="shared" si="63"/>
        <v>242.12989332384464</v>
      </c>
      <c r="O132" s="11">
        <f t="shared" si="36"/>
        <v>61.016733117608851</v>
      </c>
      <c r="P132">
        <f t="shared" si="37"/>
        <v>44084.633701089355</v>
      </c>
      <c r="R132">
        <f t="shared" si="38"/>
        <v>127.47994958987607</v>
      </c>
    </row>
    <row r="133" spans="1:18" x14ac:dyDescent="0.35">
      <c r="A133" t="s">
        <v>136</v>
      </c>
      <c r="B133" t="s">
        <v>5</v>
      </c>
      <c r="C133">
        <v>259</v>
      </c>
      <c r="D133" s="15"/>
      <c r="E133">
        <f t="shared" si="39"/>
        <v>44084.633701089355</v>
      </c>
      <c r="F133" s="8">
        <f t="shared" si="62"/>
        <v>264.50780220653616</v>
      </c>
      <c r="G133" s="9">
        <f t="shared" ref="G133:G196" si="64">F133*25.2%</f>
        <v>66.655966156047114</v>
      </c>
      <c r="H133">
        <f t="shared" ref="H133:H196" si="65">G133+E133</f>
        <v>44151.289667245401</v>
      </c>
      <c r="K133" t="s">
        <v>6</v>
      </c>
      <c r="L133">
        <v>260</v>
      </c>
      <c r="N133" s="6">
        <f t="shared" si="63"/>
        <v>242.83209316984974</v>
      </c>
      <c r="O133" s="11">
        <f t="shared" ref="O133:O196" si="66">N133*25.2%</f>
        <v>61.193687478802133</v>
      </c>
      <c r="P133">
        <f t="shared" ref="P133:P196" si="67">O133+H133</f>
        <v>44212.483354724201</v>
      </c>
      <c r="R133">
        <f t="shared" ref="R133:R196" si="68">O133+G133</f>
        <v>127.84965363484925</v>
      </c>
    </row>
    <row r="134" spans="1:18" s="6" customFormat="1" x14ac:dyDescent="0.35">
      <c r="A134" s="6" t="s">
        <v>137</v>
      </c>
      <c r="B134" s="6" t="s">
        <v>5</v>
      </c>
      <c r="C134" s="6">
        <v>261</v>
      </c>
      <c r="D134" s="7">
        <v>7.0000000000000001E-3</v>
      </c>
      <c r="E134" s="6">
        <f t="shared" ref="E134:E197" si="69">P133</f>
        <v>44212.483354724201</v>
      </c>
      <c r="F134" s="8">
        <f>E134*0.7%</f>
        <v>309.48738348306938</v>
      </c>
      <c r="G134" s="9">
        <f t="shared" si="64"/>
        <v>77.990820637733478</v>
      </c>
      <c r="H134" s="6">
        <f t="shared" si="65"/>
        <v>44290.474175361938</v>
      </c>
      <c r="K134" s="6" t="s">
        <v>6</v>
      </c>
      <c r="L134" s="6">
        <v>262</v>
      </c>
      <c r="M134" s="7">
        <v>5.0000000000000096E-3</v>
      </c>
      <c r="N134" s="6">
        <f>H134*0.5%</f>
        <v>221.45237087680971</v>
      </c>
      <c r="O134" s="11">
        <f t="shared" si="66"/>
        <v>55.80599746095605</v>
      </c>
      <c r="P134" s="6">
        <f t="shared" si="67"/>
        <v>44346.280172822895</v>
      </c>
      <c r="R134" s="6">
        <f t="shared" si="68"/>
        <v>133.79681809868953</v>
      </c>
    </row>
    <row r="135" spans="1:18" x14ac:dyDescent="0.35">
      <c r="A135" t="s">
        <v>138</v>
      </c>
      <c r="B135" t="s">
        <v>5</v>
      </c>
      <c r="C135">
        <v>263</v>
      </c>
      <c r="E135">
        <f t="shared" si="69"/>
        <v>44346.280172822895</v>
      </c>
      <c r="F135" s="8">
        <f t="shared" ref="F135:F138" si="70">E135*0.7%</f>
        <v>310.42396120976025</v>
      </c>
      <c r="G135" s="9">
        <f t="shared" si="64"/>
        <v>78.226838224859577</v>
      </c>
      <c r="H135">
        <f t="shared" si="65"/>
        <v>44424.507011047754</v>
      </c>
      <c r="K135" t="s">
        <v>6</v>
      </c>
      <c r="L135">
        <v>264</v>
      </c>
      <c r="N135" s="6">
        <f t="shared" ref="N135:N138" si="71">H135*0.5%</f>
        <v>222.12253505523879</v>
      </c>
      <c r="O135" s="11">
        <f t="shared" si="66"/>
        <v>55.974878833920172</v>
      </c>
      <c r="P135">
        <f t="shared" si="67"/>
        <v>44480.481889881674</v>
      </c>
      <c r="R135">
        <f t="shared" si="68"/>
        <v>134.20171705877976</v>
      </c>
    </row>
    <row r="136" spans="1:18" x14ac:dyDescent="0.35">
      <c r="A136" t="s">
        <v>139</v>
      </c>
      <c r="B136" t="s">
        <v>5</v>
      </c>
      <c r="C136">
        <v>265</v>
      </c>
      <c r="E136">
        <f t="shared" si="69"/>
        <v>44480.481889881674</v>
      </c>
      <c r="F136" s="8">
        <f t="shared" si="70"/>
        <v>311.36337322917166</v>
      </c>
      <c r="G136" s="9">
        <f t="shared" si="64"/>
        <v>78.463570053751255</v>
      </c>
      <c r="H136">
        <f t="shared" si="65"/>
        <v>44558.945459935429</v>
      </c>
      <c r="K136" t="s">
        <v>6</v>
      </c>
      <c r="L136">
        <v>266</v>
      </c>
      <c r="N136" s="6">
        <f t="shared" si="71"/>
        <v>222.79472729967713</v>
      </c>
      <c r="O136" s="11">
        <f t="shared" si="66"/>
        <v>56.144271279518641</v>
      </c>
      <c r="P136">
        <f t="shared" si="67"/>
        <v>44615.089731214946</v>
      </c>
      <c r="R136">
        <f t="shared" si="68"/>
        <v>134.6078413332699</v>
      </c>
    </row>
    <row r="137" spans="1:18" x14ac:dyDescent="0.35">
      <c r="A137" t="s">
        <v>140</v>
      </c>
      <c r="B137" t="s">
        <v>5</v>
      </c>
      <c r="C137">
        <v>267</v>
      </c>
      <c r="E137">
        <f t="shared" si="69"/>
        <v>44615.089731214946</v>
      </c>
      <c r="F137" s="8">
        <f t="shared" si="70"/>
        <v>312.30562811850461</v>
      </c>
      <c r="G137" s="9">
        <f t="shared" si="64"/>
        <v>78.701018285863157</v>
      </c>
      <c r="H137">
        <f t="shared" si="65"/>
        <v>44693.790749500811</v>
      </c>
      <c r="K137" t="s">
        <v>6</v>
      </c>
      <c r="L137">
        <v>268</v>
      </c>
      <c r="N137" s="6">
        <f t="shared" si="71"/>
        <v>223.46895374750406</v>
      </c>
      <c r="O137" s="11">
        <f t="shared" si="66"/>
        <v>56.31417634437102</v>
      </c>
      <c r="P137">
        <f t="shared" si="67"/>
        <v>44750.104925845182</v>
      </c>
      <c r="R137">
        <f t="shared" si="68"/>
        <v>135.01519463023419</v>
      </c>
    </row>
    <row r="138" spans="1:18" x14ac:dyDescent="0.35">
      <c r="A138" t="s">
        <v>141</v>
      </c>
      <c r="B138" t="s">
        <v>5</v>
      </c>
      <c r="C138">
        <v>269</v>
      </c>
      <c r="E138">
        <f t="shared" si="69"/>
        <v>44750.104925845182</v>
      </c>
      <c r="F138" s="8">
        <f t="shared" si="70"/>
        <v>313.25073448091626</v>
      </c>
      <c r="G138" s="9">
        <f t="shared" si="64"/>
        <v>78.9391850891909</v>
      </c>
      <c r="H138">
        <f t="shared" si="65"/>
        <v>44829.044110934374</v>
      </c>
      <c r="K138" t="s">
        <v>6</v>
      </c>
      <c r="L138">
        <v>270</v>
      </c>
      <c r="N138" s="6">
        <f t="shared" si="71"/>
        <v>224.14522055467188</v>
      </c>
      <c r="O138" s="11">
        <f t="shared" si="66"/>
        <v>56.484595579777313</v>
      </c>
      <c r="P138">
        <f t="shared" si="67"/>
        <v>44885.528706514153</v>
      </c>
      <c r="R138">
        <f t="shared" si="68"/>
        <v>135.42378066896822</v>
      </c>
    </row>
    <row r="139" spans="1:18" s="6" customFormat="1" x14ac:dyDescent="0.35">
      <c r="A139" s="6" t="s">
        <v>142</v>
      </c>
      <c r="B139" s="6" t="s">
        <v>5</v>
      </c>
      <c r="C139" s="6">
        <v>271</v>
      </c>
      <c r="D139" s="7">
        <v>8.0000000000000002E-3</v>
      </c>
      <c r="E139" s="6">
        <f t="shared" si="69"/>
        <v>44885.528706514153</v>
      </c>
      <c r="F139" s="8">
        <f>E139*0.8%</f>
        <v>359.08422965211321</v>
      </c>
      <c r="G139" s="9">
        <f t="shared" si="64"/>
        <v>90.489225872332526</v>
      </c>
      <c r="H139" s="6">
        <f t="shared" si="65"/>
        <v>44976.017932386487</v>
      </c>
      <c r="K139" s="6" t="s">
        <v>6</v>
      </c>
      <c r="L139" s="6">
        <v>272</v>
      </c>
      <c r="M139" s="7">
        <v>4.5000000000000101E-3</v>
      </c>
      <c r="N139" s="6">
        <f>H139*0.45%</f>
        <v>202.39208069573922</v>
      </c>
      <c r="O139" s="11">
        <f t="shared" si="66"/>
        <v>51.002804335326282</v>
      </c>
      <c r="P139" s="6">
        <f t="shared" si="67"/>
        <v>45027.02073672181</v>
      </c>
      <c r="R139" s="6">
        <f t="shared" si="68"/>
        <v>141.49203020765881</v>
      </c>
    </row>
    <row r="140" spans="1:18" x14ac:dyDescent="0.35">
      <c r="A140" t="s">
        <v>143</v>
      </c>
      <c r="B140" t="s">
        <v>5</v>
      </c>
      <c r="C140">
        <v>273</v>
      </c>
      <c r="E140">
        <f t="shared" si="69"/>
        <v>45027.02073672181</v>
      </c>
      <c r="F140" s="8">
        <f t="shared" ref="F140:F143" si="72">E140*0.8%</f>
        <v>360.21616589377447</v>
      </c>
      <c r="G140" s="9">
        <f t="shared" si="64"/>
        <v>90.774473805231167</v>
      </c>
      <c r="H140">
        <f t="shared" si="65"/>
        <v>45117.795210527038</v>
      </c>
      <c r="K140" t="s">
        <v>6</v>
      </c>
      <c r="L140">
        <v>274</v>
      </c>
      <c r="N140" s="6">
        <f t="shared" ref="N140:N143" si="73">H140*0.45%</f>
        <v>203.03007844737169</v>
      </c>
      <c r="O140" s="11">
        <f t="shared" si="66"/>
        <v>51.163579768737669</v>
      </c>
      <c r="P140">
        <f t="shared" si="67"/>
        <v>45168.958790295772</v>
      </c>
      <c r="R140">
        <f t="shared" si="68"/>
        <v>141.93805357396883</v>
      </c>
    </row>
    <row r="141" spans="1:18" x14ac:dyDescent="0.35">
      <c r="A141" t="s">
        <v>144</v>
      </c>
      <c r="B141" t="s">
        <v>5</v>
      </c>
      <c r="C141">
        <v>275</v>
      </c>
      <c r="E141">
        <f t="shared" si="69"/>
        <v>45168.958790295772</v>
      </c>
      <c r="F141" s="8">
        <f t="shared" si="72"/>
        <v>361.3516703223662</v>
      </c>
      <c r="G141" s="9">
        <f t="shared" si="64"/>
        <v>91.060620921236278</v>
      </c>
      <c r="H141">
        <f t="shared" si="65"/>
        <v>45260.019411217007</v>
      </c>
      <c r="K141" t="s">
        <v>6</v>
      </c>
      <c r="L141">
        <v>276</v>
      </c>
      <c r="N141" s="6">
        <f t="shared" si="73"/>
        <v>203.67008735047656</v>
      </c>
      <c r="O141" s="11">
        <f t="shared" si="66"/>
        <v>51.324862012320096</v>
      </c>
      <c r="P141">
        <f t="shared" si="67"/>
        <v>45311.344273229326</v>
      </c>
      <c r="R141">
        <f t="shared" si="68"/>
        <v>142.38548293355637</v>
      </c>
    </row>
    <row r="142" spans="1:18" x14ac:dyDescent="0.35">
      <c r="A142" t="s">
        <v>145</v>
      </c>
      <c r="B142" t="s">
        <v>5</v>
      </c>
      <c r="C142">
        <v>277</v>
      </c>
      <c r="E142">
        <f t="shared" si="69"/>
        <v>45311.344273229326</v>
      </c>
      <c r="F142" s="8">
        <f t="shared" si="72"/>
        <v>362.49075418583459</v>
      </c>
      <c r="G142" s="9">
        <f t="shared" si="64"/>
        <v>91.347670054830317</v>
      </c>
      <c r="H142">
        <f t="shared" si="65"/>
        <v>45402.691943284153</v>
      </c>
      <c r="K142" t="s">
        <v>6</v>
      </c>
      <c r="L142">
        <v>278</v>
      </c>
      <c r="N142" s="6">
        <f t="shared" si="73"/>
        <v>204.31211374477871</v>
      </c>
      <c r="O142" s="11">
        <f t="shared" si="66"/>
        <v>51.486652663684239</v>
      </c>
      <c r="P142">
        <f t="shared" si="67"/>
        <v>45454.178595947837</v>
      </c>
      <c r="R142">
        <f t="shared" si="68"/>
        <v>142.83432271851456</v>
      </c>
    </row>
    <row r="143" spans="1:18" x14ac:dyDescent="0.35">
      <c r="A143" t="s">
        <v>146</v>
      </c>
      <c r="B143" t="s">
        <v>5</v>
      </c>
      <c r="C143">
        <v>279</v>
      </c>
      <c r="D143" s="15"/>
      <c r="E143">
        <f t="shared" si="69"/>
        <v>45454.178595947837</v>
      </c>
      <c r="F143" s="8">
        <f t="shared" si="72"/>
        <v>363.6334287675827</v>
      </c>
      <c r="G143" s="9">
        <f t="shared" si="64"/>
        <v>91.635624049430845</v>
      </c>
      <c r="H143">
        <f t="shared" si="65"/>
        <v>45545.814219997264</v>
      </c>
      <c r="K143" t="s">
        <v>6</v>
      </c>
      <c r="L143">
        <v>280</v>
      </c>
      <c r="N143" s="6">
        <f t="shared" si="73"/>
        <v>204.95616398998772</v>
      </c>
      <c r="O143" s="11">
        <f t="shared" si="66"/>
        <v>51.648953325476903</v>
      </c>
      <c r="P143">
        <f t="shared" si="67"/>
        <v>45597.463173322743</v>
      </c>
      <c r="R143">
        <f t="shared" si="68"/>
        <v>143.28457737490774</v>
      </c>
    </row>
    <row r="144" spans="1:18" s="6" customFormat="1" x14ac:dyDescent="0.35">
      <c r="A144" s="6" t="s">
        <v>147</v>
      </c>
      <c r="B144" s="6" t="s">
        <v>5</v>
      </c>
      <c r="C144" s="6">
        <v>281</v>
      </c>
      <c r="D144" s="7">
        <v>8.9999999999999993E-3</v>
      </c>
      <c r="E144" s="6">
        <f t="shared" si="69"/>
        <v>45597.463173322743</v>
      </c>
      <c r="F144" s="8">
        <f>E144*0.9%</f>
        <v>410.37716855990476</v>
      </c>
      <c r="G144" s="9">
        <f t="shared" si="64"/>
        <v>103.415046477096</v>
      </c>
      <c r="H144" s="6">
        <f t="shared" si="65"/>
        <v>45700.878219799837</v>
      </c>
      <c r="K144" s="6" t="s">
        <v>6</v>
      </c>
      <c r="L144" s="6">
        <v>282</v>
      </c>
      <c r="M144" s="7">
        <v>4.0000000000000096E-3</v>
      </c>
      <c r="N144" s="6">
        <f>H144*0.4%</f>
        <v>182.80351287919936</v>
      </c>
      <c r="O144" s="11">
        <f t="shared" si="66"/>
        <v>46.066485245558241</v>
      </c>
      <c r="P144" s="6">
        <f t="shared" si="67"/>
        <v>45746.944705045396</v>
      </c>
      <c r="R144" s="6">
        <f t="shared" si="68"/>
        <v>149.48153172265424</v>
      </c>
    </row>
    <row r="145" spans="1:18" x14ac:dyDescent="0.35">
      <c r="A145" t="s">
        <v>148</v>
      </c>
      <c r="B145" t="s">
        <v>5</v>
      </c>
      <c r="C145">
        <v>283</v>
      </c>
      <c r="E145">
        <f t="shared" si="69"/>
        <v>45746.944705045396</v>
      </c>
      <c r="F145" s="8">
        <f t="shared" ref="F145:F148" si="74">E145*0.9%</f>
        <v>411.7225023454086</v>
      </c>
      <c r="G145" s="9">
        <f t="shared" si="64"/>
        <v>103.75407059104296</v>
      </c>
      <c r="H145">
        <f t="shared" si="65"/>
        <v>45850.69877563644</v>
      </c>
      <c r="K145" t="s">
        <v>6</v>
      </c>
      <c r="L145">
        <v>284</v>
      </c>
      <c r="N145" s="6">
        <f t="shared" ref="N145:N148" si="75">H145*0.4%</f>
        <v>183.40279510254575</v>
      </c>
      <c r="O145" s="11">
        <f t="shared" si="66"/>
        <v>46.217504365841528</v>
      </c>
      <c r="P145">
        <f t="shared" si="67"/>
        <v>45896.916280002282</v>
      </c>
      <c r="R145">
        <f t="shared" si="68"/>
        <v>149.9715749568845</v>
      </c>
    </row>
    <row r="146" spans="1:18" x14ac:dyDescent="0.35">
      <c r="A146" t="s">
        <v>149</v>
      </c>
      <c r="B146" t="s">
        <v>5</v>
      </c>
      <c r="C146">
        <v>285</v>
      </c>
      <c r="E146">
        <f t="shared" si="69"/>
        <v>45896.916280002282</v>
      </c>
      <c r="F146" s="8">
        <f t="shared" si="74"/>
        <v>413.0722465200206</v>
      </c>
      <c r="G146" s="9">
        <f t="shared" si="64"/>
        <v>104.0942061230452</v>
      </c>
      <c r="H146">
        <f t="shared" si="65"/>
        <v>46001.010486125328</v>
      </c>
      <c r="K146" t="s">
        <v>6</v>
      </c>
      <c r="L146">
        <v>286</v>
      </c>
      <c r="N146" s="6">
        <f t="shared" si="75"/>
        <v>184.00404194450132</v>
      </c>
      <c r="O146" s="11">
        <f t="shared" si="66"/>
        <v>46.369018570014333</v>
      </c>
      <c r="P146">
        <f t="shared" si="67"/>
        <v>46047.379504695346</v>
      </c>
      <c r="R146">
        <f t="shared" si="68"/>
        <v>150.46322469305954</v>
      </c>
    </row>
    <row r="147" spans="1:18" x14ac:dyDescent="0.35">
      <c r="A147" t="s">
        <v>150</v>
      </c>
      <c r="B147" t="s">
        <v>5</v>
      </c>
      <c r="C147">
        <v>287</v>
      </c>
      <c r="E147">
        <f t="shared" si="69"/>
        <v>46047.379504695346</v>
      </c>
      <c r="F147" s="8">
        <f t="shared" si="74"/>
        <v>414.42641554225816</v>
      </c>
      <c r="G147" s="9">
        <f t="shared" si="64"/>
        <v>104.43545671664906</v>
      </c>
      <c r="H147">
        <f t="shared" si="65"/>
        <v>46151.814961411998</v>
      </c>
      <c r="K147" t="s">
        <v>6</v>
      </c>
      <c r="L147">
        <v>288</v>
      </c>
      <c r="N147" s="6">
        <f t="shared" si="75"/>
        <v>184.607259845648</v>
      </c>
      <c r="O147" s="11">
        <f t="shared" si="66"/>
        <v>46.521029481103298</v>
      </c>
      <c r="P147">
        <f t="shared" si="67"/>
        <v>46198.335990893102</v>
      </c>
      <c r="R147">
        <f t="shared" si="68"/>
        <v>150.95648619775235</v>
      </c>
    </row>
    <row r="148" spans="1:18" x14ac:dyDescent="0.35">
      <c r="A148" t="s">
        <v>151</v>
      </c>
      <c r="B148" t="s">
        <v>5</v>
      </c>
      <c r="C148">
        <v>289</v>
      </c>
      <c r="E148">
        <f t="shared" si="69"/>
        <v>46198.335990893102</v>
      </c>
      <c r="F148" s="8">
        <f t="shared" si="74"/>
        <v>415.78502391803795</v>
      </c>
      <c r="G148" s="9">
        <f t="shared" si="64"/>
        <v>104.77782602734557</v>
      </c>
      <c r="H148">
        <f t="shared" si="65"/>
        <v>46303.11381692045</v>
      </c>
      <c r="K148" t="s">
        <v>6</v>
      </c>
      <c r="L148">
        <v>290</v>
      </c>
      <c r="N148" s="6">
        <f t="shared" si="75"/>
        <v>185.2124552676818</v>
      </c>
      <c r="O148" s="11">
        <f t="shared" si="66"/>
        <v>46.673538727455814</v>
      </c>
      <c r="P148">
        <f t="shared" si="67"/>
        <v>46349.787355647903</v>
      </c>
      <c r="R148">
        <f t="shared" si="68"/>
        <v>151.45136475480138</v>
      </c>
    </row>
    <row r="149" spans="1:18" s="6" customFormat="1" x14ac:dyDescent="0.35">
      <c r="A149" s="6" t="s">
        <v>152</v>
      </c>
      <c r="B149" s="6" t="s">
        <v>5</v>
      </c>
      <c r="C149" s="6">
        <v>291</v>
      </c>
      <c r="D149" s="7">
        <v>8.0000000000000002E-3</v>
      </c>
      <c r="E149" s="6">
        <f t="shared" si="69"/>
        <v>46349.787355647903</v>
      </c>
      <c r="F149" s="8">
        <f>E149*0.8%</f>
        <v>370.79829884518324</v>
      </c>
      <c r="G149" s="9">
        <f t="shared" si="64"/>
        <v>93.441171308986171</v>
      </c>
      <c r="H149" s="6">
        <f t="shared" si="65"/>
        <v>46443.228526956889</v>
      </c>
      <c r="K149" s="6" t="s">
        <v>6</v>
      </c>
      <c r="L149" s="6">
        <v>292</v>
      </c>
      <c r="M149" s="7">
        <v>4.4999999999999997E-3</v>
      </c>
      <c r="N149" s="6">
        <f>H149*0.45%</f>
        <v>208.99452837130602</v>
      </c>
      <c r="O149" s="11">
        <f t="shared" si="66"/>
        <v>52.666621149569117</v>
      </c>
      <c r="P149" s="6">
        <f t="shared" si="67"/>
        <v>46495.895148106458</v>
      </c>
      <c r="R149" s="6">
        <f t="shared" si="68"/>
        <v>146.10779245855528</v>
      </c>
    </row>
    <row r="150" spans="1:18" x14ac:dyDescent="0.35">
      <c r="A150" t="s">
        <v>153</v>
      </c>
      <c r="B150" t="s">
        <v>5</v>
      </c>
      <c r="C150">
        <v>293</v>
      </c>
      <c r="E150">
        <f t="shared" si="69"/>
        <v>46495.895148106458</v>
      </c>
      <c r="F150" s="8">
        <f t="shared" ref="F150:F153" si="76">E150*0.8%</f>
        <v>371.96716118485165</v>
      </c>
      <c r="G150" s="9">
        <f t="shared" si="64"/>
        <v>93.735724618582623</v>
      </c>
      <c r="H150">
        <f t="shared" si="65"/>
        <v>46589.630872725043</v>
      </c>
      <c r="K150" t="s">
        <v>6</v>
      </c>
      <c r="L150">
        <v>294</v>
      </c>
      <c r="N150" s="6">
        <f t="shared" ref="N150:N153" si="77">H150*0.45%</f>
        <v>209.65333892726272</v>
      </c>
      <c r="O150" s="11">
        <f t="shared" si="66"/>
        <v>52.832641409670209</v>
      </c>
      <c r="P150">
        <f t="shared" si="67"/>
        <v>46642.463514134717</v>
      </c>
      <c r="R150">
        <f t="shared" si="68"/>
        <v>146.56836602825283</v>
      </c>
    </row>
    <row r="151" spans="1:18" x14ac:dyDescent="0.35">
      <c r="A151" t="s">
        <v>154</v>
      </c>
      <c r="B151" t="s">
        <v>5</v>
      </c>
      <c r="C151">
        <v>295</v>
      </c>
      <c r="E151">
        <f t="shared" si="69"/>
        <v>46642.463514134717</v>
      </c>
      <c r="F151" s="8">
        <f t="shared" si="76"/>
        <v>373.13970811307775</v>
      </c>
      <c r="G151" s="9">
        <f t="shared" si="64"/>
        <v>94.031206444495595</v>
      </c>
      <c r="H151">
        <f t="shared" si="65"/>
        <v>46736.494720579212</v>
      </c>
      <c r="K151" t="s">
        <v>6</v>
      </c>
      <c r="L151">
        <v>296</v>
      </c>
      <c r="N151" s="6">
        <f t="shared" si="77"/>
        <v>210.31422624260648</v>
      </c>
      <c r="O151" s="11">
        <f t="shared" si="66"/>
        <v>52.999185013136831</v>
      </c>
      <c r="P151">
        <f t="shared" si="67"/>
        <v>46789.493905592346</v>
      </c>
      <c r="R151">
        <f t="shared" si="68"/>
        <v>147.03039145763242</v>
      </c>
    </row>
    <row r="152" spans="1:18" x14ac:dyDescent="0.35">
      <c r="A152" t="s">
        <v>155</v>
      </c>
      <c r="B152" t="s">
        <v>5</v>
      </c>
      <c r="C152">
        <v>297</v>
      </c>
      <c r="E152">
        <f t="shared" si="69"/>
        <v>46789.493905592346</v>
      </c>
      <c r="F152" s="8">
        <f t="shared" si="76"/>
        <v>374.31595124473876</v>
      </c>
      <c r="G152" s="9">
        <f t="shared" si="64"/>
        <v>94.327619713674167</v>
      </c>
      <c r="H152">
        <f t="shared" si="65"/>
        <v>46883.821525306019</v>
      </c>
      <c r="K152" t="s">
        <v>6</v>
      </c>
      <c r="L152">
        <v>298</v>
      </c>
      <c r="N152" s="6">
        <f t="shared" si="77"/>
        <v>210.97719686387711</v>
      </c>
      <c r="O152" s="11">
        <f t="shared" si="66"/>
        <v>53.16625360969703</v>
      </c>
      <c r="P152">
        <f t="shared" si="67"/>
        <v>46936.987778915718</v>
      </c>
      <c r="R152">
        <f t="shared" si="68"/>
        <v>147.49387332337119</v>
      </c>
    </row>
    <row r="153" spans="1:18" s="13" customFormat="1" x14ac:dyDescent="0.35">
      <c r="A153" s="13" t="s">
        <v>156</v>
      </c>
      <c r="B153" s="13" t="s">
        <v>5</v>
      </c>
      <c r="C153" s="13">
        <v>299</v>
      </c>
      <c r="E153" s="13">
        <f t="shared" si="69"/>
        <v>46936.987778915718</v>
      </c>
      <c r="F153" s="14">
        <f t="shared" si="76"/>
        <v>375.49590223132577</v>
      </c>
      <c r="G153" s="9">
        <f t="shared" si="64"/>
        <v>94.6249673622941</v>
      </c>
      <c r="H153" s="13">
        <f t="shared" si="65"/>
        <v>47031.612746278013</v>
      </c>
      <c r="K153" s="13" t="s">
        <v>6</v>
      </c>
      <c r="L153" s="13">
        <v>300</v>
      </c>
      <c r="N153" s="13">
        <f t="shared" si="77"/>
        <v>211.64225735825107</v>
      </c>
      <c r="O153" s="11">
        <f t="shared" si="66"/>
        <v>53.333848854279267</v>
      </c>
      <c r="P153" s="13">
        <f t="shared" si="67"/>
        <v>47084.946595132293</v>
      </c>
      <c r="R153" s="13">
        <f t="shared" si="68"/>
        <v>147.95881621657338</v>
      </c>
    </row>
    <row r="154" spans="1:18" s="6" customFormat="1" x14ac:dyDescent="0.35">
      <c r="A154" s="6" t="s">
        <v>157</v>
      </c>
      <c r="B154" s="6" t="s">
        <v>5</v>
      </c>
      <c r="C154" s="6">
        <v>301</v>
      </c>
      <c r="D154" s="7">
        <v>7.0000000000000001E-3</v>
      </c>
      <c r="E154" s="6">
        <f t="shared" si="69"/>
        <v>47084.946595132293</v>
      </c>
      <c r="F154" s="8">
        <f>E154*0.7%</f>
        <v>329.594626165926</v>
      </c>
      <c r="G154" s="9">
        <f t="shared" si="64"/>
        <v>83.057845793813357</v>
      </c>
      <c r="H154" s="6">
        <f t="shared" si="65"/>
        <v>47168.004440926103</v>
      </c>
      <c r="K154" s="6" t="s">
        <v>6</v>
      </c>
      <c r="L154" s="6">
        <v>302</v>
      </c>
      <c r="M154" s="7">
        <v>4.9999999999999897E-3</v>
      </c>
      <c r="N154" s="6">
        <f>H154*0.5%</f>
        <v>235.84002220463051</v>
      </c>
      <c r="O154" s="11">
        <f t="shared" si="66"/>
        <v>59.43168559556689</v>
      </c>
      <c r="P154" s="6">
        <f t="shared" si="67"/>
        <v>47227.436126521672</v>
      </c>
      <c r="R154" s="6">
        <f t="shared" si="68"/>
        <v>142.48953138938026</v>
      </c>
    </row>
    <row r="155" spans="1:18" x14ac:dyDescent="0.35">
      <c r="A155" t="s">
        <v>158</v>
      </c>
      <c r="B155" t="s">
        <v>5</v>
      </c>
      <c r="C155">
        <v>303</v>
      </c>
      <c r="E155">
        <f t="shared" si="69"/>
        <v>47227.436126521672</v>
      </c>
      <c r="F155" s="8">
        <f t="shared" ref="F155:F158" si="78">E155*0.7%</f>
        <v>330.5920528856517</v>
      </c>
      <c r="G155" s="9">
        <f t="shared" si="64"/>
        <v>83.309197327184222</v>
      </c>
      <c r="H155">
        <f t="shared" si="65"/>
        <v>47310.74532384886</v>
      </c>
      <c r="K155" t="s">
        <v>6</v>
      </c>
      <c r="L155">
        <v>304</v>
      </c>
      <c r="N155" s="6">
        <f t="shared" ref="N155:N158" si="79">H155*0.5%</f>
        <v>236.55372661924432</v>
      </c>
      <c r="O155" s="11">
        <f t="shared" si="66"/>
        <v>59.61153910804957</v>
      </c>
      <c r="P155">
        <f t="shared" si="67"/>
        <v>47370.356862956913</v>
      </c>
      <c r="R155">
        <f t="shared" si="68"/>
        <v>142.92073643523378</v>
      </c>
    </row>
    <row r="156" spans="1:18" x14ac:dyDescent="0.35">
      <c r="A156" t="s">
        <v>159</v>
      </c>
      <c r="B156" t="s">
        <v>5</v>
      </c>
      <c r="C156">
        <v>305</v>
      </c>
      <c r="E156">
        <f t="shared" si="69"/>
        <v>47370.356862956913</v>
      </c>
      <c r="F156" s="8">
        <f t="shared" si="78"/>
        <v>331.59249804069833</v>
      </c>
      <c r="G156" s="9">
        <f t="shared" si="64"/>
        <v>83.561309506255981</v>
      </c>
      <c r="H156">
        <f t="shared" si="65"/>
        <v>47453.918172463171</v>
      </c>
      <c r="K156" t="s">
        <v>6</v>
      </c>
      <c r="L156">
        <v>306</v>
      </c>
      <c r="N156" s="6">
        <f t="shared" si="79"/>
        <v>237.26959086231585</v>
      </c>
      <c r="O156" s="11">
        <f t="shared" si="66"/>
        <v>59.791936897303593</v>
      </c>
      <c r="P156">
        <f t="shared" si="67"/>
        <v>47513.710109360472</v>
      </c>
      <c r="R156">
        <f t="shared" si="68"/>
        <v>143.35324640355958</v>
      </c>
    </row>
    <row r="157" spans="1:18" x14ac:dyDescent="0.35">
      <c r="A157" t="s">
        <v>160</v>
      </c>
      <c r="B157" t="s">
        <v>5</v>
      </c>
      <c r="C157">
        <v>307</v>
      </c>
      <c r="E157">
        <f t="shared" si="69"/>
        <v>47513.710109360472</v>
      </c>
      <c r="F157" s="8">
        <f t="shared" si="78"/>
        <v>332.59597076552325</v>
      </c>
      <c r="G157" s="9">
        <f t="shared" si="64"/>
        <v>83.814184632911861</v>
      </c>
      <c r="H157">
        <f t="shared" si="65"/>
        <v>47597.524293993381</v>
      </c>
      <c r="K157" t="s">
        <v>6</v>
      </c>
      <c r="L157">
        <v>308</v>
      </c>
      <c r="N157" s="6">
        <f t="shared" si="79"/>
        <v>237.98762146996691</v>
      </c>
      <c r="O157" s="11">
        <f t="shared" si="66"/>
        <v>59.972880610431659</v>
      </c>
      <c r="P157">
        <f t="shared" si="67"/>
        <v>47657.497174603814</v>
      </c>
      <c r="R157">
        <f t="shared" si="68"/>
        <v>143.78706524334353</v>
      </c>
    </row>
    <row r="158" spans="1:18" x14ac:dyDescent="0.35">
      <c r="A158" t="s">
        <v>161</v>
      </c>
      <c r="B158" t="s">
        <v>5</v>
      </c>
      <c r="C158">
        <v>309</v>
      </c>
      <c r="E158">
        <f t="shared" si="69"/>
        <v>47657.497174603814</v>
      </c>
      <c r="F158" s="8">
        <f t="shared" si="78"/>
        <v>333.60248022222669</v>
      </c>
      <c r="G158" s="9">
        <f t="shared" si="64"/>
        <v>84.067825016001123</v>
      </c>
      <c r="H158">
        <f t="shared" si="65"/>
        <v>47741.564999619812</v>
      </c>
      <c r="K158" t="s">
        <v>6</v>
      </c>
      <c r="L158">
        <v>310</v>
      </c>
      <c r="N158" s="6">
        <f t="shared" si="79"/>
        <v>238.70782499809906</v>
      </c>
      <c r="O158" s="11">
        <f t="shared" si="66"/>
        <v>60.15437189952096</v>
      </c>
      <c r="P158">
        <f t="shared" si="67"/>
        <v>47801.719371519335</v>
      </c>
      <c r="R158">
        <f t="shared" si="68"/>
        <v>144.22219691552209</v>
      </c>
    </row>
    <row r="159" spans="1:18" s="6" customFormat="1" x14ac:dyDescent="0.35">
      <c r="A159" s="6" t="s">
        <v>162</v>
      </c>
      <c r="B159" s="6" t="s">
        <v>5</v>
      </c>
      <c r="C159" s="6">
        <v>311</v>
      </c>
      <c r="D159" s="7">
        <v>6.0000000000000001E-3</v>
      </c>
      <c r="E159" s="6">
        <f t="shared" si="69"/>
        <v>47801.719371519335</v>
      </c>
      <c r="F159" s="8">
        <f>E159*0.6%</f>
        <v>286.81031622911604</v>
      </c>
      <c r="G159" s="9">
        <f t="shared" si="64"/>
        <v>72.27619968973724</v>
      </c>
      <c r="H159" s="6">
        <f t="shared" si="65"/>
        <v>47873.995571209074</v>
      </c>
      <c r="K159" s="6" t="s">
        <v>6</v>
      </c>
      <c r="L159" s="6">
        <v>312</v>
      </c>
      <c r="M159" s="7">
        <v>5.4999999999999797E-3</v>
      </c>
      <c r="N159" s="6">
        <f>H159*0.55%</f>
        <v>263.30697564164996</v>
      </c>
      <c r="O159" s="11">
        <f t="shared" si="66"/>
        <v>66.353357861695784</v>
      </c>
      <c r="P159" s="6">
        <f t="shared" si="67"/>
        <v>47940.348929070773</v>
      </c>
      <c r="R159" s="6">
        <f t="shared" si="68"/>
        <v>138.62955755143304</v>
      </c>
    </row>
    <row r="160" spans="1:18" x14ac:dyDescent="0.35">
      <c r="A160" t="s">
        <v>163</v>
      </c>
      <c r="B160" t="s">
        <v>5</v>
      </c>
      <c r="C160">
        <v>313</v>
      </c>
      <c r="E160">
        <f t="shared" si="69"/>
        <v>47940.348929070773</v>
      </c>
      <c r="F160" s="8">
        <f t="shared" ref="F160:F163" si="80">E160*0.6%</f>
        <v>287.64209357442462</v>
      </c>
      <c r="G160" s="9">
        <f t="shared" si="64"/>
        <v>72.485807580755008</v>
      </c>
      <c r="H160">
        <f t="shared" si="65"/>
        <v>48012.83473665153</v>
      </c>
      <c r="K160" t="s">
        <v>6</v>
      </c>
      <c r="L160">
        <v>314</v>
      </c>
      <c r="N160" s="6">
        <f t="shared" ref="N160:N163" si="81">H160*0.55%</f>
        <v>264.07059105158345</v>
      </c>
      <c r="O160" s="11">
        <f t="shared" si="66"/>
        <v>66.545788944999032</v>
      </c>
      <c r="P160">
        <f t="shared" si="67"/>
        <v>48079.380525596527</v>
      </c>
      <c r="R160">
        <f t="shared" si="68"/>
        <v>139.03159652575403</v>
      </c>
    </row>
    <row r="161" spans="1:18" x14ac:dyDescent="0.35">
      <c r="A161" t="s">
        <v>164</v>
      </c>
      <c r="B161" t="s">
        <v>5</v>
      </c>
      <c r="C161">
        <v>315</v>
      </c>
      <c r="E161">
        <f t="shared" si="69"/>
        <v>48079.380525596527</v>
      </c>
      <c r="F161" s="8">
        <f t="shared" si="80"/>
        <v>288.47628315357917</v>
      </c>
      <c r="G161" s="9">
        <f t="shared" si="64"/>
        <v>72.69602335470195</v>
      </c>
      <c r="H161">
        <f t="shared" si="65"/>
        <v>48152.076548951227</v>
      </c>
      <c r="K161" t="s">
        <v>6</v>
      </c>
      <c r="L161">
        <v>316</v>
      </c>
      <c r="N161" s="6">
        <f t="shared" si="81"/>
        <v>264.83642101923175</v>
      </c>
      <c r="O161" s="11">
        <f t="shared" si="66"/>
        <v>66.738778096846403</v>
      </c>
      <c r="P161">
        <f t="shared" si="67"/>
        <v>48218.815327048076</v>
      </c>
      <c r="R161">
        <f t="shared" si="68"/>
        <v>139.43480145154837</v>
      </c>
    </row>
    <row r="162" spans="1:18" x14ac:dyDescent="0.35">
      <c r="A162" t="s">
        <v>165</v>
      </c>
      <c r="B162" t="s">
        <v>5</v>
      </c>
      <c r="C162">
        <v>317</v>
      </c>
      <c r="E162">
        <f t="shared" si="69"/>
        <v>48218.815327048076</v>
      </c>
      <c r="F162" s="8">
        <f t="shared" si="80"/>
        <v>289.31289196228846</v>
      </c>
      <c r="G162" s="9">
        <f t="shared" si="64"/>
        <v>72.906848774496694</v>
      </c>
      <c r="H162">
        <f t="shared" si="65"/>
        <v>48291.722175822571</v>
      </c>
      <c r="K162" t="s">
        <v>6</v>
      </c>
      <c r="L162">
        <v>318</v>
      </c>
      <c r="N162" s="6">
        <f t="shared" si="81"/>
        <v>265.60447196702415</v>
      </c>
      <c r="O162" s="11">
        <f t="shared" si="66"/>
        <v>66.932326935690085</v>
      </c>
      <c r="P162">
        <f t="shared" si="67"/>
        <v>48358.654502758262</v>
      </c>
      <c r="R162">
        <f t="shared" si="68"/>
        <v>139.83917571018679</v>
      </c>
    </row>
    <row r="163" spans="1:18" x14ac:dyDescent="0.35">
      <c r="A163" t="s">
        <v>166</v>
      </c>
      <c r="B163" t="s">
        <v>5</v>
      </c>
      <c r="C163">
        <v>319</v>
      </c>
      <c r="E163">
        <f t="shared" si="69"/>
        <v>48358.654502758262</v>
      </c>
      <c r="F163" s="8">
        <f t="shared" si="80"/>
        <v>290.15192701654956</v>
      </c>
      <c r="G163" s="9">
        <f t="shared" si="64"/>
        <v>73.118285608170495</v>
      </c>
      <c r="H163">
        <f t="shared" si="65"/>
        <v>48431.772788366434</v>
      </c>
      <c r="K163" t="s">
        <v>6</v>
      </c>
      <c r="L163">
        <v>320</v>
      </c>
      <c r="M163" s="15"/>
      <c r="N163" s="6">
        <f t="shared" si="81"/>
        <v>266.37475033601544</v>
      </c>
      <c r="O163" s="11">
        <f t="shared" si="66"/>
        <v>67.126437084675885</v>
      </c>
      <c r="P163">
        <f t="shared" si="67"/>
        <v>48498.89922545111</v>
      </c>
      <c r="R163">
        <f t="shared" si="68"/>
        <v>140.24472269284638</v>
      </c>
    </row>
    <row r="164" spans="1:18" s="6" customFormat="1" x14ac:dyDescent="0.35">
      <c r="A164" s="6" t="s">
        <v>167</v>
      </c>
      <c r="B164" s="6" t="s">
        <v>6</v>
      </c>
      <c r="C164" s="6">
        <v>321</v>
      </c>
      <c r="D164" s="7">
        <v>5.0000000000000001E-3</v>
      </c>
      <c r="E164" s="6">
        <f t="shared" si="69"/>
        <v>48498.89922545111</v>
      </c>
      <c r="F164" s="8">
        <f>E164*0.5%</f>
        <v>242.49449612725556</v>
      </c>
      <c r="G164" s="9">
        <f t="shared" si="64"/>
        <v>61.108613024068404</v>
      </c>
      <c r="H164" s="6">
        <f t="shared" si="65"/>
        <v>48560.007838475176</v>
      </c>
      <c r="K164" s="6" t="s">
        <v>12</v>
      </c>
      <c r="L164" s="6">
        <v>322</v>
      </c>
      <c r="M164" s="7">
        <v>5.9999999999999698E-3</v>
      </c>
      <c r="N164" s="6">
        <f>H164*0.6%</f>
        <v>291.36004703085104</v>
      </c>
      <c r="O164" s="11">
        <f t="shared" si="66"/>
        <v>73.422731851774458</v>
      </c>
      <c r="P164" s="6">
        <f t="shared" si="67"/>
        <v>48633.430570326949</v>
      </c>
      <c r="R164" s="6">
        <f t="shared" si="68"/>
        <v>134.53134487584288</v>
      </c>
    </row>
    <row r="165" spans="1:18" x14ac:dyDescent="0.35">
      <c r="A165" t="s">
        <v>168</v>
      </c>
      <c r="B165" t="s">
        <v>6</v>
      </c>
      <c r="C165">
        <v>323</v>
      </c>
      <c r="E165">
        <f t="shared" si="69"/>
        <v>48633.430570326949</v>
      </c>
      <c r="F165" s="8">
        <f t="shared" ref="F165:F168" si="82">E165*0.5%</f>
        <v>243.16715285163474</v>
      </c>
      <c r="G165" s="9">
        <f t="shared" si="64"/>
        <v>61.278122518611951</v>
      </c>
      <c r="H165">
        <f t="shared" si="65"/>
        <v>48694.708692845561</v>
      </c>
      <c r="K165" t="s">
        <v>12</v>
      </c>
      <c r="L165">
        <v>324</v>
      </c>
      <c r="N165" s="6">
        <f t="shared" ref="N165:N168" si="83">H165*0.6%</f>
        <v>292.16825215707337</v>
      </c>
      <c r="O165" s="11">
        <f t="shared" si="66"/>
        <v>73.626399543582494</v>
      </c>
      <c r="P165">
        <f t="shared" si="67"/>
        <v>48768.335092389141</v>
      </c>
      <c r="R165">
        <f t="shared" si="68"/>
        <v>134.90452206219445</v>
      </c>
    </row>
    <row r="166" spans="1:18" x14ac:dyDescent="0.35">
      <c r="A166" t="s">
        <v>169</v>
      </c>
      <c r="B166" t="s">
        <v>6</v>
      </c>
      <c r="C166">
        <v>325</v>
      </c>
      <c r="E166">
        <f t="shared" si="69"/>
        <v>48768.335092389141</v>
      </c>
      <c r="F166" s="8">
        <f t="shared" si="82"/>
        <v>243.8416754619457</v>
      </c>
      <c r="G166" s="9">
        <f t="shared" si="64"/>
        <v>61.448102216410319</v>
      </c>
      <c r="H166">
        <f t="shared" si="65"/>
        <v>48829.783194605552</v>
      </c>
      <c r="K166" t="s">
        <v>12</v>
      </c>
      <c r="L166">
        <v>326</v>
      </c>
      <c r="N166" s="6">
        <f t="shared" si="83"/>
        <v>292.97869916763329</v>
      </c>
      <c r="O166" s="11">
        <f t="shared" si="66"/>
        <v>73.830632190243591</v>
      </c>
      <c r="P166">
        <f t="shared" si="67"/>
        <v>48903.613826795794</v>
      </c>
      <c r="R166">
        <f t="shared" si="68"/>
        <v>135.27873440665391</v>
      </c>
    </row>
    <row r="167" spans="1:18" x14ac:dyDescent="0.35">
      <c r="A167" t="s">
        <v>170</v>
      </c>
      <c r="B167" t="s">
        <v>6</v>
      </c>
      <c r="C167">
        <v>327</v>
      </c>
      <c r="E167">
        <f t="shared" si="69"/>
        <v>48903.613826795794</v>
      </c>
      <c r="F167" s="8">
        <f t="shared" si="82"/>
        <v>244.51806913397897</v>
      </c>
      <c r="G167" s="9">
        <f t="shared" si="64"/>
        <v>61.618553421762698</v>
      </c>
      <c r="H167">
        <f t="shared" si="65"/>
        <v>48965.23238021756</v>
      </c>
      <c r="K167" t="s">
        <v>12</v>
      </c>
      <c r="L167">
        <v>328</v>
      </c>
      <c r="N167" s="6">
        <f t="shared" si="83"/>
        <v>293.79139428130537</v>
      </c>
      <c r="O167" s="11">
        <f t="shared" si="66"/>
        <v>74.035431358888957</v>
      </c>
      <c r="P167">
        <f t="shared" si="67"/>
        <v>49039.26781157645</v>
      </c>
      <c r="R167">
        <f t="shared" si="68"/>
        <v>135.65398478065165</v>
      </c>
    </row>
    <row r="168" spans="1:18" x14ac:dyDescent="0.35">
      <c r="A168" t="s">
        <v>171</v>
      </c>
      <c r="B168" t="s">
        <v>6</v>
      </c>
      <c r="C168">
        <v>329</v>
      </c>
      <c r="D168" s="15"/>
      <c r="E168">
        <f t="shared" si="69"/>
        <v>49039.26781157645</v>
      </c>
      <c r="F168" s="8">
        <f t="shared" si="82"/>
        <v>245.19633905788226</v>
      </c>
      <c r="G168" s="9">
        <f t="shared" si="64"/>
        <v>61.789477442586332</v>
      </c>
      <c r="H168">
        <f t="shared" si="65"/>
        <v>49101.057289019038</v>
      </c>
      <c r="K168" t="s">
        <v>12</v>
      </c>
      <c r="L168">
        <v>330</v>
      </c>
      <c r="N168" s="6">
        <f t="shared" si="83"/>
        <v>294.60634373411426</v>
      </c>
      <c r="O168" s="11">
        <f t="shared" si="66"/>
        <v>74.240798620996799</v>
      </c>
      <c r="P168">
        <f t="shared" si="67"/>
        <v>49175.298087640032</v>
      </c>
      <c r="R168">
        <f t="shared" si="68"/>
        <v>136.03027606358313</v>
      </c>
    </row>
    <row r="169" spans="1:18" s="6" customFormat="1" x14ac:dyDescent="0.35">
      <c r="A169" s="6" t="s">
        <v>172</v>
      </c>
      <c r="B169" s="6" t="s">
        <v>6</v>
      </c>
      <c r="C169" s="6">
        <v>331</v>
      </c>
      <c r="D169" s="7">
        <v>4.0000000000000001E-3</v>
      </c>
      <c r="E169" s="6">
        <f t="shared" si="69"/>
        <v>49175.298087640032</v>
      </c>
      <c r="F169" s="8">
        <f>E169*0.4%</f>
        <v>196.70119235056012</v>
      </c>
      <c r="G169" s="9">
        <f t="shared" si="64"/>
        <v>49.568700472341149</v>
      </c>
      <c r="H169" s="6">
        <f t="shared" si="65"/>
        <v>49224.866788112377</v>
      </c>
      <c r="K169" s="6" t="s">
        <v>12</v>
      </c>
      <c r="L169" s="6">
        <v>332</v>
      </c>
      <c r="M169" s="7">
        <v>6.4999999999999598E-3</v>
      </c>
      <c r="N169" s="6">
        <f>H169*0.65%</f>
        <v>319.96163412273046</v>
      </c>
      <c r="O169" s="11">
        <f t="shared" si="66"/>
        <v>80.630331798928083</v>
      </c>
      <c r="P169" s="6">
        <f t="shared" si="67"/>
        <v>49305.497119911306</v>
      </c>
      <c r="R169" s="6">
        <f t="shared" si="68"/>
        <v>130.19903227126923</v>
      </c>
    </row>
    <row r="170" spans="1:18" x14ac:dyDescent="0.35">
      <c r="A170" t="s">
        <v>173</v>
      </c>
      <c r="B170" t="s">
        <v>6</v>
      </c>
      <c r="C170">
        <v>333</v>
      </c>
      <c r="E170">
        <f t="shared" si="69"/>
        <v>49305.497119911306</v>
      </c>
      <c r="F170" s="8">
        <f t="shared" ref="F170:F173" si="84">E170*0.4%</f>
        <v>197.22198847964523</v>
      </c>
      <c r="G170" s="9">
        <f t="shared" si="64"/>
        <v>49.699941096870596</v>
      </c>
      <c r="H170">
        <f t="shared" si="65"/>
        <v>49355.197061008177</v>
      </c>
      <c r="K170" t="s">
        <v>12</v>
      </c>
      <c r="L170">
        <v>334</v>
      </c>
      <c r="N170" s="6">
        <f t="shared" ref="N170:N173" si="85">H170*0.65%</f>
        <v>320.80878089655317</v>
      </c>
      <c r="O170" s="11">
        <f t="shared" si="66"/>
        <v>80.843812785931405</v>
      </c>
      <c r="P170">
        <f t="shared" si="67"/>
        <v>49436.040873794111</v>
      </c>
      <c r="R170">
        <f t="shared" si="68"/>
        <v>130.54375388280201</v>
      </c>
    </row>
    <row r="171" spans="1:18" x14ac:dyDescent="0.35">
      <c r="A171" t="s">
        <v>174</v>
      </c>
      <c r="B171" t="s">
        <v>6</v>
      </c>
      <c r="C171">
        <v>335</v>
      </c>
      <c r="E171">
        <f t="shared" si="69"/>
        <v>49436.040873794111</v>
      </c>
      <c r="F171" s="8">
        <f t="shared" si="84"/>
        <v>197.74416349517645</v>
      </c>
      <c r="G171" s="9">
        <f t="shared" si="64"/>
        <v>49.831529200784466</v>
      </c>
      <c r="H171">
        <f t="shared" si="65"/>
        <v>49485.872402994893</v>
      </c>
      <c r="K171" t="s">
        <v>12</v>
      </c>
      <c r="L171">
        <v>336</v>
      </c>
      <c r="N171" s="6">
        <f t="shared" si="85"/>
        <v>321.65817061946683</v>
      </c>
      <c r="O171" s="11">
        <f t="shared" si="66"/>
        <v>81.057858996105637</v>
      </c>
      <c r="P171">
        <f t="shared" si="67"/>
        <v>49566.930261991001</v>
      </c>
      <c r="R171">
        <f t="shared" si="68"/>
        <v>130.88938819689011</v>
      </c>
    </row>
    <row r="172" spans="1:18" x14ac:dyDescent="0.35">
      <c r="A172" t="s">
        <v>175</v>
      </c>
      <c r="B172" t="s">
        <v>6</v>
      </c>
      <c r="C172">
        <v>337</v>
      </c>
      <c r="E172">
        <f t="shared" si="69"/>
        <v>49566.930261991001</v>
      </c>
      <c r="F172" s="8">
        <f t="shared" si="84"/>
        <v>198.26772104796402</v>
      </c>
      <c r="G172" s="9">
        <f t="shared" si="64"/>
        <v>49.963465704086936</v>
      </c>
      <c r="H172">
        <f t="shared" si="65"/>
        <v>49616.893727695089</v>
      </c>
      <c r="K172" t="s">
        <v>12</v>
      </c>
      <c r="L172">
        <v>338</v>
      </c>
      <c r="N172" s="6">
        <f t="shared" si="85"/>
        <v>322.50980923001811</v>
      </c>
      <c r="O172" s="11">
        <f t="shared" si="66"/>
        <v>81.272471925964567</v>
      </c>
      <c r="P172">
        <f t="shared" si="67"/>
        <v>49698.166199621053</v>
      </c>
      <c r="R172">
        <f t="shared" si="68"/>
        <v>131.2359376300515</v>
      </c>
    </row>
    <row r="173" spans="1:18" x14ac:dyDescent="0.35">
      <c r="A173" t="s">
        <v>176</v>
      </c>
      <c r="B173" t="s">
        <v>6</v>
      </c>
      <c r="C173">
        <v>339</v>
      </c>
      <c r="E173">
        <f t="shared" si="69"/>
        <v>49698.166199621053</v>
      </c>
      <c r="F173" s="8">
        <f t="shared" si="84"/>
        <v>198.79266479848422</v>
      </c>
      <c r="G173" s="9">
        <f t="shared" si="64"/>
        <v>50.095751529218028</v>
      </c>
      <c r="H173">
        <f t="shared" si="65"/>
        <v>49748.261951150271</v>
      </c>
      <c r="K173" t="s">
        <v>12</v>
      </c>
      <c r="L173">
        <v>340</v>
      </c>
      <c r="M173" s="15"/>
      <c r="N173" s="6">
        <f t="shared" si="85"/>
        <v>323.3637026824768</v>
      </c>
      <c r="O173" s="11">
        <f t="shared" si="66"/>
        <v>81.487653075984156</v>
      </c>
      <c r="P173">
        <f t="shared" si="67"/>
        <v>49829.749604226257</v>
      </c>
      <c r="R173">
        <f t="shared" si="68"/>
        <v>131.58340460520219</v>
      </c>
    </row>
    <row r="174" spans="1:18" s="6" customFormat="1" x14ac:dyDescent="0.35">
      <c r="A174" s="6" t="s">
        <v>177</v>
      </c>
      <c r="B174" s="6" t="s">
        <v>6</v>
      </c>
      <c r="C174" s="6">
        <v>341</v>
      </c>
      <c r="D174" s="7">
        <v>3.00000000000001E-3</v>
      </c>
      <c r="E174" s="6">
        <f t="shared" si="69"/>
        <v>49829.749604226257</v>
      </c>
      <c r="F174" s="8">
        <f>E174*0.3%</f>
        <v>149.48924881267877</v>
      </c>
      <c r="G174" s="9">
        <f t="shared" si="64"/>
        <v>37.671290700795048</v>
      </c>
      <c r="H174" s="6">
        <f t="shared" si="65"/>
        <v>49867.420894927054</v>
      </c>
      <c r="K174" s="6" t="s">
        <v>12</v>
      </c>
      <c r="L174" s="6">
        <v>342</v>
      </c>
      <c r="M174" s="7">
        <v>6.9999999999999498E-3</v>
      </c>
      <c r="N174" s="6">
        <f t="shared" ref="N174:N178" si="86">H174*0.7%</f>
        <v>349.07194626448933</v>
      </c>
      <c r="O174" s="11">
        <f t="shared" si="66"/>
        <v>87.966130458651307</v>
      </c>
      <c r="P174" s="6">
        <f t="shared" si="67"/>
        <v>49955.387025385702</v>
      </c>
      <c r="R174" s="6">
        <f t="shared" si="68"/>
        <v>125.63742115944635</v>
      </c>
    </row>
    <row r="175" spans="1:18" x14ac:dyDescent="0.35">
      <c r="A175" t="s">
        <v>178</v>
      </c>
      <c r="B175" t="s">
        <v>6</v>
      </c>
      <c r="C175">
        <v>343</v>
      </c>
      <c r="E175">
        <f t="shared" si="69"/>
        <v>49955.387025385702</v>
      </c>
      <c r="F175" s="8">
        <f t="shared" ref="F175:F178" si="87">E175*0.3%</f>
        <v>149.86616107615711</v>
      </c>
      <c r="G175" s="9">
        <f t="shared" si="64"/>
        <v>37.766272591191594</v>
      </c>
      <c r="H175">
        <f t="shared" si="65"/>
        <v>49993.153297976896</v>
      </c>
      <c r="K175" t="s">
        <v>12</v>
      </c>
      <c r="L175">
        <v>344</v>
      </c>
      <c r="N175" s="6">
        <f t="shared" si="86"/>
        <v>349.95207308583826</v>
      </c>
      <c r="O175" s="11">
        <f t="shared" si="66"/>
        <v>88.187922417631242</v>
      </c>
      <c r="P175">
        <f t="shared" si="67"/>
        <v>50081.341220394526</v>
      </c>
      <c r="R175">
        <f t="shared" si="68"/>
        <v>125.95419500882284</v>
      </c>
    </row>
    <row r="176" spans="1:18" x14ac:dyDescent="0.35">
      <c r="A176" t="s">
        <v>179</v>
      </c>
      <c r="B176" t="s">
        <v>6</v>
      </c>
      <c r="C176">
        <v>345</v>
      </c>
      <c r="E176">
        <f t="shared" si="69"/>
        <v>50081.341220394526</v>
      </c>
      <c r="F176" s="8">
        <f t="shared" si="87"/>
        <v>150.24402366118358</v>
      </c>
      <c r="G176" s="9">
        <f t="shared" si="64"/>
        <v>37.861493962618262</v>
      </c>
      <c r="H176">
        <f t="shared" si="65"/>
        <v>50119.202714357147</v>
      </c>
      <c r="K176" t="s">
        <v>12</v>
      </c>
      <c r="L176">
        <v>346</v>
      </c>
      <c r="N176" s="6">
        <f t="shared" si="86"/>
        <v>350.83441900049996</v>
      </c>
      <c r="O176" s="11">
        <f t="shared" si="66"/>
        <v>88.410273588125989</v>
      </c>
      <c r="P176">
        <f t="shared" si="67"/>
        <v>50207.612987945271</v>
      </c>
      <c r="R176">
        <f t="shared" si="68"/>
        <v>126.27176755074424</v>
      </c>
    </row>
    <row r="177" spans="1:18" x14ac:dyDescent="0.35">
      <c r="A177" t="s">
        <v>180</v>
      </c>
      <c r="B177" t="s">
        <v>6</v>
      </c>
      <c r="C177">
        <v>347</v>
      </c>
      <c r="E177">
        <f t="shared" si="69"/>
        <v>50207.612987945271</v>
      </c>
      <c r="F177" s="8">
        <f t="shared" si="87"/>
        <v>150.62283896383582</v>
      </c>
      <c r="G177" s="9">
        <f t="shared" si="64"/>
        <v>37.956955418886629</v>
      </c>
      <c r="H177">
        <f t="shared" si="65"/>
        <v>50245.569943364157</v>
      </c>
      <c r="K177" t="s">
        <v>12</v>
      </c>
      <c r="L177">
        <v>348</v>
      </c>
      <c r="N177" s="6">
        <f t="shared" si="86"/>
        <v>351.71898960354906</v>
      </c>
      <c r="O177" s="11">
        <f t="shared" si="66"/>
        <v>88.633185380094361</v>
      </c>
      <c r="P177">
        <f t="shared" si="67"/>
        <v>50334.203128744251</v>
      </c>
      <c r="R177">
        <f t="shared" si="68"/>
        <v>126.590140798981</v>
      </c>
    </row>
    <row r="178" spans="1:18" x14ac:dyDescent="0.35">
      <c r="A178" t="s">
        <v>181</v>
      </c>
      <c r="B178" t="s">
        <v>6</v>
      </c>
      <c r="C178">
        <v>349</v>
      </c>
      <c r="E178">
        <f t="shared" si="69"/>
        <v>50334.203128744251</v>
      </c>
      <c r="F178" s="8">
        <f t="shared" si="87"/>
        <v>151.00260938623276</v>
      </c>
      <c r="G178" s="9">
        <f t="shared" si="64"/>
        <v>38.052657565330655</v>
      </c>
      <c r="H178">
        <f t="shared" si="65"/>
        <v>50372.255786309579</v>
      </c>
      <c r="K178" t="s">
        <v>12</v>
      </c>
      <c r="L178">
        <v>350</v>
      </c>
      <c r="N178" s="6">
        <f t="shared" si="86"/>
        <v>352.60579050416703</v>
      </c>
      <c r="O178" s="11">
        <f t="shared" si="66"/>
        <v>88.856659207050086</v>
      </c>
      <c r="P178">
        <f t="shared" si="67"/>
        <v>50461.112445516628</v>
      </c>
      <c r="R178">
        <f t="shared" si="68"/>
        <v>126.90931677238075</v>
      </c>
    </row>
    <row r="179" spans="1:18" s="6" customFormat="1" x14ac:dyDescent="0.35">
      <c r="A179" s="6" t="s">
        <v>182</v>
      </c>
      <c r="B179" s="6" t="s">
        <v>6</v>
      </c>
      <c r="C179" s="6">
        <v>351</v>
      </c>
      <c r="D179" s="7">
        <v>3.5000000000000001E-3</v>
      </c>
      <c r="E179" s="6">
        <f t="shared" si="69"/>
        <v>50461.112445516628</v>
      </c>
      <c r="F179" s="8">
        <f>E179*0.35%</f>
        <v>176.61389355930817</v>
      </c>
      <c r="G179" s="9">
        <f t="shared" si="64"/>
        <v>44.506701176945661</v>
      </c>
      <c r="H179" s="6">
        <f t="shared" si="65"/>
        <v>50505.619146693571</v>
      </c>
      <c r="K179" s="6" t="s">
        <v>12</v>
      </c>
      <c r="L179" s="6">
        <v>352</v>
      </c>
      <c r="M179" s="7">
        <v>7.4999999999999399E-3</v>
      </c>
      <c r="N179" s="6">
        <f>H179*0.75%</f>
        <v>378.79214360020177</v>
      </c>
      <c r="O179" s="11">
        <f t="shared" si="66"/>
        <v>95.455620187250844</v>
      </c>
      <c r="P179" s="6">
        <f t="shared" si="67"/>
        <v>50601.074766880818</v>
      </c>
      <c r="R179" s="6">
        <f t="shared" si="68"/>
        <v>139.9623213641965</v>
      </c>
    </row>
    <row r="180" spans="1:18" x14ac:dyDescent="0.35">
      <c r="A180" t="s">
        <v>183</v>
      </c>
      <c r="B180" t="s">
        <v>6</v>
      </c>
      <c r="C180">
        <v>353</v>
      </c>
      <c r="E180">
        <f t="shared" si="69"/>
        <v>50601.074766880818</v>
      </c>
      <c r="F180" s="8">
        <f t="shared" ref="F180:F183" si="88">E180*0.35%</f>
        <v>177.10376168408285</v>
      </c>
      <c r="G180" s="9">
        <f t="shared" si="64"/>
        <v>44.630147944388881</v>
      </c>
      <c r="H180">
        <f t="shared" si="65"/>
        <v>50645.704914825204</v>
      </c>
      <c r="K180" t="s">
        <v>12</v>
      </c>
      <c r="L180">
        <v>354</v>
      </c>
      <c r="N180" s="6">
        <f t="shared" ref="N180:N183" si="89">H180*0.75%</f>
        <v>379.84278686118904</v>
      </c>
      <c r="O180" s="11">
        <f t="shared" si="66"/>
        <v>95.720382289019639</v>
      </c>
      <c r="P180">
        <f t="shared" si="67"/>
        <v>50741.425297114227</v>
      </c>
      <c r="R180">
        <f t="shared" si="68"/>
        <v>140.35053023340851</v>
      </c>
    </row>
    <row r="181" spans="1:18" x14ac:dyDescent="0.35">
      <c r="A181" t="s">
        <v>184</v>
      </c>
      <c r="B181" t="s">
        <v>6</v>
      </c>
      <c r="C181">
        <v>355</v>
      </c>
      <c r="E181">
        <f t="shared" si="69"/>
        <v>50741.425297114227</v>
      </c>
      <c r="F181" s="8">
        <f t="shared" si="88"/>
        <v>177.59498853989979</v>
      </c>
      <c r="G181" s="9">
        <f t="shared" si="64"/>
        <v>44.75393711205475</v>
      </c>
      <c r="H181">
        <f t="shared" si="65"/>
        <v>50786.179234226285</v>
      </c>
      <c r="K181" t="s">
        <v>12</v>
      </c>
      <c r="L181">
        <v>356</v>
      </c>
      <c r="N181" s="6">
        <f t="shared" si="89"/>
        <v>380.89634425669715</v>
      </c>
      <c r="O181" s="11">
        <f t="shared" si="66"/>
        <v>95.985878752687682</v>
      </c>
      <c r="P181">
        <f t="shared" si="67"/>
        <v>50882.165112978975</v>
      </c>
      <c r="R181">
        <f t="shared" si="68"/>
        <v>140.73981586474244</v>
      </c>
    </row>
    <row r="182" spans="1:18" x14ac:dyDescent="0.35">
      <c r="A182" t="s">
        <v>185</v>
      </c>
      <c r="B182" t="s">
        <v>6</v>
      </c>
      <c r="C182">
        <v>357</v>
      </c>
      <c r="E182">
        <f t="shared" si="69"/>
        <v>50882.165112978975</v>
      </c>
      <c r="F182" s="8">
        <f t="shared" si="88"/>
        <v>178.08757789542639</v>
      </c>
      <c r="G182" s="9">
        <f t="shared" si="64"/>
        <v>44.878069629647449</v>
      </c>
      <c r="H182">
        <f t="shared" si="65"/>
        <v>50927.043182608621</v>
      </c>
      <c r="K182" t="s">
        <v>12</v>
      </c>
      <c r="L182">
        <v>358</v>
      </c>
      <c r="N182" s="6">
        <f t="shared" si="89"/>
        <v>381.95282386956467</v>
      </c>
      <c r="O182" s="11">
        <f t="shared" si="66"/>
        <v>96.252111615130303</v>
      </c>
      <c r="P182">
        <f t="shared" si="67"/>
        <v>51023.295294223753</v>
      </c>
      <c r="R182">
        <f t="shared" si="68"/>
        <v>141.13018124477776</v>
      </c>
    </row>
    <row r="183" spans="1:18" s="13" customFormat="1" x14ac:dyDescent="0.35">
      <c r="A183" s="13" t="s">
        <v>186</v>
      </c>
      <c r="B183" s="13" t="s">
        <v>6</v>
      </c>
      <c r="C183" s="13">
        <v>359</v>
      </c>
      <c r="E183" s="13">
        <f t="shared" si="69"/>
        <v>51023.295294223753</v>
      </c>
      <c r="F183" s="14">
        <f t="shared" si="88"/>
        <v>178.58153352978312</v>
      </c>
      <c r="G183" s="9">
        <f t="shared" si="64"/>
        <v>45.002546449505346</v>
      </c>
      <c r="H183" s="13">
        <f t="shared" si="65"/>
        <v>51068.297840673258</v>
      </c>
      <c r="K183" s="13" t="s">
        <v>12</v>
      </c>
      <c r="L183" s="13">
        <v>360</v>
      </c>
      <c r="N183" s="13">
        <f t="shared" si="89"/>
        <v>383.01223380504945</v>
      </c>
      <c r="O183" s="11">
        <f t="shared" si="66"/>
        <v>96.519082918872456</v>
      </c>
      <c r="P183" s="13">
        <f t="shared" si="67"/>
        <v>51164.81692359213</v>
      </c>
      <c r="R183" s="13">
        <f t="shared" si="68"/>
        <v>141.5216293683778</v>
      </c>
    </row>
    <row r="184" spans="1:18" s="6" customFormat="1" x14ac:dyDescent="0.35">
      <c r="A184" s="6" t="s">
        <v>187</v>
      </c>
      <c r="B184" s="6" t="s">
        <v>6</v>
      </c>
      <c r="C184" s="6">
        <v>361</v>
      </c>
      <c r="D184" s="7">
        <v>4.0000000000000001E-3</v>
      </c>
      <c r="E184" s="6">
        <f t="shared" si="69"/>
        <v>51164.81692359213</v>
      </c>
      <c r="F184" s="8">
        <f>E184*0.4%</f>
        <v>204.65926769436854</v>
      </c>
      <c r="G184" s="9">
        <f t="shared" si="64"/>
        <v>51.574135458980869</v>
      </c>
      <c r="H184" s="6">
        <f t="shared" si="65"/>
        <v>51216.391059051108</v>
      </c>
      <c r="K184" s="6" t="s">
        <v>12</v>
      </c>
      <c r="L184" s="6">
        <v>362</v>
      </c>
      <c r="M184" s="7">
        <v>7.9999999999999308E-3</v>
      </c>
      <c r="N184" s="6">
        <f>H184*0.8%</f>
        <v>409.7311284724089</v>
      </c>
      <c r="O184" s="11">
        <f t="shared" si="66"/>
        <v>103.25224437504704</v>
      </c>
      <c r="P184" s="6">
        <f t="shared" si="67"/>
        <v>51319.643303426157</v>
      </c>
      <c r="R184" s="6">
        <f t="shared" si="68"/>
        <v>154.8263798340279</v>
      </c>
    </row>
    <row r="185" spans="1:18" x14ac:dyDescent="0.35">
      <c r="A185" t="s">
        <v>188</v>
      </c>
      <c r="B185" t="s">
        <v>6</v>
      </c>
      <c r="C185">
        <v>363</v>
      </c>
      <c r="E185">
        <f t="shared" si="69"/>
        <v>51319.643303426157</v>
      </c>
      <c r="F185" s="8">
        <f t="shared" ref="F185:F188" si="90">E185*0.4%</f>
        <v>205.27857321370465</v>
      </c>
      <c r="G185" s="9">
        <f t="shared" si="64"/>
        <v>51.730200449853569</v>
      </c>
      <c r="H185">
        <f t="shared" si="65"/>
        <v>51371.373503876013</v>
      </c>
      <c r="K185" t="s">
        <v>12</v>
      </c>
      <c r="L185">
        <v>364</v>
      </c>
      <c r="N185" s="6">
        <f t="shared" ref="N185:N188" si="91">H185*0.8%</f>
        <v>410.97098803100812</v>
      </c>
      <c r="O185" s="11">
        <f t="shared" si="66"/>
        <v>103.56468898381405</v>
      </c>
      <c r="P185">
        <f t="shared" si="67"/>
        <v>51474.93819285983</v>
      </c>
      <c r="R185">
        <f t="shared" si="68"/>
        <v>155.29488943366761</v>
      </c>
    </row>
    <row r="186" spans="1:18" x14ac:dyDescent="0.35">
      <c r="A186" t="s">
        <v>189</v>
      </c>
      <c r="B186" t="s">
        <v>6</v>
      </c>
      <c r="C186">
        <v>365</v>
      </c>
      <c r="E186">
        <f t="shared" si="69"/>
        <v>51474.93819285983</v>
      </c>
      <c r="F186" s="8">
        <f t="shared" si="90"/>
        <v>205.89975277143932</v>
      </c>
      <c r="G186" s="9">
        <f t="shared" si="64"/>
        <v>51.886737698402712</v>
      </c>
      <c r="H186">
        <f t="shared" si="65"/>
        <v>51526.824930558236</v>
      </c>
      <c r="K186" t="s">
        <v>12</v>
      </c>
      <c r="L186">
        <v>366</v>
      </c>
      <c r="N186" s="6">
        <f t="shared" si="91"/>
        <v>412.21459944446588</v>
      </c>
      <c r="O186" s="11">
        <f t="shared" si="66"/>
        <v>103.8780790600054</v>
      </c>
      <c r="P186">
        <f t="shared" si="67"/>
        <v>51630.703009618243</v>
      </c>
      <c r="R186">
        <f t="shared" si="68"/>
        <v>155.76481675840813</v>
      </c>
    </row>
    <row r="187" spans="1:18" x14ac:dyDescent="0.35">
      <c r="A187" t="s">
        <v>190</v>
      </c>
      <c r="B187" t="s">
        <v>6</v>
      </c>
      <c r="C187">
        <v>367</v>
      </c>
      <c r="E187">
        <f t="shared" si="69"/>
        <v>51630.703009618243</v>
      </c>
      <c r="F187" s="8">
        <f t="shared" si="90"/>
        <v>206.52281203847298</v>
      </c>
      <c r="G187" s="9">
        <f t="shared" si="64"/>
        <v>52.043748633695188</v>
      </c>
      <c r="H187">
        <f t="shared" si="65"/>
        <v>51682.746758251938</v>
      </c>
      <c r="K187" t="s">
        <v>12</v>
      </c>
      <c r="L187">
        <v>368</v>
      </c>
      <c r="N187" s="6">
        <f t="shared" si="91"/>
        <v>413.4619740660155</v>
      </c>
      <c r="O187" s="11">
        <f t="shared" si="66"/>
        <v>104.19241746463591</v>
      </c>
      <c r="P187">
        <f t="shared" si="67"/>
        <v>51786.939175716572</v>
      </c>
      <c r="R187">
        <f t="shared" si="68"/>
        <v>156.2361660983311</v>
      </c>
    </row>
    <row r="188" spans="1:18" x14ac:dyDescent="0.35">
      <c r="A188" t="s">
        <v>191</v>
      </c>
      <c r="B188" t="s">
        <v>6</v>
      </c>
      <c r="C188">
        <v>369</v>
      </c>
      <c r="E188">
        <f t="shared" si="69"/>
        <v>51786.939175716572</v>
      </c>
      <c r="F188" s="8">
        <f t="shared" si="90"/>
        <v>207.1477567028663</v>
      </c>
      <c r="G188" s="9">
        <f t="shared" si="64"/>
        <v>52.201234689122309</v>
      </c>
      <c r="H188">
        <f t="shared" si="65"/>
        <v>51839.140410405693</v>
      </c>
      <c r="K188" t="s">
        <v>12</v>
      </c>
      <c r="L188">
        <v>370</v>
      </c>
      <c r="N188" s="6">
        <f t="shared" si="91"/>
        <v>414.71312328324558</v>
      </c>
      <c r="O188" s="11">
        <f t="shared" si="66"/>
        <v>104.50770706737789</v>
      </c>
      <c r="P188">
        <f t="shared" si="67"/>
        <v>51943.648117473072</v>
      </c>
      <c r="R188">
        <f t="shared" si="68"/>
        <v>156.7089417565002</v>
      </c>
    </row>
    <row r="189" spans="1:18" s="6" customFormat="1" x14ac:dyDescent="0.35">
      <c r="A189" s="6" t="s">
        <v>192</v>
      </c>
      <c r="B189" s="6" t="s">
        <v>6</v>
      </c>
      <c r="C189" s="6">
        <v>371</v>
      </c>
      <c r="D189" s="7">
        <v>4.4999999999999797E-3</v>
      </c>
      <c r="E189" s="6">
        <f t="shared" si="69"/>
        <v>51943.648117473072</v>
      </c>
      <c r="F189" s="8">
        <f>E189*0.45%</f>
        <v>233.74641652862886</v>
      </c>
      <c r="G189" s="9">
        <f t="shared" si="64"/>
        <v>58.904096965214471</v>
      </c>
      <c r="H189" s="6">
        <f t="shared" si="65"/>
        <v>52002.552214438285</v>
      </c>
      <c r="K189" s="6" t="s">
        <v>12</v>
      </c>
      <c r="L189" s="6">
        <v>372</v>
      </c>
      <c r="M189" s="7">
        <v>8.4999999999999208E-3</v>
      </c>
      <c r="N189" s="6">
        <f>H189*0.85%</f>
        <v>442.02169382272547</v>
      </c>
      <c r="O189" s="11">
        <f t="shared" si="66"/>
        <v>111.38946684332682</v>
      </c>
      <c r="P189" s="6">
        <f t="shared" si="67"/>
        <v>52113.941681281613</v>
      </c>
      <c r="R189" s="6">
        <f t="shared" si="68"/>
        <v>170.29356380854128</v>
      </c>
    </row>
    <row r="190" spans="1:18" x14ac:dyDescent="0.35">
      <c r="A190" t="s">
        <v>193</v>
      </c>
      <c r="B190" t="s">
        <v>6</v>
      </c>
      <c r="C190">
        <v>373</v>
      </c>
      <c r="E190">
        <f t="shared" si="69"/>
        <v>52113.941681281613</v>
      </c>
      <c r="F190" s="8">
        <f t="shared" ref="F190:F193" si="92">E190*0.45%</f>
        <v>234.51273756576728</v>
      </c>
      <c r="G190" s="9">
        <f t="shared" si="64"/>
        <v>59.097209866573358</v>
      </c>
      <c r="H190">
        <f t="shared" si="65"/>
        <v>52173.038891148186</v>
      </c>
      <c r="K190" t="s">
        <v>12</v>
      </c>
      <c r="L190">
        <v>374</v>
      </c>
      <c r="N190" s="6">
        <f t="shared" ref="N190:N193" si="93">H190*0.85%</f>
        <v>443.47083057475959</v>
      </c>
      <c r="O190" s="11">
        <f t="shared" si="66"/>
        <v>111.75464930483942</v>
      </c>
      <c r="P190">
        <f t="shared" si="67"/>
        <v>52284.793540453029</v>
      </c>
      <c r="R190">
        <f t="shared" si="68"/>
        <v>170.85185917141277</v>
      </c>
    </row>
    <row r="191" spans="1:18" x14ac:dyDescent="0.35">
      <c r="A191" t="s">
        <v>194</v>
      </c>
      <c r="B191" t="s">
        <v>6</v>
      </c>
      <c r="C191">
        <v>375</v>
      </c>
      <c r="E191">
        <f t="shared" si="69"/>
        <v>52284.793540453029</v>
      </c>
      <c r="F191" s="8">
        <f t="shared" si="92"/>
        <v>235.28157093203865</v>
      </c>
      <c r="G191" s="9">
        <f t="shared" si="64"/>
        <v>59.290955874873738</v>
      </c>
      <c r="H191">
        <f t="shared" si="65"/>
        <v>52344.084496327901</v>
      </c>
      <c r="K191" t="s">
        <v>12</v>
      </c>
      <c r="L191">
        <v>376</v>
      </c>
      <c r="N191" s="6">
        <f t="shared" si="93"/>
        <v>444.92471821878718</v>
      </c>
      <c r="O191" s="11">
        <f t="shared" si="66"/>
        <v>112.12102899113437</v>
      </c>
      <c r="P191">
        <f t="shared" si="67"/>
        <v>52456.205525319034</v>
      </c>
      <c r="R191">
        <f t="shared" si="68"/>
        <v>171.41198486600811</v>
      </c>
    </row>
    <row r="192" spans="1:18" x14ac:dyDescent="0.35">
      <c r="A192" t="s">
        <v>195</v>
      </c>
      <c r="B192" t="s">
        <v>6</v>
      </c>
      <c r="C192">
        <v>377</v>
      </c>
      <c r="E192">
        <f t="shared" si="69"/>
        <v>52456.205525319034</v>
      </c>
      <c r="F192" s="8">
        <f t="shared" si="92"/>
        <v>236.05292486393569</v>
      </c>
      <c r="G192" s="9">
        <f t="shared" si="64"/>
        <v>59.485337065711796</v>
      </c>
      <c r="H192">
        <f t="shared" si="65"/>
        <v>52515.690862384748</v>
      </c>
      <c r="K192" t="s">
        <v>12</v>
      </c>
      <c r="L192">
        <v>378</v>
      </c>
      <c r="N192" s="6">
        <f t="shared" si="93"/>
        <v>446.38337233027039</v>
      </c>
      <c r="O192" s="11">
        <f t="shared" si="66"/>
        <v>112.48860982722815</v>
      </c>
      <c r="P192">
        <f t="shared" si="67"/>
        <v>52628.179472211974</v>
      </c>
      <c r="R192">
        <f t="shared" si="68"/>
        <v>171.97394689293995</v>
      </c>
    </row>
    <row r="193" spans="1:18" x14ac:dyDescent="0.35">
      <c r="A193" t="s">
        <v>196</v>
      </c>
      <c r="B193" t="s">
        <v>6</v>
      </c>
      <c r="C193">
        <v>379</v>
      </c>
      <c r="E193">
        <f t="shared" si="69"/>
        <v>52628.179472211974</v>
      </c>
      <c r="F193" s="8">
        <f t="shared" si="92"/>
        <v>236.82680762495391</v>
      </c>
      <c r="G193" s="9">
        <f t="shared" si="64"/>
        <v>59.680355521488387</v>
      </c>
      <c r="H193">
        <f t="shared" si="65"/>
        <v>52687.85982773346</v>
      </c>
      <c r="K193" t="s">
        <v>12</v>
      </c>
      <c r="L193">
        <v>380</v>
      </c>
      <c r="M193" s="15"/>
      <c r="N193" s="6">
        <f t="shared" si="93"/>
        <v>447.84680853573445</v>
      </c>
      <c r="O193" s="11">
        <f t="shared" si="66"/>
        <v>112.85739575100509</v>
      </c>
      <c r="P193">
        <f t="shared" si="67"/>
        <v>52800.717223484462</v>
      </c>
      <c r="R193">
        <f t="shared" si="68"/>
        <v>172.53775127249347</v>
      </c>
    </row>
    <row r="194" spans="1:18" s="6" customFormat="1" x14ac:dyDescent="0.35">
      <c r="A194" s="6" t="s">
        <v>197</v>
      </c>
      <c r="B194" s="6" t="s">
        <v>6</v>
      </c>
      <c r="C194" s="6">
        <v>381</v>
      </c>
      <c r="D194" s="7">
        <v>4.9999999999999697E-3</v>
      </c>
      <c r="E194" s="6">
        <f t="shared" si="69"/>
        <v>52800.717223484462</v>
      </c>
      <c r="F194" s="8">
        <f>E194*0.5%</f>
        <v>264.00358611742229</v>
      </c>
      <c r="G194" s="9">
        <f t="shared" si="64"/>
        <v>66.528903701590423</v>
      </c>
      <c r="H194" s="6">
        <f t="shared" si="65"/>
        <v>52867.246127186052</v>
      </c>
      <c r="K194" s="6" t="s">
        <v>12</v>
      </c>
      <c r="L194" s="6">
        <v>382</v>
      </c>
      <c r="M194" s="7">
        <v>8.9999999999999108E-3</v>
      </c>
      <c r="N194" s="6">
        <f>H194*0.9%</f>
        <v>475.80521514467455</v>
      </c>
      <c r="O194" s="11">
        <f t="shared" si="66"/>
        <v>119.90291421645799</v>
      </c>
      <c r="P194" s="6">
        <f t="shared" si="67"/>
        <v>52987.14904140251</v>
      </c>
      <c r="R194" s="6">
        <f t="shared" si="68"/>
        <v>186.43181791804841</v>
      </c>
    </row>
    <row r="195" spans="1:18" x14ac:dyDescent="0.35">
      <c r="A195" t="s">
        <v>198</v>
      </c>
      <c r="B195" t="s">
        <v>6</v>
      </c>
      <c r="C195">
        <v>383</v>
      </c>
      <c r="E195">
        <f t="shared" si="69"/>
        <v>52987.14904140251</v>
      </c>
      <c r="F195" s="8">
        <f t="shared" ref="F195:F198" si="94">E195*0.5%</f>
        <v>264.93574520701253</v>
      </c>
      <c r="G195" s="9">
        <f t="shared" si="64"/>
        <v>66.763807792167157</v>
      </c>
      <c r="H195">
        <f t="shared" si="65"/>
        <v>53053.912849194676</v>
      </c>
      <c r="K195" t="s">
        <v>12</v>
      </c>
      <c r="L195">
        <v>384</v>
      </c>
      <c r="N195" s="6">
        <f t="shared" ref="N195:N198" si="95">H195*0.9%</f>
        <v>477.48521564275217</v>
      </c>
      <c r="O195" s="11">
        <f t="shared" si="66"/>
        <v>120.32627434197354</v>
      </c>
      <c r="P195">
        <f t="shared" si="67"/>
        <v>53174.239123536652</v>
      </c>
      <c r="R195">
        <f t="shared" si="68"/>
        <v>187.09008213414069</v>
      </c>
    </row>
    <row r="196" spans="1:18" x14ac:dyDescent="0.35">
      <c r="A196" t="s">
        <v>199</v>
      </c>
      <c r="B196" t="s">
        <v>6</v>
      </c>
      <c r="C196">
        <v>385</v>
      </c>
      <c r="E196">
        <f t="shared" si="69"/>
        <v>53174.239123536652</v>
      </c>
      <c r="F196" s="8">
        <f t="shared" si="94"/>
        <v>265.87119561768327</v>
      </c>
      <c r="G196" s="9">
        <f t="shared" si="64"/>
        <v>66.999541295656186</v>
      </c>
      <c r="H196">
        <f t="shared" si="65"/>
        <v>53241.238664832308</v>
      </c>
      <c r="K196" t="s">
        <v>12</v>
      </c>
      <c r="L196">
        <v>386</v>
      </c>
      <c r="N196" s="6">
        <f t="shared" si="95"/>
        <v>479.17114798349081</v>
      </c>
      <c r="O196" s="11">
        <f t="shared" si="66"/>
        <v>120.75112929183969</v>
      </c>
      <c r="P196">
        <f t="shared" si="67"/>
        <v>53361.989794124151</v>
      </c>
      <c r="R196">
        <f t="shared" si="68"/>
        <v>187.75067058749588</v>
      </c>
    </row>
    <row r="197" spans="1:18" x14ac:dyDescent="0.35">
      <c r="A197" t="s">
        <v>200</v>
      </c>
      <c r="B197" t="s">
        <v>6</v>
      </c>
      <c r="C197">
        <v>387</v>
      </c>
      <c r="E197">
        <f t="shared" si="69"/>
        <v>53361.989794124151</v>
      </c>
      <c r="F197" s="8">
        <f t="shared" si="94"/>
        <v>266.80994897062078</v>
      </c>
      <c r="G197" s="9">
        <f t="shared" ref="G197:G260" si="96">F197*25.2%</f>
        <v>67.236107140596431</v>
      </c>
      <c r="H197">
        <f t="shared" ref="H197:H260" si="97">G197+E197</f>
        <v>53429.225901264748</v>
      </c>
      <c r="K197" t="s">
        <v>12</v>
      </c>
      <c r="L197">
        <v>388</v>
      </c>
      <c r="N197" s="6">
        <f t="shared" si="95"/>
        <v>480.86303311138278</v>
      </c>
      <c r="O197" s="11">
        <f t="shared" ref="O197:O260" si="98">N197*25.2%</f>
        <v>121.17748434406846</v>
      </c>
      <c r="P197">
        <f t="shared" ref="P197:P260" si="99">O197+H197</f>
        <v>53550.403385608814</v>
      </c>
      <c r="R197">
        <f t="shared" ref="R197:R260" si="100">O197+G197</f>
        <v>188.41359148466489</v>
      </c>
    </row>
    <row r="198" spans="1:18" x14ac:dyDescent="0.35">
      <c r="A198" t="s">
        <v>201</v>
      </c>
      <c r="B198" t="s">
        <v>6</v>
      </c>
      <c r="C198">
        <v>389</v>
      </c>
      <c r="D198" s="15"/>
      <c r="E198">
        <f t="shared" ref="E198:E261" si="101">P197</f>
        <v>53550.403385608814</v>
      </c>
      <c r="F198" s="8">
        <f t="shared" si="94"/>
        <v>267.7520169280441</v>
      </c>
      <c r="G198" s="9">
        <f t="shared" si="96"/>
        <v>67.47350826586711</v>
      </c>
      <c r="H198">
        <f t="shared" si="97"/>
        <v>53617.87689387468</v>
      </c>
      <c r="K198" t="s">
        <v>12</v>
      </c>
      <c r="L198">
        <v>390</v>
      </c>
      <c r="N198" s="6">
        <f t="shared" si="95"/>
        <v>482.56089204487216</v>
      </c>
      <c r="O198" s="11">
        <f t="shared" si="98"/>
        <v>121.60534479530779</v>
      </c>
      <c r="P198">
        <f t="shared" si="99"/>
        <v>53739.482238669989</v>
      </c>
      <c r="R198">
        <f t="shared" si="100"/>
        <v>189.0788530611749</v>
      </c>
    </row>
    <row r="199" spans="1:18" s="6" customFormat="1" x14ac:dyDescent="0.35">
      <c r="A199" s="6" t="s">
        <v>202</v>
      </c>
      <c r="B199" s="6" t="s">
        <v>6</v>
      </c>
      <c r="C199" s="6">
        <v>391</v>
      </c>
      <c r="D199" s="7">
        <v>5.4999999999999598E-3</v>
      </c>
      <c r="E199" s="6">
        <f t="shared" si="101"/>
        <v>53739.482238669989</v>
      </c>
      <c r="F199" s="8">
        <f>E199*0.55%</f>
        <v>295.56715231268498</v>
      </c>
      <c r="G199" s="9">
        <f t="shared" si="96"/>
        <v>74.482922382796616</v>
      </c>
      <c r="H199" s="6">
        <f t="shared" si="97"/>
        <v>53813.965161052787</v>
      </c>
      <c r="K199" s="6" t="s">
        <v>12</v>
      </c>
      <c r="L199" s="6">
        <v>392</v>
      </c>
      <c r="M199" s="7">
        <v>8.0000000000000002E-3</v>
      </c>
      <c r="N199" s="6">
        <f t="shared" ref="N199:N203" si="102">H199*0.8%</f>
        <v>430.51172128842228</v>
      </c>
      <c r="O199" s="11">
        <f t="shared" si="98"/>
        <v>108.48895376468242</v>
      </c>
      <c r="P199" s="6">
        <f t="shared" si="99"/>
        <v>53922.454114817469</v>
      </c>
      <c r="R199" s="6">
        <f t="shared" si="100"/>
        <v>182.97187614747904</v>
      </c>
    </row>
    <row r="200" spans="1:18" x14ac:dyDescent="0.35">
      <c r="A200" t="s">
        <v>203</v>
      </c>
      <c r="B200" t="s">
        <v>6</v>
      </c>
      <c r="C200">
        <v>393</v>
      </c>
      <c r="E200">
        <f t="shared" si="101"/>
        <v>53922.454114817469</v>
      </c>
      <c r="F200" s="8">
        <f t="shared" ref="F200:F203" si="103">E200*0.55%</f>
        <v>296.57349763149608</v>
      </c>
      <c r="G200" s="9">
        <f t="shared" si="96"/>
        <v>74.736521403137019</v>
      </c>
      <c r="H200">
        <f t="shared" si="97"/>
        <v>53997.190636220606</v>
      </c>
      <c r="K200" t="s">
        <v>12</v>
      </c>
      <c r="L200">
        <v>394</v>
      </c>
      <c r="N200" s="6">
        <f t="shared" si="102"/>
        <v>431.97752508976487</v>
      </c>
      <c r="O200" s="11">
        <f t="shared" si="98"/>
        <v>108.85833632262074</v>
      </c>
      <c r="P200">
        <f t="shared" si="99"/>
        <v>54106.048972543227</v>
      </c>
      <c r="R200">
        <f t="shared" si="100"/>
        <v>183.59485772575778</v>
      </c>
    </row>
    <row r="201" spans="1:18" x14ac:dyDescent="0.35">
      <c r="A201" t="s">
        <v>204</v>
      </c>
      <c r="B201" t="s">
        <v>6</v>
      </c>
      <c r="C201">
        <v>395</v>
      </c>
      <c r="E201">
        <f t="shared" si="101"/>
        <v>54106.048972543227</v>
      </c>
      <c r="F201" s="8">
        <f t="shared" si="103"/>
        <v>297.58326934898776</v>
      </c>
      <c r="G201" s="9">
        <f t="shared" si="96"/>
        <v>74.99098387594492</v>
      </c>
      <c r="H201">
        <f t="shared" si="97"/>
        <v>54181.039956419168</v>
      </c>
      <c r="K201" t="s">
        <v>12</v>
      </c>
      <c r="L201">
        <v>396</v>
      </c>
      <c r="N201" s="6">
        <f t="shared" si="102"/>
        <v>433.44831965135336</v>
      </c>
      <c r="O201" s="11">
        <f t="shared" si="98"/>
        <v>109.22897655214105</v>
      </c>
      <c r="P201">
        <f t="shared" si="99"/>
        <v>54290.26893297131</v>
      </c>
      <c r="R201">
        <f t="shared" si="100"/>
        <v>184.21996042808598</v>
      </c>
    </row>
    <row r="202" spans="1:18" x14ac:dyDescent="0.35">
      <c r="A202" t="s">
        <v>205</v>
      </c>
      <c r="B202" t="s">
        <v>6</v>
      </c>
      <c r="C202">
        <v>397</v>
      </c>
      <c r="E202">
        <f t="shared" si="101"/>
        <v>54290.26893297131</v>
      </c>
      <c r="F202" s="8">
        <f t="shared" si="103"/>
        <v>298.59647913134222</v>
      </c>
      <c r="G202" s="9">
        <f t="shared" si="96"/>
        <v>75.246312741098237</v>
      </c>
      <c r="H202">
        <f t="shared" si="97"/>
        <v>54365.515245712406</v>
      </c>
      <c r="K202" t="s">
        <v>12</v>
      </c>
      <c r="L202">
        <v>398</v>
      </c>
      <c r="N202" s="6">
        <f t="shared" si="102"/>
        <v>434.92412196569927</v>
      </c>
      <c r="O202" s="11">
        <f t="shared" si="98"/>
        <v>109.60087873535622</v>
      </c>
      <c r="P202">
        <f t="shared" si="99"/>
        <v>54475.116124447763</v>
      </c>
      <c r="R202">
        <f t="shared" si="100"/>
        <v>184.84719147645444</v>
      </c>
    </row>
    <row r="203" spans="1:18" x14ac:dyDescent="0.35">
      <c r="A203" t="s">
        <v>206</v>
      </c>
      <c r="B203" t="s">
        <v>6</v>
      </c>
      <c r="C203">
        <v>399</v>
      </c>
      <c r="E203">
        <f t="shared" si="101"/>
        <v>54475.116124447763</v>
      </c>
      <c r="F203" s="8">
        <f t="shared" si="103"/>
        <v>299.61313868446274</v>
      </c>
      <c r="G203" s="9">
        <f t="shared" si="96"/>
        <v>75.502510948484613</v>
      </c>
      <c r="H203">
        <f t="shared" si="97"/>
        <v>54550.618635396248</v>
      </c>
      <c r="K203" t="s">
        <v>12</v>
      </c>
      <c r="L203">
        <v>400</v>
      </c>
      <c r="N203" s="6">
        <f t="shared" si="102"/>
        <v>436.40494908316998</v>
      </c>
      <c r="O203" s="11">
        <f t="shared" si="98"/>
        <v>109.97404716895883</v>
      </c>
      <c r="P203">
        <f t="shared" si="99"/>
        <v>54660.592682565206</v>
      </c>
      <c r="R203">
        <f t="shared" si="100"/>
        <v>185.47655811744346</v>
      </c>
    </row>
    <row r="204" spans="1:18" s="6" customFormat="1" x14ac:dyDescent="0.35">
      <c r="A204" s="6" t="s">
        <v>207</v>
      </c>
      <c r="B204" s="6" t="s">
        <v>6</v>
      </c>
      <c r="C204" s="6">
        <v>401</v>
      </c>
      <c r="D204" s="7">
        <v>5.9999999999999498E-3</v>
      </c>
      <c r="E204" s="6">
        <f t="shared" si="101"/>
        <v>54660.592682565206</v>
      </c>
      <c r="F204" s="8">
        <f>E204*0.6%</f>
        <v>327.96355609539125</v>
      </c>
      <c r="G204" s="9">
        <f t="shared" si="96"/>
        <v>82.646816136038595</v>
      </c>
      <c r="H204" s="6">
        <f t="shared" si="97"/>
        <v>54743.239498701245</v>
      </c>
      <c r="K204" s="6" t="s">
        <v>12</v>
      </c>
      <c r="L204" s="6">
        <v>402</v>
      </c>
      <c r="M204" s="7">
        <v>7.0000000000000001E-3</v>
      </c>
      <c r="N204" s="6">
        <f>H204*0.7%</f>
        <v>383.20267649090869</v>
      </c>
      <c r="O204" s="11">
        <f t="shared" si="98"/>
        <v>96.567074475708992</v>
      </c>
      <c r="P204" s="6">
        <f t="shared" si="99"/>
        <v>54839.806573176953</v>
      </c>
      <c r="R204" s="6">
        <f t="shared" si="100"/>
        <v>179.21389061174759</v>
      </c>
    </row>
    <row r="205" spans="1:18" x14ac:dyDescent="0.35">
      <c r="A205" t="s">
        <v>208</v>
      </c>
      <c r="B205" t="s">
        <v>6</v>
      </c>
      <c r="C205">
        <v>403</v>
      </c>
      <c r="E205">
        <f t="shared" si="101"/>
        <v>54839.806573176953</v>
      </c>
      <c r="F205" s="8">
        <f t="shared" ref="F205:F208" si="104">E205*0.6%</f>
        <v>329.03883943906175</v>
      </c>
      <c r="G205" s="9">
        <f t="shared" si="96"/>
        <v>82.917787538643566</v>
      </c>
      <c r="H205">
        <f t="shared" si="97"/>
        <v>54922.724360715598</v>
      </c>
      <c r="K205" t="s">
        <v>12</v>
      </c>
      <c r="L205">
        <v>404</v>
      </c>
      <c r="N205" s="6">
        <f t="shared" ref="N205:N208" si="105">H205*0.7%</f>
        <v>384.45907052500917</v>
      </c>
      <c r="O205" s="11">
        <f t="shared" si="98"/>
        <v>96.883685772302314</v>
      </c>
      <c r="P205">
        <f t="shared" si="99"/>
        <v>55019.608046487898</v>
      </c>
      <c r="R205">
        <f t="shared" si="100"/>
        <v>179.80147331094588</v>
      </c>
    </row>
    <row r="206" spans="1:18" x14ac:dyDescent="0.35">
      <c r="A206" t="s">
        <v>209</v>
      </c>
      <c r="B206" t="s">
        <v>6</v>
      </c>
      <c r="C206">
        <v>405</v>
      </c>
      <c r="E206">
        <f t="shared" si="101"/>
        <v>55019.608046487898</v>
      </c>
      <c r="F206" s="8">
        <f t="shared" si="104"/>
        <v>330.11764827892739</v>
      </c>
      <c r="G206" s="9">
        <f t="shared" si="96"/>
        <v>83.189647366289705</v>
      </c>
      <c r="H206">
        <f t="shared" si="97"/>
        <v>55102.797693854191</v>
      </c>
      <c r="K206" t="s">
        <v>12</v>
      </c>
      <c r="L206">
        <v>406</v>
      </c>
      <c r="N206" s="6">
        <f t="shared" si="105"/>
        <v>385.71958385697928</v>
      </c>
      <c r="O206" s="11">
        <f t="shared" si="98"/>
        <v>97.201335131958785</v>
      </c>
      <c r="P206">
        <f t="shared" si="99"/>
        <v>55199.999028986153</v>
      </c>
      <c r="R206">
        <f t="shared" si="100"/>
        <v>180.39098249824849</v>
      </c>
    </row>
    <row r="207" spans="1:18" x14ac:dyDescent="0.35">
      <c r="A207" t="s">
        <v>210</v>
      </c>
      <c r="B207" t="s">
        <v>6</v>
      </c>
      <c r="C207">
        <v>407</v>
      </c>
      <c r="E207">
        <f t="shared" si="101"/>
        <v>55199.999028986153</v>
      </c>
      <c r="F207" s="8">
        <f t="shared" si="104"/>
        <v>331.19999417391693</v>
      </c>
      <c r="G207" s="9">
        <f t="shared" si="96"/>
        <v>83.462398531827063</v>
      </c>
      <c r="H207">
        <f t="shared" si="97"/>
        <v>55283.461427517977</v>
      </c>
      <c r="K207" t="s">
        <v>12</v>
      </c>
      <c r="L207">
        <v>408</v>
      </c>
      <c r="N207" s="6">
        <f t="shared" si="105"/>
        <v>386.98422999262579</v>
      </c>
      <c r="O207" s="11">
        <f t="shared" si="98"/>
        <v>97.520025958141701</v>
      </c>
      <c r="P207">
        <f t="shared" si="99"/>
        <v>55380.981453476117</v>
      </c>
      <c r="R207">
        <f t="shared" si="100"/>
        <v>180.98242448996876</v>
      </c>
    </row>
    <row r="208" spans="1:18" x14ac:dyDescent="0.35">
      <c r="A208" t="s">
        <v>211</v>
      </c>
      <c r="B208" t="s">
        <v>6</v>
      </c>
      <c r="C208">
        <v>409</v>
      </c>
      <c r="E208">
        <f t="shared" si="101"/>
        <v>55380.981453476117</v>
      </c>
      <c r="F208" s="8">
        <f t="shared" si="104"/>
        <v>332.28588872085669</v>
      </c>
      <c r="G208" s="9">
        <f t="shared" si="96"/>
        <v>83.73604395765588</v>
      </c>
      <c r="H208">
        <f t="shared" si="97"/>
        <v>55464.717497433776</v>
      </c>
      <c r="K208" t="s">
        <v>12</v>
      </c>
      <c r="L208">
        <v>410</v>
      </c>
      <c r="N208" s="6">
        <f t="shared" si="105"/>
        <v>388.25302248203639</v>
      </c>
      <c r="O208" s="11">
        <f t="shared" si="98"/>
        <v>97.839761665473176</v>
      </c>
      <c r="P208">
        <f t="shared" si="99"/>
        <v>55562.557259099252</v>
      </c>
      <c r="R208">
        <f t="shared" si="100"/>
        <v>181.57580562312904</v>
      </c>
    </row>
    <row r="209" spans="1:18" s="6" customFormat="1" x14ac:dyDescent="0.35">
      <c r="A209" s="6" t="s">
        <v>212</v>
      </c>
      <c r="B209" s="6" t="s">
        <v>6</v>
      </c>
      <c r="C209" s="6">
        <v>411</v>
      </c>
      <c r="D209" s="7">
        <v>6.4999999999999399E-3</v>
      </c>
      <c r="E209" s="6">
        <f t="shared" si="101"/>
        <v>55562.557259099252</v>
      </c>
      <c r="F209" s="8">
        <f>E209*0.65%</f>
        <v>361.15662218414519</v>
      </c>
      <c r="G209" s="9">
        <f t="shared" si="96"/>
        <v>91.011468790404592</v>
      </c>
      <c r="H209" s="6">
        <f t="shared" si="97"/>
        <v>55653.568727889658</v>
      </c>
      <c r="K209" s="6" t="s">
        <v>6</v>
      </c>
      <c r="L209" s="6">
        <v>412</v>
      </c>
      <c r="M209" s="7">
        <v>6.0000000000001797E-3</v>
      </c>
      <c r="N209" s="6">
        <f>H209*0.6%</f>
        <v>333.92141236733795</v>
      </c>
      <c r="O209" s="11">
        <f t="shared" si="98"/>
        <v>84.148195916569165</v>
      </c>
      <c r="P209" s="6">
        <f t="shared" si="99"/>
        <v>55737.716923806227</v>
      </c>
      <c r="R209" s="6">
        <f t="shared" si="100"/>
        <v>175.15966470697376</v>
      </c>
    </row>
    <row r="210" spans="1:18" x14ac:dyDescent="0.35">
      <c r="A210" t="s">
        <v>213</v>
      </c>
      <c r="B210" t="s">
        <v>6</v>
      </c>
      <c r="C210">
        <v>413</v>
      </c>
      <c r="E210">
        <f t="shared" si="101"/>
        <v>55737.716923806227</v>
      </c>
      <c r="F210" s="8">
        <f t="shared" ref="F210:F213" si="106">E210*0.65%</f>
        <v>362.29516000474052</v>
      </c>
      <c r="G210" s="9">
        <f t="shared" si="96"/>
        <v>91.298380321194614</v>
      </c>
      <c r="H210">
        <f t="shared" si="97"/>
        <v>55829.015304127424</v>
      </c>
      <c r="K210" t="s">
        <v>6</v>
      </c>
      <c r="L210">
        <v>414</v>
      </c>
      <c r="N210" s="6">
        <f t="shared" ref="N210:N213" si="107">H210*0.6%</f>
        <v>334.97409182476457</v>
      </c>
      <c r="O210" s="11">
        <f t="shared" si="98"/>
        <v>84.413471139840667</v>
      </c>
      <c r="P210">
        <f t="shared" si="99"/>
        <v>55913.428775267268</v>
      </c>
      <c r="R210">
        <f t="shared" si="100"/>
        <v>175.71185146103528</v>
      </c>
    </row>
    <row r="211" spans="1:18" x14ac:dyDescent="0.35">
      <c r="A211" t="s">
        <v>214</v>
      </c>
      <c r="B211" t="s">
        <v>6</v>
      </c>
      <c r="C211">
        <v>415</v>
      </c>
      <c r="E211">
        <f t="shared" si="101"/>
        <v>55913.428775267268</v>
      </c>
      <c r="F211" s="8">
        <f t="shared" si="106"/>
        <v>363.43728703923728</v>
      </c>
      <c r="G211" s="9">
        <f t="shared" si="96"/>
        <v>91.586196333887798</v>
      </c>
      <c r="H211">
        <f t="shared" si="97"/>
        <v>56005.014971601158</v>
      </c>
      <c r="K211" t="s">
        <v>6</v>
      </c>
      <c r="L211">
        <v>416</v>
      </c>
      <c r="N211" s="6">
        <f t="shared" si="107"/>
        <v>336.03008982960694</v>
      </c>
      <c r="O211" s="11">
        <f t="shared" si="98"/>
        <v>84.679582637060946</v>
      </c>
      <c r="P211">
        <f t="shared" si="99"/>
        <v>56089.694554238216</v>
      </c>
      <c r="R211">
        <f t="shared" si="100"/>
        <v>176.26577897094876</v>
      </c>
    </row>
    <row r="212" spans="1:18" x14ac:dyDescent="0.35">
      <c r="A212" t="s">
        <v>215</v>
      </c>
      <c r="B212" t="s">
        <v>6</v>
      </c>
      <c r="C212">
        <v>417</v>
      </c>
      <c r="E212">
        <f t="shared" si="101"/>
        <v>56089.694554238216</v>
      </c>
      <c r="F212" s="8">
        <f t="shared" si="106"/>
        <v>364.58301460254842</v>
      </c>
      <c r="G212" s="9">
        <f t="shared" si="96"/>
        <v>91.874919679842208</v>
      </c>
      <c r="H212">
        <f t="shared" si="97"/>
        <v>56181.569473918062</v>
      </c>
      <c r="K212" t="s">
        <v>6</v>
      </c>
      <c r="L212">
        <v>418</v>
      </c>
      <c r="N212" s="6">
        <f t="shared" si="107"/>
        <v>337.08941684350839</v>
      </c>
      <c r="O212" s="11">
        <f t="shared" si="98"/>
        <v>84.94653304456412</v>
      </c>
      <c r="P212">
        <f t="shared" si="99"/>
        <v>56266.516006962629</v>
      </c>
      <c r="R212">
        <f t="shared" si="100"/>
        <v>176.82145272440633</v>
      </c>
    </row>
    <row r="213" spans="1:18" s="13" customFormat="1" x14ac:dyDescent="0.35">
      <c r="A213" s="13" t="s">
        <v>216</v>
      </c>
      <c r="B213" s="13" t="s">
        <v>6</v>
      </c>
      <c r="C213" s="13">
        <v>419</v>
      </c>
      <c r="E213" s="13">
        <f t="shared" si="101"/>
        <v>56266.516006962629</v>
      </c>
      <c r="F213" s="14">
        <f t="shared" si="106"/>
        <v>365.73235404525713</v>
      </c>
      <c r="G213" s="9">
        <f t="shared" si="96"/>
        <v>92.164553219404795</v>
      </c>
      <c r="H213" s="13">
        <f t="shared" si="97"/>
        <v>56358.680560182031</v>
      </c>
      <c r="K213" s="13" t="s">
        <v>6</v>
      </c>
      <c r="L213" s="13">
        <v>420</v>
      </c>
      <c r="N213" s="13">
        <f t="shared" si="107"/>
        <v>338.1520833610922</v>
      </c>
      <c r="O213" s="11">
        <f t="shared" si="98"/>
        <v>85.214325006995239</v>
      </c>
      <c r="P213" s="13">
        <f t="shared" si="99"/>
        <v>56443.894885189024</v>
      </c>
      <c r="R213" s="13">
        <f t="shared" si="100"/>
        <v>177.37887822640005</v>
      </c>
    </row>
    <row r="214" spans="1:18" s="6" customFormat="1" x14ac:dyDescent="0.35">
      <c r="A214" s="6" t="s">
        <v>217</v>
      </c>
      <c r="B214" s="6" t="s">
        <v>5</v>
      </c>
      <c r="C214" s="6">
        <v>421</v>
      </c>
      <c r="D214" s="7">
        <v>6.9999999999999299E-3</v>
      </c>
      <c r="E214" s="6">
        <f t="shared" si="101"/>
        <v>56443.894885189024</v>
      </c>
      <c r="F214" s="8">
        <f>E214*0.7%</f>
        <v>395.10726419632311</v>
      </c>
      <c r="G214" s="9">
        <f t="shared" si="96"/>
        <v>99.567030577473432</v>
      </c>
      <c r="H214" s="6">
        <f t="shared" si="97"/>
        <v>56543.4619157665</v>
      </c>
      <c r="K214" s="6" t="s">
        <v>6</v>
      </c>
      <c r="L214" s="6">
        <v>422</v>
      </c>
      <c r="M214" s="7">
        <v>5.0000000000002699E-3</v>
      </c>
      <c r="N214" s="6">
        <f>H214*0.5%</f>
        <v>282.7173095788325</v>
      </c>
      <c r="O214" s="11">
        <f t="shared" si="98"/>
        <v>71.244762013865795</v>
      </c>
      <c r="P214" s="6">
        <f t="shared" si="99"/>
        <v>56614.706677780363</v>
      </c>
      <c r="R214" s="6">
        <f t="shared" si="100"/>
        <v>170.81179259133921</v>
      </c>
    </row>
    <row r="215" spans="1:18" x14ac:dyDescent="0.35">
      <c r="A215" t="s">
        <v>218</v>
      </c>
      <c r="B215" t="s">
        <v>5</v>
      </c>
      <c r="C215">
        <v>423</v>
      </c>
      <c r="E215">
        <f t="shared" si="101"/>
        <v>56614.706677780363</v>
      </c>
      <c r="F215" s="8">
        <f t="shared" ref="F215:F218" si="108">E215*0.7%</f>
        <v>396.30294674446247</v>
      </c>
      <c r="G215" s="9">
        <f t="shared" si="96"/>
        <v>99.868342579604544</v>
      </c>
      <c r="H215">
        <f t="shared" si="97"/>
        <v>56714.575020359967</v>
      </c>
      <c r="K215" t="s">
        <v>6</v>
      </c>
      <c r="L215">
        <v>424</v>
      </c>
      <c r="N215" s="6">
        <f t="shared" ref="N215:N218" si="109">H215*0.5%</f>
        <v>283.57287510179987</v>
      </c>
      <c r="O215" s="11">
        <f t="shared" si="98"/>
        <v>71.46036452565356</v>
      </c>
      <c r="P215">
        <f t="shared" si="99"/>
        <v>56786.035384885618</v>
      </c>
      <c r="R215">
        <f t="shared" si="100"/>
        <v>171.3287071052581</v>
      </c>
    </row>
    <row r="216" spans="1:18" x14ac:dyDescent="0.35">
      <c r="A216" t="s">
        <v>219</v>
      </c>
      <c r="B216" t="s">
        <v>5</v>
      </c>
      <c r="C216">
        <v>425</v>
      </c>
      <c r="E216">
        <f t="shared" si="101"/>
        <v>56786.035384885618</v>
      </c>
      <c r="F216" s="8">
        <f t="shared" si="108"/>
        <v>397.5022476941993</v>
      </c>
      <c r="G216" s="9">
        <f t="shared" si="96"/>
        <v>100.17056641893822</v>
      </c>
      <c r="H216">
        <f t="shared" si="97"/>
        <v>56886.205951304553</v>
      </c>
      <c r="K216" t="s">
        <v>6</v>
      </c>
      <c r="L216">
        <v>426</v>
      </c>
      <c r="N216" s="6">
        <f t="shared" si="109"/>
        <v>284.43102975652278</v>
      </c>
      <c r="O216" s="11">
        <f t="shared" si="98"/>
        <v>71.676619498643745</v>
      </c>
      <c r="P216">
        <f t="shared" si="99"/>
        <v>56957.882570803195</v>
      </c>
      <c r="R216">
        <f t="shared" si="100"/>
        <v>171.84718591758195</v>
      </c>
    </row>
    <row r="217" spans="1:18" x14ac:dyDescent="0.35">
      <c r="A217" t="s">
        <v>220</v>
      </c>
      <c r="B217" t="s">
        <v>5</v>
      </c>
      <c r="C217">
        <v>427</v>
      </c>
      <c r="E217">
        <f t="shared" si="101"/>
        <v>56957.882570803195</v>
      </c>
      <c r="F217" s="8">
        <f t="shared" si="108"/>
        <v>398.70517799562231</v>
      </c>
      <c r="G217" s="9">
        <f t="shared" si="96"/>
        <v>100.47370485489682</v>
      </c>
      <c r="H217">
        <f t="shared" si="97"/>
        <v>57058.356275658094</v>
      </c>
      <c r="K217" t="s">
        <v>6</v>
      </c>
      <c r="L217">
        <v>428</v>
      </c>
      <c r="N217" s="6">
        <f t="shared" si="109"/>
        <v>285.29178137829047</v>
      </c>
      <c r="O217" s="11">
        <f t="shared" si="98"/>
        <v>71.893528907329198</v>
      </c>
      <c r="P217">
        <f t="shared" si="99"/>
        <v>57130.249804565421</v>
      </c>
      <c r="R217">
        <f t="shared" si="100"/>
        <v>172.36723376222602</v>
      </c>
    </row>
    <row r="218" spans="1:18" x14ac:dyDescent="0.35">
      <c r="A218" t="s">
        <v>221</v>
      </c>
      <c r="B218" t="s">
        <v>5</v>
      </c>
      <c r="C218">
        <v>429</v>
      </c>
      <c r="E218">
        <f t="shared" si="101"/>
        <v>57130.249804565421</v>
      </c>
      <c r="F218" s="8">
        <f t="shared" si="108"/>
        <v>399.91174863195789</v>
      </c>
      <c r="G218" s="9">
        <f t="shared" si="96"/>
        <v>100.77776065525339</v>
      </c>
      <c r="H218">
        <f t="shared" si="97"/>
        <v>57231.027565220676</v>
      </c>
      <c r="K218" t="s">
        <v>6</v>
      </c>
      <c r="L218">
        <v>430</v>
      </c>
      <c r="N218" s="6">
        <f t="shared" si="109"/>
        <v>286.15513782610338</v>
      </c>
      <c r="O218" s="11">
        <f t="shared" si="98"/>
        <v>72.11109473217806</v>
      </c>
      <c r="P218">
        <f t="shared" si="99"/>
        <v>57303.138659952856</v>
      </c>
      <c r="R218">
        <f t="shared" si="100"/>
        <v>172.88885538743145</v>
      </c>
    </row>
    <row r="219" spans="1:18" s="6" customFormat="1" x14ac:dyDescent="0.35">
      <c r="A219" s="6" t="s">
        <v>222</v>
      </c>
      <c r="B219" s="6" t="s">
        <v>5</v>
      </c>
      <c r="C219" s="6">
        <v>431</v>
      </c>
      <c r="D219" s="7">
        <v>6.0000000000000001E-3</v>
      </c>
      <c r="E219" s="6">
        <f t="shared" si="101"/>
        <v>57303.138659952856</v>
      </c>
      <c r="F219" s="8">
        <f>E219*0.6%</f>
        <v>343.81883195971716</v>
      </c>
      <c r="G219" s="9">
        <f t="shared" si="96"/>
        <v>86.642345653848722</v>
      </c>
      <c r="H219" s="6">
        <f t="shared" si="97"/>
        <v>57389.781005606703</v>
      </c>
      <c r="K219" s="6" t="s">
        <v>6</v>
      </c>
      <c r="L219" s="6">
        <v>432</v>
      </c>
      <c r="M219" s="7">
        <v>4.00000000000036E-3</v>
      </c>
      <c r="N219" s="6">
        <f>H219*0.4%</f>
        <v>229.55912402242683</v>
      </c>
      <c r="O219" s="11">
        <f t="shared" si="98"/>
        <v>57.84889925365156</v>
      </c>
      <c r="P219" s="6">
        <f t="shared" si="99"/>
        <v>57447.629904860354</v>
      </c>
      <c r="R219" s="6">
        <f t="shared" si="100"/>
        <v>144.49124490750029</v>
      </c>
    </row>
    <row r="220" spans="1:18" x14ac:dyDescent="0.35">
      <c r="A220" t="s">
        <v>223</v>
      </c>
      <c r="B220" t="s">
        <v>5</v>
      </c>
      <c r="C220">
        <v>433</v>
      </c>
      <c r="E220">
        <f t="shared" si="101"/>
        <v>57447.629904860354</v>
      </c>
      <c r="F220" s="8">
        <f t="shared" ref="F220:F223" si="110">E220*0.6%</f>
        <v>344.68577942916215</v>
      </c>
      <c r="G220" s="9">
        <f t="shared" si="96"/>
        <v>86.860816416148865</v>
      </c>
      <c r="H220">
        <f t="shared" si="97"/>
        <v>57534.490721276503</v>
      </c>
      <c r="K220" t="s">
        <v>6</v>
      </c>
      <c r="L220">
        <v>434</v>
      </c>
      <c r="N220" s="6">
        <f t="shared" ref="N220:N223" si="111">H220*0.4%</f>
        <v>230.13796288510602</v>
      </c>
      <c r="O220" s="11">
        <f t="shared" si="98"/>
        <v>57.994766647046717</v>
      </c>
      <c r="P220">
        <f t="shared" si="99"/>
        <v>57592.48548792355</v>
      </c>
      <c r="R220">
        <f t="shared" si="100"/>
        <v>144.85558306319558</v>
      </c>
    </row>
    <row r="221" spans="1:18" x14ac:dyDescent="0.35">
      <c r="A221" t="s">
        <v>224</v>
      </c>
      <c r="B221" t="s">
        <v>5</v>
      </c>
      <c r="C221">
        <v>435</v>
      </c>
      <c r="E221">
        <f t="shared" si="101"/>
        <v>57592.48548792355</v>
      </c>
      <c r="F221" s="8">
        <f t="shared" si="110"/>
        <v>345.5549129275413</v>
      </c>
      <c r="G221" s="9">
        <f t="shared" si="96"/>
        <v>87.079838057740403</v>
      </c>
      <c r="H221">
        <f t="shared" si="97"/>
        <v>57679.56532598129</v>
      </c>
      <c r="K221" t="s">
        <v>6</v>
      </c>
      <c r="L221">
        <v>436</v>
      </c>
      <c r="N221" s="6">
        <f t="shared" si="111"/>
        <v>230.71826130392517</v>
      </c>
      <c r="O221" s="11">
        <f t="shared" si="98"/>
        <v>58.141001848589141</v>
      </c>
      <c r="P221">
        <f t="shared" si="99"/>
        <v>57737.706327829881</v>
      </c>
      <c r="R221">
        <f t="shared" si="100"/>
        <v>145.22083990632956</v>
      </c>
    </row>
    <row r="222" spans="1:18" x14ac:dyDescent="0.35">
      <c r="A222" t="s">
        <v>225</v>
      </c>
      <c r="B222" t="s">
        <v>5</v>
      </c>
      <c r="C222">
        <v>437</v>
      </c>
      <c r="E222">
        <f t="shared" si="101"/>
        <v>57737.706327829881</v>
      </c>
      <c r="F222" s="8">
        <f t="shared" si="110"/>
        <v>346.42623796697927</v>
      </c>
      <c r="G222" s="9">
        <f t="shared" si="96"/>
        <v>87.299411967678779</v>
      </c>
      <c r="H222">
        <f t="shared" si="97"/>
        <v>57825.005739797562</v>
      </c>
      <c r="K222" t="s">
        <v>6</v>
      </c>
      <c r="L222">
        <v>438</v>
      </c>
      <c r="N222" s="6">
        <f t="shared" si="111"/>
        <v>231.30002295919024</v>
      </c>
      <c r="O222" s="11">
        <f t="shared" si="98"/>
        <v>58.28760578571594</v>
      </c>
      <c r="P222">
        <f t="shared" si="99"/>
        <v>57883.293345583275</v>
      </c>
      <c r="R222">
        <f t="shared" si="100"/>
        <v>145.58701775339472</v>
      </c>
    </row>
    <row r="223" spans="1:18" x14ac:dyDescent="0.35">
      <c r="A223" t="s">
        <v>226</v>
      </c>
      <c r="B223" t="s">
        <v>5</v>
      </c>
      <c r="C223">
        <v>439</v>
      </c>
      <c r="E223">
        <f t="shared" si="101"/>
        <v>57883.293345583275</v>
      </c>
      <c r="F223" s="8">
        <f t="shared" si="110"/>
        <v>347.29976007349967</v>
      </c>
      <c r="G223" s="9">
        <f t="shared" si="96"/>
        <v>87.519539538521911</v>
      </c>
      <c r="H223">
        <f t="shared" si="97"/>
        <v>57970.812885121799</v>
      </c>
      <c r="K223" t="s">
        <v>6</v>
      </c>
      <c r="L223">
        <v>440</v>
      </c>
      <c r="N223" s="6">
        <f t="shared" si="111"/>
        <v>231.88325154048721</v>
      </c>
      <c r="O223" s="11">
        <f t="shared" si="98"/>
        <v>58.434579388202778</v>
      </c>
      <c r="P223">
        <f t="shared" si="99"/>
        <v>58029.247464510001</v>
      </c>
      <c r="R223">
        <f t="shared" si="100"/>
        <v>145.95411892672468</v>
      </c>
    </row>
    <row r="224" spans="1:18" s="6" customFormat="1" x14ac:dyDescent="0.35">
      <c r="A224" s="6" t="s">
        <v>227</v>
      </c>
      <c r="B224" s="6" t="s">
        <v>5</v>
      </c>
      <c r="C224" s="6">
        <v>441</v>
      </c>
      <c r="D224" s="7">
        <v>5.0000000000000704E-3</v>
      </c>
      <c r="E224" s="6">
        <f t="shared" si="101"/>
        <v>58029.247464510001</v>
      </c>
      <c r="F224" s="8">
        <f>E224*0.5%</f>
        <v>290.14623732255001</v>
      </c>
      <c r="G224" s="9">
        <f t="shared" si="96"/>
        <v>73.116851805282607</v>
      </c>
      <c r="H224" s="6">
        <f t="shared" si="97"/>
        <v>58102.364316315281</v>
      </c>
      <c r="K224" s="6" t="s">
        <v>6</v>
      </c>
      <c r="L224" s="6">
        <v>442</v>
      </c>
      <c r="M224" s="7">
        <v>3.0000000000004498E-3</v>
      </c>
      <c r="N224" s="6">
        <f>H224*0.3%</f>
        <v>174.30709294894584</v>
      </c>
      <c r="O224" s="11">
        <f t="shared" si="98"/>
        <v>43.925387423134353</v>
      </c>
      <c r="P224" s="6">
        <f t="shared" si="99"/>
        <v>58146.289703738417</v>
      </c>
      <c r="R224" s="6">
        <f t="shared" si="100"/>
        <v>117.04223922841696</v>
      </c>
    </row>
    <row r="225" spans="1:18" x14ac:dyDescent="0.35">
      <c r="A225" t="s">
        <v>228</v>
      </c>
      <c r="B225" t="s">
        <v>5</v>
      </c>
      <c r="C225">
        <v>443</v>
      </c>
      <c r="E225">
        <f t="shared" si="101"/>
        <v>58146.289703738417</v>
      </c>
      <c r="F225" s="8">
        <f t="shared" ref="F225:F228" si="112">E225*0.5%</f>
        <v>290.7314485186921</v>
      </c>
      <c r="G225" s="9">
        <f t="shared" si="96"/>
        <v>73.264325026710409</v>
      </c>
      <c r="H225">
        <f t="shared" si="97"/>
        <v>58219.554028765131</v>
      </c>
      <c r="K225" t="s">
        <v>6</v>
      </c>
      <c r="L225">
        <v>444</v>
      </c>
      <c r="N225" s="6">
        <f t="shared" ref="N225:N228" si="113">H225*0.3%</f>
        <v>174.65866208629541</v>
      </c>
      <c r="O225" s="11">
        <f t="shared" si="98"/>
        <v>44.01398284574644</v>
      </c>
      <c r="P225">
        <f t="shared" si="99"/>
        <v>58263.568011610878</v>
      </c>
      <c r="R225">
        <f t="shared" si="100"/>
        <v>117.27830787245685</v>
      </c>
    </row>
    <row r="226" spans="1:18" x14ac:dyDescent="0.35">
      <c r="A226" t="s">
        <v>229</v>
      </c>
      <c r="B226" t="s">
        <v>5</v>
      </c>
      <c r="C226">
        <v>445</v>
      </c>
      <c r="E226">
        <f t="shared" si="101"/>
        <v>58263.568011610878</v>
      </c>
      <c r="F226" s="8">
        <f t="shared" si="112"/>
        <v>291.3178400580544</v>
      </c>
      <c r="G226" s="9">
        <f t="shared" si="96"/>
        <v>73.412095694629713</v>
      </c>
      <c r="H226">
        <f t="shared" si="97"/>
        <v>58336.980107305506</v>
      </c>
      <c r="K226" t="s">
        <v>6</v>
      </c>
      <c r="L226">
        <v>446</v>
      </c>
      <c r="N226" s="6">
        <f t="shared" si="113"/>
        <v>175.01094032191651</v>
      </c>
      <c r="O226" s="11">
        <f t="shared" si="98"/>
        <v>44.102756961122957</v>
      </c>
      <c r="P226">
        <f t="shared" si="99"/>
        <v>58381.082864266631</v>
      </c>
      <c r="R226">
        <f t="shared" si="100"/>
        <v>117.51485265575266</v>
      </c>
    </row>
    <row r="227" spans="1:18" x14ac:dyDescent="0.35">
      <c r="A227" t="s">
        <v>230</v>
      </c>
      <c r="B227" t="s">
        <v>5</v>
      </c>
      <c r="C227">
        <v>447</v>
      </c>
      <c r="E227">
        <f t="shared" si="101"/>
        <v>58381.082864266631</v>
      </c>
      <c r="F227" s="8">
        <f t="shared" si="112"/>
        <v>291.90541432133318</v>
      </c>
      <c r="G227" s="9">
        <f t="shared" si="96"/>
        <v>73.560164408975965</v>
      </c>
      <c r="H227">
        <f t="shared" si="97"/>
        <v>58454.643028675608</v>
      </c>
      <c r="K227" t="s">
        <v>6</v>
      </c>
      <c r="L227">
        <v>448</v>
      </c>
      <c r="N227" s="6">
        <f t="shared" si="113"/>
        <v>175.36392908602681</v>
      </c>
      <c r="O227" s="11">
        <f t="shared" si="98"/>
        <v>44.191710129678761</v>
      </c>
      <c r="P227">
        <f t="shared" si="99"/>
        <v>58498.834738805286</v>
      </c>
      <c r="R227">
        <f t="shared" si="100"/>
        <v>117.75187453865473</v>
      </c>
    </row>
    <row r="228" spans="1:18" x14ac:dyDescent="0.35">
      <c r="A228" t="s">
        <v>231</v>
      </c>
      <c r="B228" t="s">
        <v>5</v>
      </c>
      <c r="C228">
        <v>449</v>
      </c>
      <c r="E228">
        <f t="shared" si="101"/>
        <v>58498.834738805286</v>
      </c>
      <c r="F228" s="8">
        <f t="shared" si="112"/>
        <v>292.49417369402641</v>
      </c>
      <c r="G228" s="9">
        <f t="shared" si="96"/>
        <v>73.708531770894652</v>
      </c>
      <c r="H228">
        <f t="shared" si="97"/>
        <v>58572.543270576178</v>
      </c>
      <c r="K228" t="s">
        <v>6</v>
      </c>
      <c r="L228">
        <v>450</v>
      </c>
      <c r="N228" s="6">
        <f t="shared" si="113"/>
        <v>175.71762981172853</v>
      </c>
      <c r="O228" s="11">
        <f t="shared" si="98"/>
        <v>44.280842712555589</v>
      </c>
      <c r="P228">
        <f t="shared" si="99"/>
        <v>58616.824113288734</v>
      </c>
      <c r="R228">
        <f t="shared" si="100"/>
        <v>117.98937448345023</v>
      </c>
    </row>
    <row r="229" spans="1:18" s="6" customFormat="1" x14ac:dyDescent="0.35">
      <c r="A229" s="6" t="s">
        <v>232</v>
      </c>
      <c r="B229" s="6" t="s">
        <v>5</v>
      </c>
      <c r="C229" s="6">
        <v>451</v>
      </c>
      <c r="D229" s="7">
        <v>4.0000000000001397E-3</v>
      </c>
      <c r="E229" s="6">
        <f t="shared" si="101"/>
        <v>58616.824113288734</v>
      </c>
      <c r="F229" s="8">
        <f>E229*0.4%</f>
        <v>234.46729645315494</v>
      </c>
      <c r="G229" s="9">
        <f t="shared" si="96"/>
        <v>59.085758706195044</v>
      </c>
      <c r="H229" s="6">
        <f t="shared" si="97"/>
        <v>58675.909871994932</v>
      </c>
      <c r="K229" s="6" t="s">
        <v>6</v>
      </c>
      <c r="L229" s="6">
        <v>452</v>
      </c>
      <c r="M229" s="7">
        <v>2.00000000000054E-3</v>
      </c>
      <c r="N229" s="6">
        <f>H229*0.2%</f>
        <v>117.35181974398986</v>
      </c>
      <c r="O229" s="11">
        <f t="shared" si="98"/>
        <v>29.572658575485445</v>
      </c>
      <c r="P229" s="6">
        <f t="shared" si="99"/>
        <v>58705.482530570414</v>
      </c>
      <c r="R229" s="6">
        <f t="shared" si="100"/>
        <v>88.658417281680485</v>
      </c>
    </row>
    <row r="230" spans="1:18" x14ac:dyDescent="0.35">
      <c r="A230" t="s">
        <v>233</v>
      </c>
      <c r="B230" t="s">
        <v>5</v>
      </c>
      <c r="C230">
        <v>453</v>
      </c>
      <c r="E230">
        <f t="shared" si="101"/>
        <v>58705.482530570414</v>
      </c>
      <c r="F230" s="8">
        <f t="shared" ref="F230:F233" si="114">E230*0.4%</f>
        <v>234.82193012228166</v>
      </c>
      <c r="G230" s="9">
        <f t="shared" si="96"/>
        <v>59.175126390814981</v>
      </c>
      <c r="H230">
        <f t="shared" si="97"/>
        <v>58764.65765696123</v>
      </c>
      <c r="K230" t="s">
        <v>6</v>
      </c>
      <c r="L230">
        <v>454</v>
      </c>
      <c r="N230" s="6">
        <f t="shared" ref="N230:N233" si="115">H230*0.2%</f>
        <v>117.52931531392247</v>
      </c>
      <c r="O230" s="11">
        <f t="shared" si="98"/>
        <v>29.61738745910846</v>
      </c>
      <c r="P230">
        <f t="shared" si="99"/>
        <v>58794.275044420341</v>
      </c>
      <c r="R230">
        <f t="shared" si="100"/>
        <v>88.792513849923438</v>
      </c>
    </row>
    <row r="231" spans="1:18" x14ac:dyDescent="0.35">
      <c r="A231" t="s">
        <v>234</v>
      </c>
      <c r="B231" t="s">
        <v>5</v>
      </c>
      <c r="C231">
        <v>455</v>
      </c>
      <c r="E231">
        <f t="shared" si="101"/>
        <v>58794.275044420341</v>
      </c>
      <c r="F231" s="8">
        <f t="shared" si="114"/>
        <v>235.17710017768138</v>
      </c>
      <c r="G231" s="9">
        <f t="shared" si="96"/>
        <v>59.264629244775712</v>
      </c>
      <c r="H231">
        <f t="shared" si="97"/>
        <v>58853.539673665116</v>
      </c>
      <c r="K231" t="s">
        <v>6</v>
      </c>
      <c r="L231">
        <v>456</v>
      </c>
      <c r="N231" s="6">
        <f t="shared" si="115"/>
        <v>117.70707934733024</v>
      </c>
      <c r="O231" s="11">
        <f t="shared" si="98"/>
        <v>29.662183995527219</v>
      </c>
      <c r="P231">
        <f t="shared" si="99"/>
        <v>58883.201857660642</v>
      </c>
      <c r="R231">
        <f t="shared" si="100"/>
        <v>88.926813240302934</v>
      </c>
    </row>
    <row r="232" spans="1:18" x14ac:dyDescent="0.35">
      <c r="A232" t="s">
        <v>235</v>
      </c>
      <c r="B232" t="s">
        <v>5</v>
      </c>
      <c r="C232">
        <v>457</v>
      </c>
      <c r="E232">
        <f t="shared" si="101"/>
        <v>58883.201857660642</v>
      </c>
      <c r="F232" s="8">
        <f t="shared" si="114"/>
        <v>235.53280743064258</v>
      </c>
      <c r="G232" s="9">
        <f t="shared" si="96"/>
        <v>59.354267472521933</v>
      </c>
      <c r="H232">
        <f t="shared" si="97"/>
        <v>58942.556125133167</v>
      </c>
      <c r="K232" t="s">
        <v>6</v>
      </c>
      <c r="L232">
        <v>458</v>
      </c>
      <c r="N232" s="6">
        <f t="shared" si="115"/>
        <v>117.88511225026633</v>
      </c>
      <c r="O232" s="11">
        <f t="shared" si="98"/>
        <v>29.707048287067117</v>
      </c>
      <c r="P232">
        <f t="shared" si="99"/>
        <v>58972.263173420237</v>
      </c>
      <c r="R232">
        <f t="shared" si="100"/>
        <v>89.06131575958905</v>
      </c>
    </row>
    <row r="233" spans="1:18" x14ac:dyDescent="0.35">
      <c r="A233" t="s">
        <v>236</v>
      </c>
      <c r="B233" t="s">
        <v>5</v>
      </c>
      <c r="C233">
        <v>459</v>
      </c>
      <c r="E233">
        <f t="shared" si="101"/>
        <v>58972.263173420237</v>
      </c>
      <c r="F233" s="8">
        <f t="shared" si="114"/>
        <v>235.88905269368095</v>
      </c>
      <c r="G233" s="9">
        <f t="shared" si="96"/>
        <v>59.444041278807603</v>
      </c>
      <c r="H233">
        <f t="shared" si="97"/>
        <v>59031.707214699047</v>
      </c>
      <c r="K233" t="s">
        <v>6</v>
      </c>
      <c r="L233">
        <v>460</v>
      </c>
      <c r="N233" s="6">
        <f t="shared" si="115"/>
        <v>118.06341442939809</v>
      </c>
      <c r="O233" s="11">
        <f t="shared" si="98"/>
        <v>29.751980436208321</v>
      </c>
      <c r="P233">
        <f t="shared" si="99"/>
        <v>59061.459195135256</v>
      </c>
      <c r="R233">
        <f t="shared" si="100"/>
        <v>89.196021715015917</v>
      </c>
    </row>
    <row r="234" spans="1:18" s="6" customFormat="1" x14ac:dyDescent="0.35">
      <c r="A234" s="6" t="s">
        <v>237</v>
      </c>
      <c r="B234" s="6" t="s">
        <v>5</v>
      </c>
      <c r="C234" s="6">
        <v>461</v>
      </c>
      <c r="D234" s="7">
        <v>3.00000000000021E-3</v>
      </c>
      <c r="E234" s="6">
        <f t="shared" si="101"/>
        <v>59061.459195135256</v>
      </c>
      <c r="F234" s="8">
        <f>E234*0.3%</f>
        <v>177.18437758540577</v>
      </c>
      <c r="G234" s="9">
        <f t="shared" si="96"/>
        <v>44.650463151522253</v>
      </c>
      <c r="H234" s="6">
        <f t="shared" si="97"/>
        <v>59106.109658286776</v>
      </c>
      <c r="K234" s="6" t="s">
        <v>12</v>
      </c>
      <c r="L234" s="6">
        <v>462</v>
      </c>
      <c r="M234" s="7">
        <v>3.5000000000000001E-3</v>
      </c>
      <c r="N234" s="6">
        <f>H234*0.35%</f>
        <v>206.8713838040037</v>
      </c>
      <c r="O234" s="11">
        <f t="shared" si="98"/>
        <v>52.131588718608931</v>
      </c>
      <c r="P234" s="6">
        <f t="shared" si="99"/>
        <v>59158.241247005382</v>
      </c>
      <c r="R234" s="6">
        <f t="shared" si="100"/>
        <v>96.782051870131184</v>
      </c>
    </row>
    <row r="235" spans="1:18" x14ac:dyDescent="0.35">
      <c r="A235" t="s">
        <v>238</v>
      </c>
      <c r="B235" t="s">
        <v>5</v>
      </c>
      <c r="C235">
        <v>463</v>
      </c>
      <c r="E235">
        <f t="shared" si="101"/>
        <v>59158.241247005382</v>
      </c>
      <c r="F235" s="8">
        <f t="shared" ref="F235:F238" si="116">E235*0.3%</f>
        <v>177.47472374101616</v>
      </c>
      <c r="G235" s="9">
        <f t="shared" si="96"/>
        <v>44.723630382736076</v>
      </c>
      <c r="H235">
        <f t="shared" si="97"/>
        <v>59202.96487738812</v>
      </c>
      <c r="K235" t="s">
        <v>12</v>
      </c>
      <c r="L235">
        <v>464</v>
      </c>
      <c r="N235" s="6">
        <f t="shared" ref="N235:N238" si="117">H235*0.35%</f>
        <v>207.21037707085839</v>
      </c>
      <c r="O235" s="11">
        <f t="shared" si="98"/>
        <v>52.217015021856312</v>
      </c>
      <c r="P235">
        <f t="shared" si="99"/>
        <v>59255.181892409979</v>
      </c>
      <c r="R235">
        <f t="shared" si="100"/>
        <v>96.940645404592388</v>
      </c>
    </row>
    <row r="236" spans="1:18" x14ac:dyDescent="0.35">
      <c r="A236" t="s">
        <v>239</v>
      </c>
      <c r="B236" t="s">
        <v>5</v>
      </c>
      <c r="C236">
        <v>465</v>
      </c>
      <c r="E236">
        <f t="shared" si="101"/>
        <v>59255.181892409979</v>
      </c>
      <c r="F236" s="8">
        <f t="shared" si="116"/>
        <v>177.76554567722994</v>
      </c>
      <c r="G236" s="9">
        <f t="shared" si="96"/>
        <v>44.796917510661942</v>
      </c>
      <c r="H236">
        <f t="shared" si="97"/>
        <v>59299.978809920642</v>
      </c>
      <c r="K236" t="s">
        <v>12</v>
      </c>
      <c r="L236">
        <v>466</v>
      </c>
      <c r="N236" s="6">
        <f t="shared" si="117"/>
        <v>207.54992583472222</v>
      </c>
      <c r="O236" s="11">
        <f t="shared" si="98"/>
        <v>52.30258131035</v>
      </c>
      <c r="P236">
        <f t="shared" si="99"/>
        <v>59352.281391230994</v>
      </c>
      <c r="R236">
        <f t="shared" si="100"/>
        <v>97.099498821011935</v>
      </c>
    </row>
    <row r="237" spans="1:18" x14ac:dyDescent="0.35">
      <c r="A237" t="s">
        <v>240</v>
      </c>
      <c r="B237" t="s">
        <v>5</v>
      </c>
      <c r="C237">
        <v>467</v>
      </c>
      <c r="E237">
        <f t="shared" si="101"/>
        <v>59352.281391230994</v>
      </c>
      <c r="F237" s="8">
        <f t="shared" si="116"/>
        <v>178.05684417369298</v>
      </c>
      <c r="G237" s="9">
        <f t="shared" si="96"/>
        <v>44.87032473177063</v>
      </c>
      <c r="H237">
        <f t="shared" si="97"/>
        <v>59397.151715962762</v>
      </c>
      <c r="K237" t="s">
        <v>12</v>
      </c>
      <c r="L237">
        <v>468</v>
      </c>
      <c r="N237" s="6">
        <f t="shared" si="117"/>
        <v>207.89003100586964</v>
      </c>
      <c r="O237" s="11">
        <f t="shared" si="98"/>
        <v>52.388287813479153</v>
      </c>
      <c r="P237">
        <f t="shared" si="99"/>
        <v>59449.540003776245</v>
      </c>
      <c r="R237">
        <f t="shared" si="100"/>
        <v>97.258612545249775</v>
      </c>
    </row>
    <row r="238" spans="1:18" x14ac:dyDescent="0.35">
      <c r="A238" t="s">
        <v>241</v>
      </c>
      <c r="B238" t="s">
        <v>5</v>
      </c>
      <c r="C238">
        <v>469</v>
      </c>
      <c r="E238">
        <f t="shared" si="101"/>
        <v>59449.540003776245</v>
      </c>
      <c r="F238" s="8">
        <f t="shared" si="116"/>
        <v>178.34862001132873</v>
      </c>
      <c r="G238" s="9">
        <f t="shared" si="96"/>
        <v>44.943852242854838</v>
      </c>
      <c r="H238">
        <f t="shared" si="97"/>
        <v>59494.483856019098</v>
      </c>
      <c r="K238" t="s">
        <v>12</v>
      </c>
      <c r="L238">
        <v>470</v>
      </c>
      <c r="N238" s="6">
        <f t="shared" si="117"/>
        <v>208.23069349606683</v>
      </c>
      <c r="O238" s="11">
        <f t="shared" si="98"/>
        <v>52.474134761008841</v>
      </c>
      <c r="P238">
        <f t="shared" si="99"/>
        <v>59546.957990780109</v>
      </c>
      <c r="R238">
        <f t="shared" si="100"/>
        <v>97.417987003863686</v>
      </c>
    </row>
    <row r="239" spans="1:18" s="6" customFormat="1" x14ac:dyDescent="0.35">
      <c r="A239" s="6" t="s">
        <v>242</v>
      </c>
      <c r="B239" s="6" t="s">
        <v>6</v>
      </c>
      <c r="C239" s="6">
        <v>471</v>
      </c>
      <c r="D239" s="7">
        <v>2.0000000000002802E-3</v>
      </c>
      <c r="E239" s="6">
        <f t="shared" si="101"/>
        <v>59546.957990780109</v>
      </c>
      <c r="F239" s="8">
        <f>E239*0.2%</f>
        <v>119.09391598156022</v>
      </c>
      <c r="G239" s="9">
        <f t="shared" si="96"/>
        <v>30.011666827353174</v>
      </c>
      <c r="H239" s="6">
        <f t="shared" si="97"/>
        <v>59576.969657607464</v>
      </c>
      <c r="K239" s="6" t="s">
        <v>12</v>
      </c>
      <c r="L239" s="6">
        <v>472</v>
      </c>
      <c r="M239" s="7">
        <v>5.0000000000000001E-3</v>
      </c>
      <c r="N239" s="6">
        <f>H239*0.5%</f>
        <v>297.88484828803735</v>
      </c>
      <c r="O239" s="11">
        <f t="shared" si="98"/>
        <v>75.066981768585407</v>
      </c>
      <c r="P239" s="6">
        <f t="shared" si="99"/>
        <v>59652.036639376049</v>
      </c>
      <c r="R239" s="6">
        <f t="shared" si="100"/>
        <v>105.07864859593857</v>
      </c>
    </row>
    <row r="240" spans="1:18" x14ac:dyDescent="0.35">
      <c r="A240" t="s">
        <v>243</v>
      </c>
      <c r="B240" t="s">
        <v>6</v>
      </c>
      <c r="C240">
        <v>473</v>
      </c>
      <c r="E240">
        <f t="shared" si="101"/>
        <v>59652.036639376049</v>
      </c>
      <c r="F240" s="8">
        <f t="shared" ref="F240:F243" si="118">E240*0.2%</f>
        <v>119.3040732787521</v>
      </c>
      <c r="G240" s="9">
        <f t="shared" si="96"/>
        <v>30.064626466245528</v>
      </c>
      <c r="H240">
        <f t="shared" si="97"/>
        <v>59682.101265842291</v>
      </c>
      <c r="K240" t="s">
        <v>12</v>
      </c>
      <c r="L240">
        <v>474</v>
      </c>
      <c r="N240" s="6">
        <f t="shared" ref="N240:N243" si="119">H240*0.5%</f>
        <v>298.41050632921144</v>
      </c>
      <c r="O240" s="11">
        <f t="shared" si="98"/>
        <v>75.199447594961285</v>
      </c>
      <c r="P240">
        <f t="shared" si="99"/>
        <v>59757.300713437253</v>
      </c>
      <c r="R240">
        <f t="shared" si="100"/>
        <v>105.26407406120681</v>
      </c>
    </row>
    <row r="241" spans="1:18" x14ac:dyDescent="0.35">
      <c r="A241" t="s">
        <v>244</v>
      </c>
      <c r="B241" t="s">
        <v>6</v>
      </c>
      <c r="C241">
        <v>475</v>
      </c>
      <c r="E241">
        <f t="shared" si="101"/>
        <v>59757.300713437253</v>
      </c>
      <c r="F241" s="8">
        <f t="shared" si="118"/>
        <v>119.51460142687451</v>
      </c>
      <c r="G241" s="9">
        <f t="shared" si="96"/>
        <v>30.117679559572377</v>
      </c>
      <c r="H241">
        <f t="shared" si="97"/>
        <v>59787.418392996828</v>
      </c>
      <c r="K241" t="s">
        <v>12</v>
      </c>
      <c r="L241">
        <v>476</v>
      </c>
      <c r="N241" s="6">
        <f t="shared" si="119"/>
        <v>298.93709196498412</v>
      </c>
      <c r="O241" s="11">
        <f t="shared" si="98"/>
        <v>75.332147175176004</v>
      </c>
      <c r="P241">
        <f t="shared" si="99"/>
        <v>59862.750540172005</v>
      </c>
      <c r="R241">
        <f t="shared" si="100"/>
        <v>105.44982673474838</v>
      </c>
    </row>
    <row r="242" spans="1:18" x14ac:dyDescent="0.35">
      <c r="A242" t="s">
        <v>245</v>
      </c>
      <c r="B242" t="s">
        <v>6</v>
      </c>
      <c r="C242">
        <v>477</v>
      </c>
      <c r="E242">
        <f t="shared" si="101"/>
        <v>59862.750540172005</v>
      </c>
      <c r="F242" s="8">
        <f t="shared" si="118"/>
        <v>119.72550108034402</v>
      </c>
      <c r="G242" s="9">
        <f t="shared" si="96"/>
        <v>30.170826272246693</v>
      </c>
      <c r="H242">
        <f t="shared" si="97"/>
        <v>59892.92136644425</v>
      </c>
      <c r="K242" t="s">
        <v>12</v>
      </c>
      <c r="L242">
        <v>478</v>
      </c>
      <c r="N242" s="6">
        <f t="shared" si="119"/>
        <v>299.46460683222125</v>
      </c>
      <c r="O242" s="11">
        <f t="shared" si="98"/>
        <v>75.46508092171976</v>
      </c>
      <c r="P242">
        <f t="shared" si="99"/>
        <v>59968.386447365971</v>
      </c>
      <c r="R242">
        <f t="shared" si="100"/>
        <v>105.63590719396646</v>
      </c>
    </row>
    <row r="243" spans="1:18" s="13" customFormat="1" x14ac:dyDescent="0.35">
      <c r="A243" s="13" t="s">
        <v>246</v>
      </c>
      <c r="B243" s="13" t="s">
        <v>6</v>
      </c>
      <c r="C243" s="13">
        <v>479</v>
      </c>
      <c r="E243" s="13">
        <f t="shared" si="101"/>
        <v>59968.386447365971</v>
      </c>
      <c r="F243" s="14">
        <f t="shared" si="118"/>
        <v>119.93677289473194</v>
      </c>
      <c r="G243" s="9">
        <f t="shared" si="96"/>
        <v>30.224066769472451</v>
      </c>
      <c r="H243" s="13">
        <f t="shared" si="97"/>
        <v>59998.610514135442</v>
      </c>
      <c r="K243" s="13" t="s">
        <v>12</v>
      </c>
      <c r="L243" s="13">
        <v>480</v>
      </c>
      <c r="N243" s="13">
        <f t="shared" si="119"/>
        <v>299.99305257067721</v>
      </c>
      <c r="O243" s="11">
        <f t="shared" si="98"/>
        <v>75.598249247810656</v>
      </c>
      <c r="P243" s="13">
        <f t="shared" si="99"/>
        <v>60074.208763383256</v>
      </c>
      <c r="R243" s="13">
        <f t="shared" si="100"/>
        <v>105.8223160172831</v>
      </c>
    </row>
    <row r="244" spans="1:18" s="6" customFormat="1" x14ac:dyDescent="0.35">
      <c r="A244" s="6" t="s">
        <v>247</v>
      </c>
      <c r="B244" s="6" t="s">
        <v>6</v>
      </c>
      <c r="C244" s="6">
        <v>481</v>
      </c>
      <c r="D244" s="7">
        <v>4.0000000000000001E-3</v>
      </c>
      <c r="E244" s="6">
        <f t="shared" si="101"/>
        <v>60074.208763383256</v>
      </c>
      <c r="F244" s="8">
        <f>E244*0.4%</f>
        <v>240.29683505353302</v>
      </c>
      <c r="G244" s="9">
        <f t="shared" si="96"/>
        <v>60.554802433490323</v>
      </c>
      <c r="H244" s="6">
        <f t="shared" si="97"/>
        <v>60134.763565816749</v>
      </c>
      <c r="K244" s="6" t="s">
        <v>12</v>
      </c>
      <c r="L244" s="6">
        <v>482</v>
      </c>
      <c r="M244" s="7">
        <v>6.4999999999989198E-3</v>
      </c>
      <c r="N244" s="6">
        <f>H244*0.65%</f>
        <v>390.8759631778089</v>
      </c>
      <c r="O244" s="11">
        <f t="shared" si="98"/>
        <v>98.50074272080785</v>
      </c>
      <c r="P244" s="6">
        <f t="shared" si="99"/>
        <v>60233.26430853756</v>
      </c>
      <c r="R244" s="6">
        <f t="shared" si="100"/>
        <v>159.05554515429816</v>
      </c>
    </row>
    <row r="245" spans="1:18" x14ac:dyDescent="0.35">
      <c r="A245" t="s">
        <v>248</v>
      </c>
      <c r="B245" t="s">
        <v>6</v>
      </c>
      <c r="C245">
        <v>483</v>
      </c>
      <c r="E245">
        <f t="shared" si="101"/>
        <v>60233.26430853756</v>
      </c>
      <c r="F245" s="8">
        <f t="shared" ref="F245:F248" si="120">E245*0.4%</f>
        <v>240.93305723415025</v>
      </c>
      <c r="G245" s="9">
        <f t="shared" si="96"/>
        <v>60.715130423005867</v>
      </c>
      <c r="H245">
        <f t="shared" si="97"/>
        <v>60293.979438960567</v>
      </c>
      <c r="K245" t="s">
        <v>12</v>
      </c>
      <c r="L245">
        <v>484</v>
      </c>
      <c r="N245" s="6">
        <f t="shared" ref="N245:N248" si="121">H245*0.65%</f>
        <v>391.9108663532437</v>
      </c>
      <c r="O245" s="11">
        <f t="shared" si="98"/>
        <v>98.761538321017412</v>
      </c>
      <c r="P245">
        <f t="shared" si="99"/>
        <v>60392.740977281581</v>
      </c>
      <c r="R245">
        <f t="shared" si="100"/>
        <v>159.47666874402327</v>
      </c>
    </row>
    <row r="246" spans="1:18" x14ac:dyDescent="0.35">
      <c r="A246" t="s">
        <v>249</v>
      </c>
      <c r="B246" t="s">
        <v>6</v>
      </c>
      <c r="C246">
        <v>485</v>
      </c>
      <c r="E246">
        <f t="shared" si="101"/>
        <v>60392.740977281581</v>
      </c>
      <c r="F246" s="8">
        <f t="shared" si="120"/>
        <v>241.57096390912633</v>
      </c>
      <c r="G246" s="9">
        <f t="shared" si="96"/>
        <v>60.875882905099836</v>
      </c>
      <c r="H246">
        <f t="shared" si="97"/>
        <v>60453.616860186681</v>
      </c>
      <c r="K246" t="s">
        <v>12</v>
      </c>
      <c r="L246">
        <v>486</v>
      </c>
      <c r="N246" s="6">
        <f t="shared" si="121"/>
        <v>392.94850959121345</v>
      </c>
      <c r="O246" s="11">
        <f t="shared" si="98"/>
        <v>99.023024416985791</v>
      </c>
      <c r="P246">
        <f t="shared" si="99"/>
        <v>60552.639884603668</v>
      </c>
      <c r="R246">
        <f t="shared" si="100"/>
        <v>159.89890732208562</v>
      </c>
    </row>
    <row r="247" spans="1:18" x14ac:dyDescent="0.35">
      <c r="A247" t="s">
        <v>250</v>
      </c>
      <c r="B247" t="s">
        <v>6</v>
      </c>
      <c r="C247">
        <v>487</v>
      </c>
      <c r="E247">
        <f t="shared" si="101"/>
        <v>60552.639884603668</v>
      </c>
      <c r="F247" s="8">
        <f t="shared" si="120"/>
        <v>242.21055953841469</v>
      </c>
      <c r="G247" s="9">
        <f t="shared" si="96"/>
        <v>61.037061003680499</v>
      </c>
      <c r="H247">
        <f t="shared" si="97"/>
        <v>60613.676945607345</v>
      </c>
      <c r="K247" t="s">
        <v>12</v>
      </c>
      <c r="L247">
        <v>488</v>
      </c>
      <c r="N247" s="6">
        <f t="shared" si="121"/>
        <v>393.9889001464478</v>
      </c>
      <c r="O247" s="11">
        <f t="shared" si="98"/>
        <v>99.285202836904844</v>
      </c>
      <c r="P247">
        <f t="shared" si="99"/>
        <v>60712.962148444247</v>
      </c>
      <c r="R247">
        <f t="shared" si="100"/>
        <v>160.32226384058535</v>
      </c>
    </row>
    <row r="248" spans="1:18" x14ac:dyDescent="0.35">
      <c r="A248" t="s">
        <v>251</v>
      </c>
      <c r="B248" t="s">
        <v>6</v>
      </c>
      <c r="C248">
        <v>489</v>
      </c>
      <c r="E248">
        <f t="shared" si="101"/>
        <v>60712.962148444247</v>
      </c>
      <c r="F248" s="8">
        <f t="shared" si="120"/>
        <v>242.85184859377699</v>
      </c>
      <c r="G248" s="9">
        <f t="shared" si="96"/>
        <v>61.198665845631801</v>
      </c>
      <c r="H248">
        <f t="shared" si="97"/>
        <v>60774.160814289877</v>
      </c>
      <c r="K248" t="s">
        <v>12</v>
      </c>
      <c r="L248">
        <v>490</v>
      </c>
      <c r="N248" s="6">
        <f t="shared" si="121"/>
        <v>395.03204529288422</v>
      </c>
      <c r="O248" s="11">
        <f t="shared" si="98"/>
        <v>99.548075413806828</v>
      </c>
      <c r="P248">
        <f t="shared" si="99"/>
        <v>60873.708889703681</v>
      </c>
      <c r="R248">
        <f t="shared" si="100"/>
        <v>160.74674125943864</v>
      </c>
    </row>
    <row r="249" spans="1:18" s="6" customFormat="1" x14ac:dyDescent="0.35">
      <c r="A249" s="6" t="s">
        <v>252</v>
      </c>
      <c r="B249" s="6" t="s">
        <v>6</v>
      </c>
      <c r="C249" s="6">
        <v>491</v>
      </c>
      <c r="D249" s="7">
        <v>5.99999999999972E-3</v>
      </c>
      <c r="E249" s="6">
        <f t="shared" si="101"/>
        <v>60873.708889703681</v>
      </c>
      <c r="F249" s="8">
        <f>E249*0.6%</f>
        <v>365.2422533382221</v>
      </c>
      <c r="G249" s="9">
        <f t="shared" si="96"/>
        <v>92.041047841231972</v>
      </c>
      <c r="H249" s="6">
        <f t="shared" si="97"/>
        <v>60965.749937544912</v>
      </c>
      <c r="K249" s="6" t="s">
        <v>12</v>
      </c>
      <c r="L249" s="6">
        <v>492</v>
      </c>
      <c r="M249" s="7">
        <v>7.9999999999983799E-3</v>
      </c>
      <c r="N249" s="6">
        <f>H249*0.8%</f>
        <v>487.72599950035931</v>
      </c>
      <c r="O249" s="11">
        <f t="shared" si="98"/>
        <v>122.90695187409055</v>
      </c>
      <c r="P249" s="6">
        <f t="shared" si="99"/>
        <v>61088.656889418999</v>
      </c>
      <c r="R249" s="6">
        <f t="shared" si="100"/>
        <v>214.94799971532251</v>
      </c>
    </row>
    <row r="250" spans="1:18" x14ac:dyDescent="0.35">
      <c r="A250" t="s">
        <v>253</v>
      </c>
      <c r="B250" t="s">
        <v>6</v>
      </c>
      <c r="C250">
        <v>493</v>
      </c>
      <c r="E250">
        <f t="shared" si="101"/>
        <v>61088.656889418999</v>
      </c>
      <c r="F250" s="8">
        <f t="shared" ref="F250:F253" si="122">E250*0.6%</f>
        <v>366.53194133651402</v>
      </c>
      <c r="G250" s="9">
        <f t="shared" si="96"/>
        <v>92.366049216801528</v>
      </c>
      <c r="H250">
        <f t="shared" si="97"/>
        <v>61181.022938635797</v>
      </c>
      <c r="K250" t="s">
        <v>12</v>
      </c>
      <c r="L250">
        <v>494</v>
      </c>
      <c r="N250" s="6">
        <f t="shared" ref="N250:N253" si="123">H250*0.8%</f>
        <v>489.44818350908639</v>
      </c>
      <c r="O250" s="11">
        <f t="shared" si="98"/>
        <v>123.34094224428978</v>
      </c>
      <c r="P250">
        <f t="shared" si="99"/>
        <v>61304.36388088009</v>
      </c>
      <c r="R250">
        <f t="shared" si="100"/>
        <v>215.70699146109132</v>
      </c>
    </row>
    <row r="251" spans="1:18" x14ac:dyDescent="0.35">
      <c r="A251" t="s">
        <v>254</v>
      </c>
      <c r="B251" t="s">
        <v>6</v>
      </c>
      <c r="C251">
        <v>495</v>
      </c>
      <c r="E251">
        <f t="shared" si="101"/>
        <v>61304.36388088009</v>
      </c>
      <c r="F251" s="8">
        <f t="shared" si="122"/>
        <v>367.82618328528054</v>
      </c>
      <c r="G251" s="9">
        <f t="shared" si="96"/>
        <v>92.692198187890696</v>
      </c>
      <c r="H251">
        <f t="shared" si="97"/>
        <v>61397.056079067981</v>
      </c>
      <c r="K251" t="s">
        <v>12</v>
      </c>
      <c r="L251">
        <v>496</v>
      </c>
      <c r="N251" s="6">
        <f t="shared" si="123"/>
        <v>491.17644863254384</v>
      </c>
      <c r="O251" s="11">
        <f t="shared" si="98"/>
        <v>123.77646505540105</v>
      </c>
      <c r="P251">
        <f t="shared" si="99"/>
        <v>61520.832544123383</v>
      </c>
      <c r="R251">
        <f t="shared" si="100"/>
        <v>216.46866324329176</v>
      </c>
    </row>
    <row r="252" spans="1:18" x14ac:dyDescent="0.35">
      <c r="A252" t="s">
        <v>255</v>
      </c>
      <c r="B252" t="s">
        <v>6</v>
      </c>
      <c r="C252">
        <v>497</v>
      </c>
      <c r="E252">
        <f t="shared" si="101"/>
        <v>61520.832544123383</v>
      </c>
      <c r="F252" s="8">
        <f t="shared" si="122"/>
        <v>369.12499526474028</v>
      </c>
      <c r="G252" s="9">
        <f t="shared" si="96"/>
        <v>93.019498806714552</v>
      </c>
      <c r="H252">
        <f t="shared" si="97"/>
        <v>61613.852042930099</v>
      </c>
      <c r="K252" t="s">
        <v>12</v>
      </c>
      <c r="L252">
        <v>498</v>
      </c>
      <c r="N252" s="6">
        <f t="shared" si="123"/>
        <v>492.91081634344079</v>
      </c>
      <c r="O252" s="11">
        <f t="shared" si="98"/>
        <v>124.21352571854707</v>
      </c>
      <c r="P252">
        <f t="shared" si="99"/>
        <v>61738.065568648643</v>
      </c>
      <c r="R252">
        <f t="shared" si="100"/>
        <v>217.23302452526161</v>
      </c>
    </row>
    <row r="253" spans="1:18" x14ac:dyDescent="0.35">
      <c r="A253" t="s">
        <v>256</v>
      </c>
      <c r="B253" t="s">
        <v>6</v>
      </c>
      <c r="C253">
        <v>499</v>
      </c>
      <c r="D253" s="15"/>
      <c r="E253">
        <f t="shared" si="101"/>
        <v>61738.065568648643</v>
      </c>
      <c r="F253" s="8">
        <f t="shared" si="122"/>
        <v>370.42839341189188</v>
      </c>
      <c r="G253" s="9">
        <f t="shared" si="96"/>
        <v>93.347955139796753</v>
      </c>
      <c r="H253">
        <f t="shared" si="97"/>
        <v>61831.41352378844</v>
      </c>
      <c r="K253" t="s">
        <v>12</v>
      </c>
      <c r="L253">
        <v>500</v>
      </c>
      <c r="N253" s="6">
        <f t="shared" si="123"/>
        <v>494.65130819030753</v>
      </c>
      <c r="O253" s="11">
        <f t="shared" si="98"/>
        <v>124.6521296639575</v>
      </c>
      <c r="P253">
        <f t="shared" si="99"/>
        <v>61956.065653452395</v>
      </c>
      <c r="R253">
        <f t="shared" si="100"/>
        <v>218.00008480375425</v>
      </c>
    </row>
    <row r="254" spans="1:18" s="6" customFormat="1" x14ac:dyDescent="0.35">
      <c r="A254" s="6" t="s">
        <v>257</v>
      </c>
      <c r="B254" s="6" t="s">
        <v>5</v>
      </c>
      <c r="C254" s="6">
        <v>501</v>
      </c>
      <c r="D254" s="7">
        <v>7.9999999999994399E-3</v>
      </c>
      <c r="E254" s="6">
        <f t="shared" si="101"/>
        <v>61956.065653452395</v>
      </c>
      <c r="F254" s="8">
        <f>E254*0.8%</f>
        <v>495.64852522761919</v>
      </c>
      <c r="G254" s="9">
        <f t="shared" si="96"/>
        <v>124.90342835736004</v>
      </c>
      <c r="H254" s="6">
        <f t="shared" si="97"/>
        <v>62080.969081809752</v>
      </c>
      <c r="K254" s="6" t="s">
        <v>6</v>
      </c>
      <c r="L254" s="6">
        <v>502</v>
      </c>
      <c r="M254" s="7">
        <v>4.0000000000000001E-3</v>
      </c>
      <c r="N254" s="6">
        <f>H254*0.4%</f>
        <v>248.32387632723902</v>
      </c>
      <c r="O254" s="11">
        <f t="shared" si="98"/>
        <v>62.57761683446423</v>
      </c>
      <c r="P254" s="6">
        <f t="shared" si="99"/>
        <v>62143.546698644219</v>
      </c>
      <c r="R254" s="6">
        <f t="shared" si="100"/>
        <v>187.48104519182428</v>
      </c>
    </row>
    <row r="255" spans="1:18" x14ac:dyDescent="0.35">
      <c r="A255" t="s">
        <v>258</v>
      </c>
      <c r="B255" t="s">
        <v>5</v>
      </c>
      <c r="C255">
        <v>503</v>
      </c>
      <c r="E255">
        <f t="shared" si="101"/>
        <v>62143.546698644219</v>
      </c>
      <c r="F255" s="8">
        <f t="shared" ref="F255:F258" si="124">E255*0.8%</f>
        <v>497.14837358915378</v>
      </c>
      <c r="G255" s="9">
        <f t="shared" si="96"/>
        <v>125.28139014446676</v>
      </c>
      <c r="H255">
        <f t="shared" si="97"/>
        <v>62268.828088788687</v>
      </c>
      <c r="I255" s="16"/>
      <c r="J255" s="16"/>
      <c r="K255" s="16" t="s">
        <v>6</v>
      </c>
      <c r="L255">
        <v>504</v>
      </c>
      <c r="N255" s="6">
        <f t="shared" ref="N255:N258" si="125">H255*0.4%</f>
        <v>249.07531235515475</v>
      </c>
      <c r="O255" s="11">
        <f t="shared" si="98"/>
        <v>62.766978713499</v>
      </c>
      <c r="P255">
        <f t="shared" si="99"/>
        <v>62331.595067502189</v>
      </c>
      <c r="R255">
        <f t="shared" si="100"/>
        <v>188.04836885796576</v>
      </c>
    </row>
    <row r="256" spans="1:18" x14ac:dyDescent="0.35">
      <c r="A256" t="s">
        <v>259</v>
      </c>
      <c r="B256" t="s">
        <v>5</v>
      </c>
      <c r="C256">
        <v>505</v>
      </c>
      <c r="E256">
        <f t="shared" si="101"/>
        <v>62331.595067502189</v>
      </c>
      <c r="F256" s="8">
        <f t="shared" si="124"/>
        <v>498.65276054001754</v>
      </c>
      <c r="G256" s="9">
        <f t="shared" si="96"/>
        <v>125.66049565608442</v>
      </c>
      <c r="H256">
        <f t="shared" si="97"/>
        <v>62457.255563158273</v>
      </c>
      <c r="K256" t="s">
        <v>6</v>
      </c>
      <c r="L256">
        <v>506</v>
      </c>
      <c r="N256" s="6">
        <f t="shared" si="125"/>
        <v>249.82902225263311</v>
      </c>
      <c r="O256" s="11">
        <f t="shared" si="98"/>
        <v>62.956913607663544</v>
      </c>
      <c r="P256">
        <f t="shared" si="99"/>
        <v>62520.212476765933</v>
      </c>
      <c r="R256">
        <f t="shared" si="100"/>
        <v>188.61740926374796</v>
      </c>
    </row>
    <row r="257" spans="1:18" x14ac:dyDescent="0.35">
      <c r="A257" t="s">
        <v>260</v>
      </c>
      <c r="B257" t="s">
        <v>5</v>
      </c>
      <c r="C257">
        <v>507</v>
      </c>
      <c r="E257">
        <f t="shared" si="101"/>
        <v>62520.212476765933</v>
      </c>
      <c r="F257" s="8">
        <f t="shared" si="124"/>
        <v>500.16169981412747</v>
      </c>
      <c r="G257" s="9">
        <f t="shared" si="96"/>
        <v>126.04074835316013</v>
      </c>
      <c r="H257">
        <f t="shared" si="97"/>
        <v>62646.253225119093</v>
      </c>
      <c r="K257" t="s">
        <v>6</v>
      </c>
      <c r="L257">
        <v>508</v>
      </c>
      <c r="N257" s="6">
        <f t="shared" si="125"/>
        <v>250.58501290047639</v>
      </c>
      <c r="O257" s="11">
        <f t="shared" si="98"/>
        <v>63.147423250920049</v>
      </c>
      <c r="P257">
        <f t="shared" si="99"/>
        <v>62709.400648370014</v>
      </c>
      <c r="R257">
        <f t="shared" si="100"/>
        <v>189.18817160408017</v>
      </c>
    </row>
    <row r="258" spans="1:18" x14ac:dyDescent="0.35">
      <c r="A258" t="s">
        <v>261</v>
      </c>
      <c r="B258" t="s">
        <v>5</v>
      </c>
      <c r="C258">
        <v>509</v>
      </c>
      <c r="E258">
        <f t="shared" si="101"/>
        <v>62709.400648370014</v>
      </c>
      <c r="F258" s="8">
        <f t="shared" si="124"/>
        <v>501.67520518696011</v>
      </c>
      <c r="G258" s="9">
        <f t="shared" si="96"/>
        <v>126.42215170711395</v>
      </c>
      <c r="H258">
        <f t="shared" si="97"/>
        <v>62835.822800077127</v>
      </c>
      <c r="K258" t="s">
        <v>6</v>
      </c>
      <c r="L258">
        <v>510</v>
      </c>
      <c r="N258" s="6">
        <f t="shared" si="125"/>
        <v>251.3432912003085</v>
      </c>
      <c r="O258" s="11">
        <f t="shared" si="98"/>
        <v>63.338509382477746</v>
      </c>
      <c r="P258">
        <f t="shared" si="99"/>
        <v>62899.161309459603</v>
      </c>
      <c r="R258">
        <f t="shared" si="100"/>
        <v>189.76066108959171</v>
      </c>
    </row>
    <row r="259" spans="1:18" s="6" customFormat="1" x14ac:dyDescent="0.35">
      <c r="A259" s="6" t="s">
        <v>262</v>
      </c>
      <c r="B259" s="6" t="s">
        <v>6</v>
      </c>
      <c r="C259" s="6">
        <v>511</v>
      </c>
      <c r="D259" s="7">
        <v>4.0000000000000001E-3</v>
      </c>
      <c r="E259" s="6">
        <f t="shared" si="101"/>
        <v>62899.161309459603</v>
      </c>
      <c r="F259" s="8">
        <f>E259*0.4%</f>
        <v>251.59664523783843</v>
      </c>
      <c r="G259" s="9">
        <f t="shared" si="96"/>
        <v>63.402354599935286</v>
      </c>
      <c r="H259" s="6">
        <f t="shared" si="97"/>
        <v>62962.56366405954</v>
      </c>
      <c r="K259" s="6" t="s">
        <v>12</v>
      </c>
      <c r="L259" s="6">
        <v>512</v>
      </c>
      <c r="M259" s="7">
        <v>8.5000000000000006E-3</v>
      </c>
      <c r="N259" s="6">
        <f>H259*0.85%</f>
        <v>535.18179114450618</v>
      </c>
      <c r="O259" s="11">
        <f t="shared" si="98"/>
        <v>134.86581136841556</v>
      </c>
      <c r="P259" s="6">
        <f t="shared" si="99"/>
        <v>63097.429475427954</v>
      </c>
      <c r="R259" s="6">
        <f t="shared" si="100"/>
        <v>198.26816596835084</v>
      </c>
    </row>
    <row r="260" spans="1:18" x14ac:dyDescent="0.35">
      <c r="A260" t="s">
        <v>263</v>
      </c>
      <c r="B260" t="s">
        <v>6</v>
      </c>
      <c r="C260">
        <v>513</v>
      </c>
      <c r="E260">
        <f t="shared" si="101"/>
        <v>63097.429475427954</v>
      </c>
      <c r="F260" s="8">
        <f t="shared" ref="F260:F263" si="126">E260*0.4%</f>
        <v>252.38971790171183</v>
      </c>
      <c r="G260" s="9">
        <f t="shared" si="96"/>
        <v>63.602208911231379</v>
      </c>
      <c r="H260">
        <f t="shared" si="97"/>
        <v>63161.031684339185</v>
      </c>
      <c r="K260" t="s">
        <v>12</v>
      </c>
      <c r="L260">
        <v>514</v>
      </c>
      <c r="N260" s="6">
        <f t="shared" ref="N260:N263" si="127">H260*0.85%</f>
        <v>536.86876931688312</v>
      </c>
      <c r="O260" s="11">
        <f t="shared" si="98"/>
        <v>135.29092986785454</v>
      </c>
      <c r="P260">
        <f t="shared" si="99"/>
        <v>63296.322614207042</v>
      </c>
      <c r="R260">
        <f t="shared" si="100"/>
        <v>198.89313877908592</v>
      </c>
    </row>
    <row r="261" spans="1:18" x14ac:dyDescent="0.35">
      <c r="A261" t="s">
        <v>264</v>
      </c>
      <c r="B261" t="s">
        <v>6</v>
      </c>
      <c r="C261">
        <v>515</v>
      </c>
      <c r="E261">
        <f t="shared" si="101"/>
        <v>63296.322614207042</v>
      </c>
      <c r="F261" s="8">
        <f t="shared" si="126"/>
        <v>253.18529045682817</v>
      </c>
      <c r="G261" s="9">
        <f t="shared" ref="G261:G294" si="128">F261*25.2%</f>
        <v>63.802693195120696</v>
      </c>
      <c r="H261">
        <f t="shared" ref="H261:H294" si="129">G261+E261</f>
        <v>63360.125307402159</v>
      </c>
      <c r="K261" t="s">
        <v>12</v>
      </c>
      <c r="L261">
        <v>516</v>
      </c>
      <c r="N261" s="6">
        <f t="shared" si="127"/>
        <v>538.56106511291841</v>
      </c>
      <c r="O261" s="11">
        <f t="shared" ref="O261:O294" si="130">N261*25.2%</f>
        <v>135.71738840845543</v>
      </c>
      <c r="P261">
        <f t="shared" ref="P261:P294" si="131">O261+H261</f>
        <v>63495.842695810614</v>
      </c>
      <c r="R261">
        <f t="shared" ref="R261:R294" si="132">O261+G261</f>
        <v>199.52008160357613</v>
      </c>
    </row>
    <row r="262" spans="1:18" x14ac:dyDescent="0.35">
      <c r="A262" t="s">
        <v>265</v>
      </c>
      <c r="B262" t="s">
        <v>6</v>
      </c>
      <c r="C262">
        <v>517</v>
      </c>
      <c r="E262">
        <f t="shared" ref="E262:E294" si="133">P261</f>
        <v>63495.842695810614</v>
      </c>
      <c r="F262" s="8">
        <f t="shared" si="126"/>
        <v>253.98337078324246</v>
      </c>
      <c r="G262" s="9">
        <f t="shared" si="128"/>
        <v>64.0038094373771</v>
      </c>
      <c r="H262">
        <f t="shared" si="129"/>
        <v>63559.846505247988</v>
      </c>
      <c r="K262" t="s">
        <v>12</v>
      </c>
      <c r="L262">
        <v>518</v>
      </c>
      <c r="N262" s="6">
        <f t="shared" si="127"/>
        <v>540.25869529460795</v>
      </c>
      <c r="O262" s="11">
        <f t="shared" si="130"/>
        <v>136.14519121424121</v>
      </c>
      <c r="P262">
        <f t="shared" si="131"/>
        <v>63695.991696462232</v>
      </c>
      <c r="R262">
        <f t="shared" si="132"/>
        <v>200.14900065161831</v>
      </c>
    </row>
    <row r="263" spans="1:18" x14ac:dyDescent="0.35">
      <c r="A263" t="s">
        <v>266</v>
      </c>
      <c r="B263" t="s">
        <v>6</v>
      </c>
      <c r="C263">
        <v>519</v>
      </c>
      <c r="D263" s="15"/>
      <c r="E263">
        <f t="shared" si="133"/>
        <v>63695.991696462232</v>
      </c>
      <c r="F263" s="8">
        <f t="shared" si="126"/>
        <v>254.78396678584892</v>
      </c>
      <c r="G263" s="9">
        <f t="shared" si="128"/>
        <v>64.205559630033932</v>
      </c>
      <c r="H263">
        <f t="shared" si="129"/>
        <v>63760.197256092266</v>
      </c>
      <c r="K263" t="s">
        <v>12</v>
      </c>
      <c r="L263">
        <v>520</v>
      </c>
      <c r="N263" s="6">
        <f t="shared" si="127"/>
        <v>541.96167667678435</v>
      </c>
      <c r="O263" s="11">
        <f t="shared" si="130"/>
        <v>136.57434252254967</v>
      </c>
      <c r="P263">
        <f t="shared" si="131"/>
        <v>63896.771598614818</v>
      </c>
      <c r="R263">
        <f t="shared" si="132"/>
        <v>200.77990215258359</v>
      </c>
    </row>
    <row r="264" spans="1:18" s="6" customFormat="1" x14ac:dyDescent="0.35">
      <c r="A264" s="6" t="s">
        <v>267</v>
      </c>
      <c r="B264" s="6" t="s">
        <v>6</v>
      </c>
      <c r="C264" s="6">
        <v>521</v>
      </c>
      <c r="D264" s="7">
        <v>7.0000000000000001E-3</v>
      </c>
      <c r="E264" s="6">
        <f t="shared" si="133"/>
        <v>63896.771598614818</v>
      </c>
      <c r="F264" s="8">
        <f>E264*0.7%</f>
        <v>447.27740119030369</v>
      </c>
      <c r="G264" s="9">
        <f t="shared" si="128"/>
        <v>112.71390509995653</v>
      </c>
      <c r="H264" s="6">
        <f t="shared" si="129"/>
        <v>64009.485503714772</v>
      </c>
      <c r="K264" s="6" t="s">
        <v>6</v>
      </c>
      <c r="L264" s="6">
        <v>522</v>
      </c>
      <c r="M264" s="7">
        <v>3.5000000000000001E-3</v>
      </c>
      <c r="N264" s="6">
        <f>H264*0.35%</f>
        <v>224.03319926300168</v>
      </c>
      <c r="O264" s="11">
        <f t="shared" si="130"/>
        <v>56.456366214276422</v>
      </c>
      <c r="P264" s="6">
        <f t="shared" si="131"/>
        <v>64065.941869929047</v>
      </c>
      <c r="R264" s="6">
        <f t="shared" si="132"/>
        <v>169.17027131423296</v>
      </c>
    </row>
    <row r="265" spans="1:18" x14ac:dyDescent="0.35">
      <c r="A265" t="s">
        <v>268</v>
      </c>
      <c r="B265" t="s">
        <v>6</v>
      </c>
      <c r="C265">
        <v>523</v>
      </c>
      <c r="E265">
        <f t="shared" si="133"/>
        <v>64065.941869929047</v>
      </c>
      <c r="F265" s="8">
        <f t="shared" ref="F265:F268" si="134">E265*0.7%</f>
        <v>448.46159308950331</v>
      </c>
      <c r="G265" s="9">
        <f t="shared" si="128"/>
        <v>113.01232145855484</v>
      </c>
      <c r="H265">
        <f t="shared" si="129"/>
        <v>64178.954191387602</v>
      </c>
      <c r="K265" t="s">
        <v>6</v>
      </c>
      <c r="L265">
        <v>524</v>
      </c>
      <c r="N265" s="6">
        <f t="shared" ref="N265:N268" si="135">H265*0.35%</f>
        <v>224.62633966985658</v>
      </c>
      <c r="O265" s="11">
        <f t="shared" si="130"/>
        <v>56.605837596803859</v>
      </c>
      <c r="P265">
        <f t="shared" si="131"/>
        <v>64235.560028984408</v>
      </c>
      <c r="R265">
        <f t="shared" si="132"/>
        <v>169.61815905535869</v>
      </c>
    </row>
    <row r="266" spans="1:18" x14ac:dyDescent="0.35">
      <c r="A266" t="s">
        <v>269</v>
      </c>
      <c r="B266" t="s">
        <v>6</v>
      </c>
      <c r="C266">
        <v>525</v>
      </c>
      <c r="E266">
        <f t="shared" si="133"/>
        <v>64235.560028984408</v>
      </c>
      <c r="F266" s="8">
        <f t="shared" si="134"/>
        <v>449.64892020289079</v>
      </c>
      <c r="G266" s="9">
        <f t="shared" si="128"/>
        <v>113.31152789112848</v>
      </c>
      <c r="H266">
        <f t="shared" si="129"/>
        <v>64348.871556875536</v>
      </c>
      <c r="K266" t="s">
        <v>6</v>
      </c>
      <c r="L266">
        <v>526</v>
      </c>
      <c r="N266" s="6">
        <f t="shared" si="135"/>
        <v>225.22105044906436</v>
      </c>
      <c r="O266" s="11">
        <f t="shared" si="130"/>
        <v>56.755704713164221</v>
      </c>
      <c r="P266">
        <f t="shared" si="131"/>
        <v>64405.627261588699</v>
      </c>
      <c r="R266">
        <f t="shared" si="132"/>
        <v>170.06723260429271</v>
      </c>
    </row>
    <row r="267" spans="1:18" x14ac:dyDescent="0.35">
      <c r="A267" t="s">
        <v>270</v>
      </c>
      <c r="B267" t="s">
        <v>6</v>
      </c>
      <c r="C267">
        <v>527</v>
      </c>
      <c r="E267">
        <f t="shared" si="133"/>
        <v>64405.627261588699</v>
      </c>
      <c r="F267" s="8">
        <f t="shared" si="134"/>
        <v>450.83939083112085</v>
      </c>
      <c r="G267" s="9">
        <f t="shared" si="128"/>
        <v>113.61152648944245</v>
      </c>
      <c r="H267">
        <f t="shared" si="129"/>
        <v>64519.238788078139</v>
      </c>
      <c r="K267" t="s">
        <v>6</v>
      </c>
      <c r="L267">
        <v>528</v>
      </c>
      <c r="N267" s="6">
        <f t="shared" si="135"/>
        <v>225.81733575827346</v>
      </c>
      <c r="O267" s="11">
        <f t="shared" si="130"/>
        <v>56.905968611084909</v>
      </c>
      <c r="P267">
        <f t="shared" si="131"/>
        <v>64576.144756689224</v>
      </c>
      <c r="R267">
        <f t="shared" si="132"/>
        <v>170.51749510052736</v>
      </c>
    </row>
    <row r="268" spans="1:18" x14ac:dyDescent="0.35">
      <c r="A268" t="s">
        <v>271</v>
      </c>
      <c r="B268" t="s">
        <v>6</v>
      </c>
      <c r="C268">
        <v>529</v>
      </c>
      <c r="E268">
        <f t="shared" si="133"/>
        <v>64576.144756689224</v>
      </c>
      <c r="F268" s="8">
        <f t="shared" si="134"/>
        <v>452.03301329682449</v>
      </c>
      <c r="G268" s="9">
        <f t="shared" si="128"/>
        <v>113.91231935079978</v>
      </c>
      <c r="H268">
        <f t="shared" si="129"/>
        <v>64690.057076040022</v>
      </c>
      <c r="K268" t="s">
        <v>6</v>
      </c>
      <c r="L268">
        <v>530</v>
      </c>
      <c r="N268" s="6">
        <f t="shared" si="135"/>
        <v>226.41519976614006</v>
      </c>
      <c r="O268" s="11">
        <f t="shared" si="130"/>
        <v>57.056630341067297</v>
      </c>
      <c r="P268">
        <f t="shared" si="131"/>
        <v>64747.113706381089</v>
      </c>
      <c r="R268">
        <f t="shared" si="132"/>
        <v>170.96894969186707</v>
      </c>
    </row>
    <row r="269" spans="1:18" s="6" customFormat="1" x14ac:dyDescent="0.35">
      <c r="A269" s="6" t="s">
        <v>272</v>
      </c>
      <c r="B269" s="6" t="s">
        <v>5</v>
      </c>
      <c r="C269" s="6">
        <v>531</v>
      </c>
      <c r="D269" s="7">
        <v>8.0000000000000002E-3</v>
      </c>
      <c r="E269" s="6">
        <f t="shared" si="133"/>
        <v>64747.113706381089</v>
      </c>
      <c r="F269" s="8">
        <f>E269*0.8%</f>
        <v>517.97690965104869</v>
      </c>
      <c r="G269" s="9">
        <f t="shared" si="128"/>
        <v>130.53018123206428</v>
      </c>
      <c r="H269" s="6">
        <f t="shared" si="129"/>
        <v>64877.643887613151</v>
      </c>
      <c r="K269" s="6" t="s">
        <v>6</v>
      </c>
      <c r="L269" s="6">
        <v>532</v>
      </c>
      <c r="M269" s="7">
        <v>4.4999999999999997E-3</v>
      </c>
      <c r="N269" s="6">
        <f>H269*0.45%</f>
        <v>291.94939749425919</v>
      </c>
      <c r="O269" s="11">
        <f t="shared" si="130"/>
        <v>73.571248168553311</v>
      </c>
      <c r="P269" s="6">
        <f t="shared" si="131"/>
        <v>64951.215135781706</v>
      </c>
      <c r="R269" s="6">
        <f t="shared" si="132"/>
        <v>204.10142940061758</v>
      </c>
    </row>
    <row r="270" spans="1:18" x14ac:dyDescent="0.35">
      <c r="A270" t="s">
        <v>273</v>
      </c>
      <c r="B270" t="s">
        <v>5</v>
      </c>
      <c r="C270">
        <v>533</v>
      </c>
      <c r="E270">
        <f t="shared" si="133"/>
        <v>64951.215135781706</v>
      </c>
      <c r="F270" s="8">
        <f t="shared" ref="F270:F273" si="136">E270*0.8%</f>
        <v>519.60972108625367</v>
      </c>
      <c r="G270" s="9">
        <f t="shared" si="128"/>
        <v>130.94164971373593</v>
      </c>
      <c r="H270">
        <f t="shared" si="129"/>
        <v>65082.156785495441</v>
      </c>
      <c r="K270" t="s">
        <v>6</v>
      </c>
      <c r="L270">
        <v>534</v>
      </c>
      <c r="N270" s="6">
        <f t="shared" ref="N270:N273" si="137">H270*0.45%</f>
        <v>292.86970553472952</v>
      </c>
      <c r="O270" s="11">
        <f t="shared" si="130"/>
        <v>73.803165794751834</v>
      </c>
      <c r="P270">
        <f t="shared" si="131"/>
        <v>65155.959951290191</v>
      </c>
      <c r="R270">
        <f t="shared" si="132"/>
        <v>204.74481550848776</v>
      </c>
    </row>
    <row r="271" spans="1:18" x14ac:dyDescent="0.35">
      <c r="A271" t="s">
        <v>274</v>
      </c>
      <c r="B271" t="s">
        <v>5</v>
      </c>
      <c r="C271">
        <v>535</v>
      </c>
      <c r="E271">
        <f t="shared" si="133"/>
        <v>65155.959951290191</v>
      </c>
      <c r="F271" s="8">
        <f t="shared" si="136"/>
        <v>521.2476796103216</v>
      </c>
      <c r="G271" s="9">
        <f t="shared" si="128"/>
        <v>131.35441526180105</v>
      </c>
      <c r="H271">
        <f t="shared" si="129"/>
        <v>65287.314366551989</v>
      </c>
      <c r="K271" t="s">
        <v>6</v>
      </c>
      <c r="L271">
        <v>536</v>
      </c>
      <c r="N271" s="6">
        <f t="shared" si="137"/>
        <v>293.79291464948398</v>
      </c>
      <c r="O271" s="11">
        <f t="shared" si="130"/>
        <v>74.035814491669967</v>
      </c>
      <c r="P271">
        <f t="shared" si="131"/>
        <v>65361.350181043657</v>
      </c>
      <c r="R271">
        <f t="shared" si="132"/>
        <v>205.39022975347103</v>
      </c>
    </row>
    <row r="272" spans="1:18" x14ac:dyDescent="0.35">
      <c r="A272" t="s">
        <v>275</v>
      </c>
      <c r="B272" t="s">
        <v>5</v>
      </c>
      <c r="C272">
        <v>537</v>
      </c>
      <c r="E272">
        <f t="shared" si="133"/>
        <v>65361.350181043657</v>
      </c>
      <c r="F272" s="8">
        <f t="shared" si="136"/>
        <v>522.89080144834929</v>
      </c>
      <c r="G272" s="9">
        <f t="shared" si="128"/>
        <v>131.76848196498403</v>
      </c>
      <c r="H272">
        <f t="shared" si="129"/>
        <v>65493.118663008645</v>
      </c>
      <c r="K272" t="s">
        <v>6</v>
      </c>
      <c r="L272">
        <v>538</v>
      </c>
      <c r="N272" s="6">
        <f t="shared" si="137"/>
        <v>294.71903398353896</v>
      </c>
      <c r="O272" s="11">
        <f t="shared" si="130"/>
        <v>74.269196563851821</v>
      </c>
      <c r="P272">
        <f t="shared" si="131"/>
        <v>65567.387859572496</v>
      </c>
      <c r="Q272" t="s">
        <v>0</v>
      </c>
      <c r="R272">
        <f t="shared" si="132"/>
        <v>206.03767852883584</v>
      </c>
    </row>
    <row r="273" spans="1:18" s="17" customFormat="1" x14ac:dyDescent="0.35">
      <c r="A273" s="17" t="s">
        <v>276</v>
      </c>
      <c r="B273" s="17" t="s">
        <v>5</v>
      </c>
      <c r="C273" s="17">
        <v>539</v>
      </c>
      <c r="E273" s="17">
        <f t="shared" si="133"/>
        <v>65567.387859572496</v>
      </c>
      <c r="F273" s="8">
        <f t="shared" si="136"/>
        <v>524.53910287657993</v>
      </c>
      <c r="G273" s="9">
        <f t="shared" si="128"/>
        <v>132.18385392489813</v>
      </c>
      <c r="H273" s="17">
        <f t="shared" si="129"/>
        <v>65699.571713497397</v>
      </c>
      <c r="K273" s="17" t="s">
        <v>6</v>
      </c>
      <c r="L273" s="17">
        <v>540</v>
      </c>
      <c r="M273"/>
      <c r="N273" s="6">
        <f t="shared" si="137"/>
        <v>295.64807271073835</v>
      </c>
      <c r="O273" s="11">
        <f t="shared" si="130"/>
        <v>74.503314323106068</v>
      </c>
      <c r="P273" s="17">
        <f t="shared" si="131"/>
        <v>65774.075027820509</v>
      </c>
      <c r="R273" s="17">
        <f t="shared" si="132"/>
        <v>206.68716824800418</v>
      </c>
    </row>
    <row r="274" spans="1:18" s="9" customFormat="1" x14ac:dyDescent="0.35">
      <c r="A274" s="9" t="s">
        <v>277</v>
      </c>
      <c r="B274" s="9" t="s">
        <v>5</v>
      </c>
      <c r="C274" s="9">
        <v>541</v>
      </c>
      <c r="D274" s="18">
        <v>8.9999999999999993E-3</v>
      </c>
      <c r="E274" s="9">
        <f t="shared" si="133"/>
        <v>65774.075027820509</v>
      </c>
      <c r="F274" s="19">
        <f t="shared" ref="F274:F278" si="138">E274*0.9%</f>
        <v>591.9666752503847</v>
      </c>
      <c r="G274" s="9">
        <f t="shared" si="128"/>
        <v>149.17560216309695</v>
      </c>
      <c r="H274" s="9">
        <f t="shared" si="129"/>
        <v>65923.25062998361</v>
      </c>
      <c r="K274" s="9" t="s">
        <v>6</v>
      </c>
      <c r="L274" s="9">
        <v>542</v>
      </c>
      <c r="M274" s="7">
        <v>5.5000000000064797E-3</v>
      </c>
      <c r="N274" s="9">
        <f>H274*0.55%</f>
        <v>362.57787846490987</v>
      </c>
      <c r="O274" s="11">
        <f t="shared" si="130"/>
        <v>91.369625373157291</v>
      </c>
      <c r="P274" s="9">
        <f t="shared" si="131"/>
        <v>66014.620255356771</v>
      </c>
      <c r="R274" s="9">
        <f t="shared" si="132"/>
        <v>240.54522753625423</v>
      </c>
    </row>
    <row r="275" spans="1:18" x14ac:dyDescent="0.35">
      <c r="A275" t="s">
        <v>278</v>
      </c>
      <c r="B275" t="s">
        <v>5</v>
      </c>
      <c r="C275">
        <v>543</v>
      </c>
      <c r="E275">
        <f t="shared" si="133"/>
        <v>66014.620255356771</v>
      </c>
      <c r="F275" s="19">
        <f t="shared" si="138"/>
        <v>594.13158229821101</v>
      </c>
      <c r="G275" s="9">
        <f t="shared" si="128"/>
        <v>149.72115873914919</v>
      </c>
      <c r="H275">
        <f t="shared" si="129"/>
        <v>66164.341414095921</v>
      </c>
      <c r="K275" t="s">
        <v>6</v>
      </c>
      <c r="L275">
        <v>544</v>
      </c>
      <c r="N275" s="9">
        <f t="shared" ref="N275:N278" si="139">H275*0.55%</f>
        <v>363.90387777752761</v>
      </c>
      <c r="O275" s="11">
        <f t="shared" si="130"/>
        <v>91.703777199936965</v>
      </c>
      <c r="P275">
        <f t="shared" si="131"/>
        <v>66256.045191295852</v>
      </c>
      <c r="R275">
        <f t="shared" si="132"/>
        <v>241.42493593908614</v>
      </c>
    </row>
    <row r="276" spans="1:18" x14ac:dyDescent="0.35">
      <c r="A276" t="s">
        <v>279</v>
      </c>
      <c r="B276" t="s">
        <v>5</v>
      </c>
      <c r="C276">
        <v>545</v>
      </c>
      <c r="E276">
        <f t="shared" si="133"/>
        <v>66256.045191295852</v>
      </c>
      <c r="F276" s="19">
        <f t="shared" si="138"/>
        <v>596.30440672166276</v>
      </c>
      <c r="G276" s="9">
        <f t="shared" si="128"/>
        <v>150.268710493859</v>
      </c>
      <c r="H276">
        <f t="shared" si="129"/>
        <v>66406.313901789705</v>
      </c>
      <c r="K276" t="s">
        <v>6</v>
      </c>
      <c r="L276">
        <v>546</v>
      </c>
      <c r="N276" s="9">
        <f t="shared" si="139"/>
        <v>365.23472645984339</v>
      </c>
      <c r="O276" s="11">
        <f t="shared" si="130"/>
        <v>92.039151067880539</v>
      </c>
      <c r="P276">
        <f t="shared" si="131"/>
        <v>66498.353052857579</v>
      </c>
      <c r="Q276" t="s">
        <v>0</v>
      </c>
      <c r="R276">
        <f t="shared" si="132"/>
        <v>242.30786156173954</v>
      </c>
    </row>
    <row r="277" spans="1:18" x14ac:dyDescent="0.35">
      <c r="A277" t="s">
        <v>280</v>
      </c>
      <c r="B277" t="s">
        <v>5</v>
      </c>
      <c r="C277">
        <v>546</v>
      </c>
      <c r="E277">
        <f t="shared" si="133"/>
        <v>66498.353052857579</v>
      </c>
      <c r="F277" s="19">
        <f t="shared" si="138"/>
        <v>598.48517747571827</v>
      </c>
      <c r="G277" s="9">
        <f t="shared" si="128"/>
        <v>150.81826472388101</v>
      </c>
      <c r="H277">
        <f t="shared" si="129"/>
        <v>66649.171317581466</v>
      </c>
      <c r="K277" t="s">
        <v>6</v>
      </c>
      <c r="L277">
        <v>547</v>
      </c>
      <c r="N277" s="9">
        <f t="shared" si="139"/>
        <v>366.57044224669812</v>
      </c>
      <c r="O277" s="11">
        <f t="shared" si="130"/>
        <v>92.375751446167925</v>
      </c>
      <c r="P277">
        <f t="shared" si="131"/>
        <v>66741.547069027627</v>
      </c>
      <c r="Q277" t="s">
        <v>0</v>
      </c>
      <c r="R277">
        <f t="shared" si="132"/>
        <v>243.19401617004894</v>
      </c>
    </row>
    <row r="278" spans="1:18" x14ac:dyDescent="0.35">
      <c r="A278" t="s">
        <v>281</v>
      </c>
      <c r="B278" t="s">
        <v>5</v>
      </c>
      <c r="C278">
        <v>547</v>
      </c>
      <c r="E278">
        <f t="shared" si="133"/>
        <v>66741.547069027627</v>
      </c>
      <c r="F278" s="19">
        <f t="shared" si="138"/>
        <v>600.67392362124872</v>
      </c>
      <c r="G278" s="9">
        <f t="shared" si="128"/>
        <v>151.36982875255467</v>
      </c>
      <c r="H278">
        <f t="shared" si="129"/>
        <v>66892.916897780175</v>
      </c>
      <c r="K278" t="s">
        <v>6</v>
      </c>
      <c r="L278">
        <v>548</v>
      </c>
      <c r="N278" s="9">
        <f t="shared" si="139"/>
        <v>367.91104293779102</v>
      </c>
      <c r="O278" s="11">
        <f t="shared" si="130"/>
        <v>92.713582820323339</v>
      </c>
      <c r="P278">
        <f t="shared" si="131"/>
        <v>66985.630480600492</v>
      </c>
      <c r="Q278" t="s">
        <v>0</v>
      </c>
      <c r="R278">
        <f t="shared" si="132"/>
        <v>244.08341157287799</v>
      </c>
    </row>
    <row r="279" spans="1:18" s="6" customFormat="1" x14ac:dyDescent="0.35">
      <c r="A279" s="6" t="s">
        <v>282</v>
      </c>
      <c r="B279" s="6" t="s">
        <v>5</v>
      </c>
      <c r="C279" s="6">
        <v>548</v>
      </c>
      <c r="D279" s="7">
        <v>8.0000000000000002E-3</v>
      </c>
      <c r="E279" s="6">
        <f t="shared" si="133"/>
        <v>66985.630480600492</v>
      </c>
      <c r="F279" s="8">
        <f>E279*0.8%</f>
        <v>535.88504384480393</v>
      </c>
      <c r="G279" s="9">
        <f t="shared" si="128"/>
        <v>135.04303104889058</v>
      </c>
      <c r="H279" s="6">
        <f t="shared" si="129"/>
        <v>67120.67351164938</v>
      </c>
      <c r="K279" s="6" t="s">
        <v>6</v>
      </c>
      <c r="L279" s="6">
        <v>549</v>
      </c>
      <c r="M279" s="7">
        <v>4.5000000000086403E-3</v>
      </c>
      <c r="N279" s="6">
        <f>H279*0.45%</f>
        <v>302.04303080242227</v>
      </c>
      <c r="O279" s="11">
        <f t="shared" si="130"/>
        <v>76.114843762210413</v>
      </c>
      <c r="P279" s="6">
        <f t="shared" si="131"/>
        <v>67196.788355411583</v>
      </c>
      <c r="Q279" s="6" t="s">
        <v>0</v>
      </c>
      <c r="R279" s="6">
        <f t="shared" si="132"/>
        <v>211.15787481110101</v>
      </c>
    </row>
    <row r="280" spans="1:18" x14ac:dyDescent="0.35">
      <c r="A280" t="s">
        <v>283</v>
      </c>
      <c r="B280" t="s">
        <v>5</v>
      </c>
      <c r="C280">
        <v>549</v>
      </c>
      <c r="E280">
        <f t="shared" si="133"/>
        <v>67196.788355411583</v>
      </c>
      <c r="F280" s="8">
        <f t="shared" ref="F280:F283" si="140">E280*0.8%</f>
        <v>537.57430684329267</v>
      </c>
      <c r="G280" s="9">
        <f t="shared" si="128"/>
        <v>135.46872532450976</v>
      </c>
      <c r="H280">
        <f t="shared" si="129"/>
        <v>67332.25708073609</v>
      </c>
      <c r="K280" t="s">
        <v>6</v>
      </c>
      <c r="L280">
        <v>550</v>
      </c>
      <c r="N280" s="6">
        <f t="shared" ref="N280:N283" si="141">H280*0.45%</f>
        <v>302.99515686331245</v>
      </c>
      <c r="O280" s="11">
        <f t="shared" si="130"/>
        <v>76.354779529554733</v>
      </c>
      <c r="P280">
        <f t="shared" si="131"/>
        <v>67408.61186026565</v>
      </c>
      <c r="Q280" t="s">
        <v>0</v>
      </c>
      <c r="R280">
        <f t="shared" si="132"/>
        <v>211.82350485406448</v>
      </c>
    </row>
    <row r="281" spans="1:18" x14ac:dyDescent="0.35">
      <c r="A281" t="s">
        <v>284</v>
      </c>
      <c r="B281" t="s">
        <v>5</v>
      </c>
      <c r="C281">
        <v>550</v>
      </c>
      <c r="E281">
        <f t="shared" si="133"/>
        <v>67408.61186026565</v>
      </c>
      <c r="F281" s="8">
        <f t="shared" si="140"/>
        <v>539.26889488212521</v>
      </c>
      <c r="G281" s="9">
        <f t="shared" si="128"/>
        <v>135.89576151029556</v>
      </c>
      <c r="H281">
        <f t="shared" si="129"/>
        <v>67544.507621775949</v>
      </c>
      <c r="K281" t="s">
        <v>6</v>
      </c>
      <c r="L281">
        <v>551</v>
      </c>
      <c r="N281" s="6">
        <f t="shared" si="141"/>
        <v>303.9502842979918</v>
      </c>
      <c r="O281" s="11">
        <f t="shared" si="130"/>
        <v>76.59547164309393</v>
      </c>
      <c r="P281">
        <f t="shared" si="131"/>
        <v>67621.103093419049</v>
      </c>
      <c r="Q281" t="s">
        <v>0</v>
      </c>
      <c r="R281">
        <f t="shared" si="132"/>
        <v>212.49123315338949</v>
      </c>
    </row>
    <row r="282" spans="1:18" x14ac:dyDescent="0.35">
      <c r="A282" t="s">
        <v>285</v>
      </c>
      <c r="B282" t="s">
        <v>5</v>
      </c>
      <c r="C282">
        <v>551</v>
      </c>
      <c r="E282">
        <f t="shared" si="133"/>
        <v>67621.103093419049</v>
      </c>
      <c r="F282" s="8">
        <f t="shared" si="140"/>
        <v>540.96882474735241</v>
      </c>
      <c r="G282" s="9">
        <f t="shared" si="128"/>
        <v>136.32414383633281</v>
      </c>
      <c r="H282">
        <f t="shared" si="129"/>
        <v>67757.427237255382</v>
      </c>
      <c r="K282" t="s">
        <v>6</v>
      </c>
      <c r="L282">
        <v>552</v>
      </c>
      <c r="N282" s="6">
        <f t="shared" si="141"/>
        <v>304.90842256764927</v>
      </c>
      <c r="O282" s="11">
        <f t="shared" si="130"/>
        <v>76.836922487047616</v>
      </c>
      <c r="P282">
        <f t="shared" si="131"/>
        <v>67834.264159742437</v>
      </c>
      <c r="Q282" t="s">
        <v>0</v>
      </c>
      <c r="R282">
        <f t="shared" si="132"/>
        <v>213.16106632338042</v>
      </c>
    </row>
    <row r="283" spans="1:18" x14ac:dyDescent="0.35">
      <c r="A283" t="s">
        <v>286</v>
      </c>
      <c r="B283" t="s">
        <v>5</v>
      </c>
      <c r="C283">
        <v>552</v>
      </c>
      <c r="E283">
        <f t="shared" si="133"/>
        <v>67834.264159742437</v>
      </c>
      <c r="F283" s="8">
        <f t="shared" si="140"/>
        <v>542.67411327793945</v>
      </c>
      <c r="G283" s="9">
        <f t="shared" si="128"/>
        <v>136.75387654604074</v>
      </c>
      <c r="H283">
        <f t="shared" si="129"/>
        <v>67971.018036288471</v>
      </c>
      <c r="K283" t="s">
        <v>6</v>
      </c>
      <c r="L283">
        <v>553</v>
      </c>
      <c r="N283" s="6">
        <f t="shared" si="141"/>
        <v>305.86958116329816</v>
      </c>
      <c r="O283" s="11">
        <f t="shared" si="130"/>
        <v>77.079134453151141</v>
      </c>
      <c r="P283">
        <f t="shared" si="131"/>
        <v>68048.097170741617</v>
      </c>
      <c r="Q283" t="s">
        <v>0</v>
      </c>
      <c r="R283">
        <f t="shared" si="132"/>
        <v>213.83301099919188</v>
      </c>
    </row>
    <row r="284" spans="1:18" s="6" customFormat="1" x14ac:dyDescent="0.35">
      <c r="A284" s="6" t="s">
        <v>287</v>
      </c>
      <c r="B284" s="6" t="s">
        <v>5</v>
      </c>
      <c r="C284" s="6">
        <v>553</v>
      </c>
      <c r="D284" s="7">
        <v>7.0000000000000001E-3</v>
      </c>
      <c r="E284" s="6">
        <f t="shared" si="133"/>
        <v>68048.097170741617</v>
      </c>
      <c r="F284" s="8">
        <f>E284*0.7%</f>
        <v>476.33668019519126</v>
      </c>
      <c r="G284" s="9">
        <f t="shared" si="128"/>
        <v>120.03684340918819</v>
      </c>
      <c r="H284" s="6">
        <f t="shared" si="129"/>
        <v>68168.134014150812</v>
      </c>
      <c r="K284" s="6" t="s">
        <v>6</v>
      </c>
      <c r="L284" s="6">
        <v>554</v>
      </c>
      <c r="M284" s="7">
        <v>3.5000000000108E-3</v>
      </c>
      <c r="N284" s="6">
        <f>H284*0.35%</f>
        <v>238.58846904952782</v>
      </c>
      <c r="O284" s="11">
        <f t="shared" si="130"/>
        <v>60.12429420048101</v>
      </c>
      <c r="P284" s="6">
        <f t="shared" si="131"/>
        <v>68228.258308351287</v>
      </c>
      <c r="Q284" s="6" t="s">
        <v>0</v>
      </c>
      <c r="R284" s="6">
        <f t="shared" si="132"/>
        <v>180.1611376096692</v>
      </c>
    </row>
    <row r="285" spans="1:18" x14ac:dyDescent="0.35">
      <c r="A285" t="s">
        <v>288</v>
      </c>
      <c r="B285" t="s">
        <v>5</v>
      </c>
      <c r="C285">
        <v>554</v>
      </c>
      <c r="E285">
        <f t="shared" si="133"/>
        <v>68228.258308351287</v>
      </c>
      <c r="F285" s="8">
        <f t="shared" ref="F285:F288" si="142">E285*0.7%</f>
        <v>477.59780815845897</v>
      </c>
      <c r="G285" s="9">
        <f t="shared" si="128"/>
        <v>120.35464765593166</v>
      </c>
      <c r="H285">
        <f t="shared" si="129"/>
        <v>68348.612956007215</v>
      </c>
      <c r="K285" t="s">
        <v>6</v>
      </c>
      <c r="L285">
        <v>555</v>
      </c>
      <c r="N285" s="6">
        <f t="shared" ref="N285:N288" si="143">H285*0.35%</f>
        <v>239.22014534602522</v>
      </c>
      <c r="O285" s="11">
        <f t="shared" si="130"/>
        <v>60.283476627198354</v>
      </c>
      <c r="P285">
        <f t="shared" si="131"/>
        <v>68408.896432634414</v>
      </c>
      <c r="Q285" t="s">
        <v>0</v>
      </c>
      <c r="R285">
        <f t="shared" si="132"/>
        <v>180.63812428313003</v>
      </c>
    </row>
    <row r="286" spans="1:18" x14ac:dyDescent="0.35">
      <c r="A286" t="s">
        <v>289</v>
      </c>
      <c r="B286" t="s">
        <v>5</v>
      </c>
      <c r="C286">
        <v>555</v>
      </c>
      <c r="E286">
        <f t="shared" si="133"/>
        <v>68408.896432634414</v>
      </c>
      <c r="F286" s="8">
        <f t="shared" si="142"/>
        <v>478.86227502844082</v>
      </c>
      <c r="G286" s="9">
        <f t="shared" si="128"/>
        <v>120.67329330716709</v>
      </c>
      <c r="H286">
        <f t="shared" si="129"/>
        <v>68529.569725941576</v>
      </c>
      <c r="K286" t="s">
        <v>6</v>
      </c>
      <c r="L286">
        <v>556</v>
      </c>
      <c r="N286" s="6">
        <f t="shared" si="143"/>
        <v>239.85349404079548</v>
      </c>
      <c r="O286" s="11">
        <f t="shared" si="130"/>
        <v>60.443080498280459</v>
      </c>
      <c r="P286">
        <f t="shared" si="131"/>
        <v>68590.01280643986</v>
      </c>
      <c r="Q286" t="s">
        <v>0</v>
      </c>
      <c r="R286">
        <f t="shared" si="132"/>
        <v>181.11637380544755</v>
      </c>
    </row>
    <row r="287" spans="1:18" x14ac:dyDescent="0.35">
      <c r="A287" t="s">
        <v>290</v>
      </c>
      <c r="B287" t="s">
        <v>5</v>
      </c>
      <c r="C287">
        <v>556</v>
      </c>
      <c r="E287">
        <f t="shared" si="133"/>
        <v>68590.01280643986</v>
      </c>
      <c r="F287" s="8">
        <f t="shared" si="142"/>
        <v>480.13008964507895</v>
      </c>
      <c r="G287" s="9">
        <f t="shared" si="128"/>
        <v>120.9927825905599</v>
      </c>
      <c r="H287">
        <f t="shared" si="129"/>
        <v>68711.005589030421</v>
      </c>
      <c r="K287" t="s">
        <v>6</v>
      </c>
      <c r="L287">
        <v>557</v>
      </c>
      <c r="N287" s="6">
        <f t="shared" si="143"/>
        <v>240.48851956160644</v>
      </c>
      <c r="O287" s="11">
        <f t="shared" si="130"/>
        <v>60.60310692952482</v>
      </c>
      <c r="P287">
        <f t="shared" si="131"/>
        <v>68771.608695959949</v>
      </c>
      <c r="Q287" t="s">
        <v>0</v>
      </c>
      <c r="R287">
        <f t="shared" si="132"/>
        <v>181.59588952008471</v>
      </c>
    </row>
    <row r="288" spans="1:18" x14ac:dyDescent="0.35">
      <c r="A288" t="s">
        <v>291</v>
      </c>
      <c r="B288" t="s">
        <v>5</v>
      </c>
      <c r="C288">
        <v>557</v>
      </c>
      <c r="E288">
        <f t="shared" si="133"/>
        <v>68771.608695959949</v>
      </c>
      <c r="F288" s="8">
        <f t="shared" si="142"/>
        <v>481.40126087171961</v>
      </c>
      <c r="G288" s="9">
        <f t="shared" si="128"/>
        <v>121.31311773967334</v>
      </c>
      <c r="H288">
        <f t="shared" si="129"/>
        <v>68892.921813699621</v>
      </c>
      <c r="K288" t="s">
        <v>6</v>
      </c>
      <c r="L288">
        <v>558</v>
      </c>
      <c r="N288" s="6">
        <f t="shared" si="143"/>
        <v>241.12522634794865</v>
      </c>
      <c r="O288" s="11">
        <f t="shared" si="130"/>
        <v>60.763557039683064</v>
      </c>
      <c r="P288">
        <f t="shared" si="131"/>
        <v>68953.685370739302</v>
      </c>
      <c r="Q288" t="s">
        <v>0</v>
      </c>
      <c r="R288">
        <f t="shared" si="132"/>
        <v>182.07667477935641</v>
      </c>
    </row>
    <row r="289" spans="1:18" s="6" customFormat="1" x14ac:dyDescent="0.35">
      <c r="A289" s="6" t="s">
        <v>292</v>
      </c>
      <c r="B289" s="6" t="s">
        <v>5</v>
      </c>
      <c r="C289" s="6">
        <v>558</v>
      </c>
      <c r="D289" s="7">
        <v>6.0000000000000001E-3</v>
      </c>
      <c r="E289" s="6">
        <f t="shared" si="133"/>
        <v>68953.685370739302</v>
      </c>
      <c r="F289" s="8">
        <f>E289*0.6%</f>
        <v>413.72211222443582</v>
      </c>
      <c r="G289" s="9">
        <f t="shared" si="128"/>
        <v>104.25797228055782</v>
      </c>
      <c r="H289" s="6">
        <f t="shared" si="129"/>
        <v>69057.943343019855</v>
      </c>
      <c r="K289" s="6" t="s">
        <v>12</v>
      </c>
      <c r="L289" s="6">
        <v>559</v>
      </c>
      <c r="M289" s="7">
        <v>7.0000000000000001E-3</v>
      </c>
      <c r="N289" s="6">
        <f>H289*0.7%</f>
        <v>483.40560340113893</v>
      </c>
      <c r="O289" s="11">
        <f t="shared" si="130"/>
        <v>121.81821205708701</v>
      </c>
      <c r="P289" s="6">
        <f t="shared" si="131"/>
        <v>69179.761555076941</v>
      </c>
      <c r="Q289" s="6" t="s">
        <v>0</v>
      </c>
      <c r="R289" s="6">
        <f t="shared" si="132"/>
        <v>226.07618433764483</v>
      </c>
    </row>
    <row r="290" spans="1:18" x14ac:dyDescent="0.35">
      <c r="A290" t="s">
        <v>293</v>
      </c>
      <c r="B290" t="s">
        <v>5</v>
      </c>
      <c r="C290">
        <v>559</v>
      </c>
      <c r="E290">
        <f t="shared" si="133"/>
        <v>69179.761555076941</v>
      </c>
      <c r="F290" s="8">
        <f t="shared" ref="F290:F293" si="144">E290*0.6%</f>
        <v>415.07856933046168</v>
      </c>
      <c r="G290" s="9">
        <f t="shared" si="128"/>
        <v>104.59979947127634</v>
      </c>
      <c r="H290">
        <f t="shared" si="129"/>
        <v>69284.361354548222</v>
      </c>
      <c r="K290" t="s">
        <v>12</v>
      </c>
      <c r="L290">
        <v>560</v>
      </c>
      <c r="N290" s="6">
        <f t="shared" ref="N290:N293" si="145">H290*0.7%</f>
        <v>484.99052948183748</v>
      </c>
      <c r="O290" s="11">
        <f t="shared" si="130"/>
        <v>122.21761342942305</v>
      </c>
      <c r="P290">
        <f t="shared" si="131"/>
        <v>69406.57896797765</v>
      </c>
      <c r="Q290" t="s">
        <v>0</v>
      </c>
      <c r="R290">
        <f t="shared" si="132"/>
        <v>226.8174129006994</v>
      </c>
    </row>
    <row r="291" spans="1:18" x14ac:dyDescent="0.35">
      <c r="A291" t="s">
        <v>294</v>
      </c>
      <c r="B291" t="s">
        <v>5</v>
      </c>
      <c r="C291">
        <v>560</v>
      </c>
      <c r="E291">
        <f t="shared" si="133"/>
        <v>69406.57896797765</v>
      </c>
      <c r="F291" s="8">
        <f t="shared" si="144"/>
        <v>416.43947380786591</v>
      </c>
      <c r="G291" s="9">
        <f t="shared" si="128"/>
        <v>104.9427473995822</v>
      </c>
      <c r="H291">
        <f t="shared" si="129"/>
        <v>69511.521715377239</v>
      </c>
      <c r="K291" t="s">
        <v>12</v>
      </c>
      <c r="L291">
        <v>561</v>
      </c>
      <c r="N291" s="6">
        <f t="shared" si="145"/>
        <v>486.58065200764065</v>
      </c>
      <c r="O291" s="11">
        <f t="shared" si="130"/>
        <v>122.61832430592544</v>
      </c>
      <c r="P291">
        <f t="shared" si="131"/>
        <v>69634.14003968316</v>
      </c>
      <c r="Q291" t="s">
        <v>0</v>
      </c>
      <c r="R291">
        <f t="shared" si="132"/>
        <v>227.56107170550763</v>
      </c>
    </row>
    <row r="292" spans="1:18" x14ac:dyDescent="0.35">
      <c r="A292" t="s">
        <v>295</v>
      </c>
      <c r="B292" t="s">
        <v>5</v>
      </c>
      <c r="C292">
        <v>561</v>
      </c>
      <c r="E292">
        <f t="shared" si="133"/>
        <v>69634.14003968316</v>
      </c>
      <c r="F292" s="8">
        <f t="shared" si="144"/>
        <v>417.80484023809896</v>
      </c>
      <c r="G292" s="9">
        <f t="shared" si="128"/>
        <v>105.28681974000094</v>
      </c>
      <c r="H292">
        <f t="shared" si="129"/>
        <v>69739.426859423154</v>
      </c>
      <c r="K292" t="s">
        <v>12</v>
      </c>
      <c r="L292">
        <v>562</v>
      </c>
      <c r="N292" s="6">
        <f t="shared" si="145"/>
        <v>488.17598801596205</v>
      </c>
      <c r="O292" s="11">
        <f t="shared" si="130"/>
        <v>123.02034898002243</v>
      </c>
      <c r="P292">
        <f t="shared" si="131"/>
        <v>69862.447208403173</v>
      </c>
      <c r="Q292" t="s">
        <v>0</v>
      </c>
      <c r="R292">
        <f t="shared" si="132"/>
        <v>228.30716872002336</v>
      </c>
    </row>
    <row r="293" spans="1:18" x14ac:dyDescent="0.35">
      <c r="A293" t="s">
        <v>296</v>
      </c>
      <c r="B293" t="s">
        <v>5</v>
      </c>
      <c r="C293">
        <v>562</v>
      </c>
      <c r="E293">
        <f t="shared" si="133"/>
        <v>69862.447208403173</v>
      </c>
      <c r="F293" s="8">
        <f t="shared" si="144"/>
        <v>419.17468325041904</v>
      </c>
      <c r="G293" s="9">
        <f t="shared" si="128"/>
        <v>105.6320201791056</v>
      </c>
      <c r="H293">
        <f t="shared" si="129"/>
        <v>69968.079228582283</v>
      </c>
      <c r="K293" t="s">
        <v>12</v>
      </c>
      <c r="L293">
        <v>563</v>
      </c>
      <c r="N293" s="6">
        <f t="shared" si="145"/>
        <v>489.77655460007594</v>
      </c>
      <c r="O293" s="11">
        <f t="shared" si="130"/>
        <v>123.42369175921914</v>
      </c>
      <c r="P293">
        <f t="shared" si="131"/>
        <v>70091.502920341503</v>
      </c>
      <c r="Q293" t="s">
        <v>0</v>
      </c>
      <c r="R293">
        <f t="shared" si="132"/>
        <v>229.05571193832475</v>
      </c>
    </row>
    <row r="294" spans="1:18" s="6" customFormat="1" x14ac:dyDescent="0.35">
      <c r="A294" s="6" t="s">
        <v>297</v>
      </c>
      <c r="B294" s="6" t="s">
        <v>6</v>
      </c>
      <c r="C294" s="6">
        <v>563</v>
      </c>
      <c r="D294" s="7">
        <v>5.4999999999999997E-3</v>
      </c>
      <c r="E294" s="6">
        <f t="shared" si="133"/>
        <v>70091.502920341503</v>
      </c>
      <c r="F294" s="8">
        <f t="shared" ref="F294" si="146">E294*0.9%</f>
        <v>630.82352628307365</v>
      </c>
      <c r="G294" s="9">
        <f t="shared" si="128"/>
        <v>158.96752862333457</v>
      </c>
      <c r="H294" s="6">
        <f t="shared" si="129"/>
        <v>70250.470448964843</v>
      </c>
      <c r="K294" s="6" t="s">
        <v>12</v>
      </c>
      <c r="L294" s="6">
        <v>564</v>
      </c>
      <c r="M294" s="7">
        <v>6.0000000000000001E-3</v>
      </c>
      <c r="N294" s="6">
        <f t="shared" ref="N294" si="147">H294*1%</f>
        <v>702.50470448964847</v>
      </c>
      <c r="O294" s="11">
        <f t="shared" si="130"/>
        <v>177.03118553139143</v>
      </c>
      <c r="P294" s="6">
        <f t="shared" si="131"/>
        <v>70427.501634496235</v>
      </c>
      <c r="Q294" s="6" t="s">
        <v>0</v>
      </c>
      <c r="R294" s="6">
        <f t="shared" si="132"/>
        <v>335.99871415472603</v>
      </c>
    </row>
    <row r="295" spans="1:18" x14ac:dyDescent="0.35">
      <c r="A295" t="s">
        <v>298</v>
      </c>
    </row>
    <row r="296" spans="1:18" x14ac:dyDescent="0.35">
      <c r="A296" t="s">
        <v>299</v>
      </c>
    </row>
    <row r="297" spans="1:18" x14ac:dyDescent="0.35">
      <c r="A297" t="s">
        <v>300</v>
      </c>
    </row>
    <row r="298" spans="1:18" x14ac:dyDescent="0.35">
      <c r="A298" t="s">
        <v>301</v>
      </c>
    </row>
    <row r="299" spans="1:18" x14ac:dyDescent="0.35">
      <c r="A299" t="s">
        <v>302</v>
      </c>
    </row>
    <row r="300" spans="1:18" x14ac:dyDescent="0.35">
      <c r="A300" t="s">
        <v>303</v>
      </c>
    </row>
    <row r="301" spans="1:18" x14ac:dyDescent="0.35">
      <c r="A301" t="s">
        <v>304</v>
      </c>
    </row>
    <row r="302" spans="1:18" x14ac:dyDescent="0.35">
      <c r="A302" t="s">
        <v>305</v>
      </c>
    </row>
    <row r="303" spans="1:18" x14ac:dyDescent="0.35">
      <c r="A303" s="20" t="s">
        <v>306</v>
      </c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</row>
    <row r="304" spans="1:18" x14ac:dyDescent="0.35">
      <c r="A304" t="s">
        <v>307</v>
      </c>
    </row>
    <row r="305" spans="1:1" x14ac:dyDescent="0.35">
      <c r="A305" t="s">
        <v>308</v>
      </c>
    </row>
    <row r="306" spans="1:1" x14ac:dyDescent="0.35">
      <c r="A306" t="s">
        <v>309</v>
      </c>
    </row>
    <row r="307" spans="1:1" x14ac:dyDescent="0.35">
      <c r="A307" t="s">
        <v>310</v>
      </c>
    </row>
    <row r="308" spans="1:1" x14ac:dyDescent="0.35">
      <c r="A308" t="s">
        <v>311</v>
      </c>
    </row>
    <row r="309" spans="1:1" x14ac:dyDescent="0.35">
      <c r="A309" t="s">
        <v>312</v>
      </c>
    </row>
    <row r="310" spans="1:1" x14ac:dyDescent="0.35">
      <c r="A310" t="s">
        <v>313</v>
      </c>
    </row>
    <row r="311" spans="1:1" x14ac:dyDescent="0.35">
      <c r="A311" t="s">
        <v>314</v>
      </c>
    </row>
    <row r="312" spans="1:1" x14ac:dyDescent="0.35">
      <c r="A312" t="s">
        <v>315</v>
      </c>
    </row>
    <row r="313" spans="1:1" x14ac:dyDescent="0.35">
      <c r="A313" t="s">
        <v>316</v>
      </c>
    </row>
    <row r="314" spans="1:1" x14ac:dyDescent="0.35">
      <c r="A314" t="s">
        <v>317</v>
      </c>
    </row>
    <row r="315" spans="1:1" x14ac:dyDescent="0.35">
      <c r="A315" t="s">
        <v>318</v>
      </c>
    </row>
    <row r="316" spans="1:1" x14ac:dyDescent="0.35">
      <c r="A316" t="s">
        <v>319</v>
      </c>
    </row>
    <row r="317" spans="1:1" x14ac:dyDescent="0.35">
      <c r="A317" t="s">
        <v>320</v>
      </c>
    </row>
    <row r="318" spans="1:1" x14ac:dyDescent="0.35">
      <c r="A318" t="s">
        <v>321</v>
      </c>
    </row>
    <row r="319" spans="1:1" x14ac:dyDescent="0.35">
      <c r="A319" t="s">
        <v>322</v>
      </c>
    </row>
    <row r="320" spans="1:1" x14ac:dyDescent="0.35">
      <c r="A320" t="s">
        <v>323</v>
      </c>
    </row>
    <row r="321" spans="1:18" x14ac:dyDescent="0.35">
      <c r="A321" t="s">
        <v>324</v>
      </c>
    </row>
    <row r="322" spans="1:18" x14ac:dyDescent="0.35">
      <c r="A322" t="s">
        <v>325</v>
      </c>
    </row>
    <row r="323" spans="1:18" x14ac:dyDescent="0.35">
      <c r="A323" t="s">
        <v>326</v>
      </c>
    </row>
    <row r="324" spans="1:18" x14ac:dyDescent="0.35">
      <c r="A324" t="s">
        <v>327</v>
      </c>
    </row>
    <row r="325" spans="1:18" x14ac:dyDescent="0.35">
      <c r="A325" t="s">
        <v>328</v>
      </c>
    </row>
    <row r="326" spans="1:18" x14ac:dyDescent="0.35">
      <c r="A326" t="s">
        <v>329</v>
      </c>
    </row>
    <row r="327" spans="1:18" x14ac:dyDescent="0.35">
      <c r="A327" t="s">
        <v>330</v>
      </c>
    </row>
    <row r="328" spans="1:18" x14ac:dyDescent="0.35">
      <c r="A328" t="s">
        <v>331</v>
      </c>
    </row>
    <row r="329" spans="1:18" x14ac:dyDescent="0.35">
      <c r="A329" t="s">
        <v>332</v>
      </c>
    </row>
    <row r="330" spans="1:18" x14ac:dyDescent="0.35">
      <c r="A330" t="s">
        <v>333</v>
      </c>
    </row>
    <row r="331" spans="1:18" x14ac:dyDescent="0.35">
      <c r="A331" t="s">
        <v>334</v>
      </c>
    </row>
    <row r="332" spans="1:18" x14ac:dyDescent="0.35">
      <c r="A332" t="s">
        <v>335</v>
      </c>
    </row>
    <row r="333" spans="1:18" x14ac:dyDescent="0.35">
      <c r="A333" s="20" t="s">
        <v>336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</row>
    <row r="334" spans="1:18" x14ac:dyDescent="0.35">
      <c r="A334" t="s">
        <v>337</v>
      </c>
    </row>
    <row r="335" spans="1:18" x14ac:dyDescent="0.35">
      <c r="A335" t="s">
        <v>338</v>
      </c>
    </row>
    <row r="336" spans="1:18" x14ac:dyDescent="0.35">
      <c r="A336" t="s">
        <v>339</v>
      </c>
    </row>
    <row r="337" spans="1:1" x14ac:dyDescent="0.35">
      <c r="A337" t="s">
        <v>340</v>
      </c>
    </row>
    <row r="338" spans="1:1" x14ac:dyDescent="0.35">
      <c r="A338" t="s">
        <v>341</v>
      </c>
    </row>
    <row r="339" spans="1:1" x14ac:dyDescent="0.35">
      <c r="A339" t="s">
        <v>342</v>
      </c>
    </row>
    <row r="340" spans="1:1" x14ac:dyDescent="0.35">
      <c r="A340" t="s">
        <v>343</v>
      </c>
    </row>
    <row r="341" spans="1:1" x14ac:dyDescent="0.35">
      <c r="A341" t="s">
        <v>344</v>
      </c>
    </row>
    <row r="342" spans="1:1" x14ac:dyDescent="0.35">
      <c r="A342" t="s">
        <v>345</v>
      </c>
    </row>
    <row r="343" spans="1:1" x14ac:dyDescent="0.35">
      <c r="A343" t="s">
        <v>346</v>
      </c>
    </row>
    <row r="344" spans="1:1" x14ac:dyDescent="0.35">
      <c r="A344" t="s">
        <v>347</v>
      </c>
    </row>
    <row r="345" spans="1:1" x14ac:dyDescent="0.35">
      <c r="A345" t="s">
        <v>348</v>
      </c>
    </row>
    <row r="346" spans="1:1" x14ac:dyDescent="0.35">
      <c r="A346" t="s">
        <v>349</v>
      </c>
    </row>
    <row r="347" spans="1:1" x14ac:dyDescent="0.35">
      <c r="A347" t="s">
        <v>350</v>
      </c>
    </row>
    <row r="348" spans="1:1" x14ac:dyDescent="0.35">
      <c r="A348" t="s">
        <v>351</v>
      </c>
    </row>
    <row r="349" spans="1:1" x14ac:dyDescent="0.35">
      <c r="A349" t="s">
        <v>352</v>
      </c>
    </row>
    <row r="350" spans="1:1" x14ac:dyDescent="0.35">
      <c r="A350" t="s">
        <v>353</v>
      </c>
    </row>
    <row r="351" spans="1:1" x14ac:dyDescent="0.35">
      <c r="A351" t="s">
        <v>354</v>
      </c>
    </row>
    <row r="352" spans="1:1" x14ac:dyDescent="0.35">
      <c r="A352" t="s">
        <v>355</v>
      </c>
    </row>
    <row r="353" spans="1:18" x14ac:dyDescent="0.35">
      <c r="A353" t="s">
        <v>356</v>
      </c>
    </row>
    <row r="354" spans="1:18" x14ac:dyDescent="0.35">
      <c r="A354" t="s">
        <v>357</v>
      </c>
    </row>
    <row r="355" spans="1:18" x14ac:dyDescent="0.35">
      <c r="A355" t="s">
        <v>358</v>
      </c>
    </row>
    <row r="356" spans="1:18" x14ac:dyDescent="0.35">
      <c r="A356" t="s">
        <v>359</v>
      </c>
    </row>
    <row r="357" spans="1:18" x14ac:dyDescent="0.35">
      <c r="A357" t="s">
        <v>360</v>
      </c>
    </row>
    <row r="358" spans="1:18" x14ac:dyDescent="0.35">
      <c r="A358" t="s">
        <v>361</v>
      </c>
    </row>
    <row r="359" spans="1:18" x14ac:dyDescent="0.35">
      <c r="A359" t="s">
        <v>362</v>
      </c>
    </row>
    <row r="360" spans="1:18" x14ac:dyDescent="0.35">
      <c r="A360" t="s">
        <v>363</v>
      </c>
    </row>
    <row r="361" spans="1:18" x14ac:dyDescent="0.35">
      <c r="A361" t="s">
        <v>364</v>
      </c>
    </row>
    <row r="362" spans="1:18" x14ac:dyDescent="0.35">
      <c r="A362" t="s">
        <v>365</v>
      </c>
    </row>
    <row r="363" spans="1:18" x14ac:dyDescent="0.35">
      <c r="A363" s="20" t="s">
        <v>366</v>
      </c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</row>
    <row r="364" spans="1:18" x14ac:dyDescent="0.35">
      <c r="A364" t="s">
        <v>367</v>
      </c>
    </row>
    <row r="365" spans="1:18" x14ac:dyDescent="0.35">
      <c r="A365" t="s">
        <v>368</v>
      </c>
    </row>
    <row r="366" spans="1:18" x14ac:dyDescent="0.35">
      <c r="A366" t="s">
        <v>369</v>
      </c>
    </row>
    <row r="367" spans="1:18" x14ac:dyDescent="0.35">
      <c r="A367" t="s">
        <v>370</v>
      </c>
    </row>
    <row r="368" spans="1:18" x14ac:dyDescent="0.35">
      <c r="A368" t="s">
        <v>371</v>
      </c>
    </row>
    <row r="369" spans="1:1" x14ac:dyDescent="0.35">
      <c r="A369" t="s">
        <v>372</v>
      </c>
    </row>
    <row r="370" spans="1:1" x14ac:dyDescent="0.35">
      <c r="A370" t="s">
        <v>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70"/>
  <sheetViews>
    <sheetView workbookViewId="0">
      <selection activeCell="A2" sqref="A2:XFD3"/>
    </sheetView>
  </sheetViews>
  <sheetFormatPr defaultRowHeight="14.5" x14ac:dyDescent="0.35"/>
  <cols>
    <col min="18" max="18" width="13.7265625" bestFit="1" customWidth="1"/>
  </cols>
  <sheetData>
    <row r="2" spans="1:18" x14ac:dyDescent="0.35">
      <c r="B2" t="s">
        <v>2379</v>
      </c>
      <c r="D2" s="1"/>
      <c r="E2" s="1" t="s">
        <v>2</v>
      </c>
      <c r="F2" s="1" t="s">
        <v>2376</v>
      </c>
      <c r="G2" s="2" t="s">
        <v>2377</v>
      </c>
      <c r="H2" s="1" t="s">
        <v>2378</v>
      </c>
      <c r="I2" s="1"/>
      <c r="J2" s="1"/>
      <c r="K2" s="1" t="s">
        <v>2381</v>
      </c>
      <c r="L2" s="1"/>
      <c r="M2" s="1"/>
      <c r="N2" s="1" t="s">
        <v>2376</v>
      </c>
      <c r="O2" s="2" t="s">
        <v>2377</v>
      </c>
      <c r="P2" s="1" t="s">
        <v>2378</v>
      </c>
      <c r="Q2" s="1"/>
      <c r="R2" s="1"/>
    </row>
    <row r="3" spans="1:18" x14ac:dyDescent="0.35">
      <c r="B3" t="s">
        <v>2380</v>
      </c>
      <c r="C3" s="3" t="s">
        <v>1</v>
      </c>
      <c r="E3" t="s">
        <v>0</v>
      </c>
      <c r="F3" s="4" t="s">
        <v>0</v>
      </c>
      <c r="G3" s="5">
        <v>0.25119999999999998</v>
      </c>
      <c r="K3" t="s">
        <v>2380</v>
      </c>
      <c r="L3" s="3" t="s">
        <v>1</v>
      </c>
      <c r="N3" s="4" t="s">
        <v>0</v>
      </c>
      <c r="O3" s="4">
        <v>0.25059999999999999</v>
      </c>
      <c r="R3" t="s">
        <v>3</v>
      </c>
    </row>
    <row r="4" spans="1:18" s="6" customFormat="1" x14ac:dyDescent="0.35">
      <c r="A4" s="6" t="s">
        <v>4</v>
      </c>
      <c r="B4" s="6" t="s">
        <v>5</v>
      </c>
      <c r="C4" s="6">
        <v>1</v>
      </c>
      <c r="D4" s="7">
        <v>1.5E-3</v>
      </c>
      <c r="E4" s="6">
        <v>44000</v>
      </c>
      <c r="F4" s="8">
        <f>E4*0.15%</f>
        <v>66</v>
      </c>
      <c r="G4" s="9">
        <f>F4*25.2%</f>
        <v>16.632000000000001</v>
      </c>
      <c r="H4" s="6">
        <f>G4+E4</f>
        <v>44016.631999999998</v>
      </c>
      <c r="I4" s="10">
        <v>0.27</v>
      </c>
      <c r="J4" s="10"/>
      <c r="K4" s="10" t="s">
        <v>6</v>
      </c>
      <c r="L4" s="6">
        <v>2</v>
      </c>
      <c r="M4" s="7">
        <v>1E-3</v>
      </c>
      <c r="N4" s="6">
        <f>H4*0.1%</f>
        <v>44.016632000000001</v>
      </c>
      <c r="O4" s="11">
        <f>N4*25.2%</f>
        <v>11.092191264</v>
      </c>
      <c r="P4" s="6">
        <f>O4+H4</f>
        <v>44027.724191263995</v>
      </c>
      <c r="Q4" s="12">
        <v>0.35</v>
      </c>
      <c r="R4" s="6">
        <f>O4+G4</f>
        <v>27.724191264000002</v>
      </c>
    </row>
    <row r="5" spans="1:18" x14ac:dyDescent="0.35">
      <c r="A5" t="s">
        <v>7</v>
      </c>
      <c r="B5" t="s">
        <v>5</v>
      </c>
      <c r="C5">
        <v>3</v>
      </c>
      <c r="E5">
        <f>P4</f>
        <v>44027.724191263995</v>
      </c>
      <c r="F5" s="8">
        <f t="shared" ref="F5:F8" si="0">E5*0.15%</f>
        <v>66.041586286895992</v>
      </c>
      <c r="G5" s="9">
        <f t="shared" ref="G5:G68" si="1">F5*25.2%</f>
        <v>16.642479744297791</v>
      </c>
      <c r="H5">
        <f t="shared" ref="H5:H68" si="2">G5+E5</f>
        <v>44044.366671008291</v>
      </c>
      <c r="K5" t="s">
        <v>6</v>
      </c>
      <c r="L5">
        <v>4</v>
      </c>
      <c r="N5" s="6">
        <f t="shared" ref="N5:N8" si="3">H5*0.1%</f>
        <v>44.044366671008291</v>
      </c>
      <c r="O5" s="11">
        <f t="shared" ref="O5:O68" si="4">N5*25.2%</f>
        <v>11.09918040109409</v>
      </c>
      <c r="P5">
        <f t="shared" ref="P5:P68" si="5">O5+H5</f>
        <v>44055.465851409383</v>
      </c>
      <c r="R5">
        <f t="shared" ref="R5:R68" si="6">O5+G5</f>
        <v>27.741660145391883</v>
      </c>
    </row>
    <row r="6" spans="1:18" x14ac:dyDescent="0.35">
      <c r="A6" t="s">
        <v>8</v>
      </c>
      <c r="B6" t="s">
        <v>5</v>
      </c>
      <c r="C6">
        <v>5</v>
      </c>
      <c r="E6">
        <f t="shared" ref="E6:E69" si="7">P5</f>
        <v>44055.465851409383</v>
      </c>
      <c r="F6" s="8">
        <f t="shared" si="0"/>
        <v>66.083198777114077</v>
      </c>
      <c r="G6" s="9">
        <f t="shared" si="1"/>
        <v>16.652966091832749</v>
      </c>
      <c r="H6">
        <f t="shared" si="2"/>
        <v>44072.118817501214</v>
      </c>
      <c r="K6" t="s">
        <v>6</v>
      </c>
      <c r="L6">
        <v>6</v>
      </c>
      <c r="N6" s="6">
        <f t="shared" si="3"/>
        <v>44.072118817501213</v>
      </c>
      <c r="O6" s="11">
        <f t="shared" si="4"/>
        <v>11.106173942010306</v>
      </c>
      <c r="P6">
        <f t="shared" si="5"/>
        <v>44083.224991443225</v>
      </c>
      <c r="R6">
        <f t="shared" si="6"/>
        <v>27.759140033843053</v>
      </c>
    </row>
    <row r="7" spans="1:18" x14ac:dyDescent="0.35">
      <c r="A7" t="s">
        <v>9</v>
      </c>
      <c r="B7" t="s">
        <v>5</v>
      </c>
      <c r="C7">
        <v>7</v>
      </c>
      <c r="E7">
        <f t="shared" si="7"/>
        <v>44083.224991443225</v>
      </c>
      <c r="F7" s="8">
        <f t="shared" si="0"/>
        <v>66.124837487164839</v>
      </c>
      <c r="G7" s="9">
        <f t="shared" si="1"/>
        <v>16.663459046765539</v>
      </c>
      <c r="H7">
        <f t="shared" si="2"/>
        <v>44099.888450489991</v>
      </c>
      <c r="K7" t="s">
        <v>6</v>
      </c>
      <c r="L7">
        <v>8</v>
      </c>
      <c r="N7" s="6">
        <f t="shared" si="3"/>
        <v>44.099888450489992</v>
      </c>
      <c r="O7" s="11">
        <f t="shared" si="4"/>
        <v>11.113171889523478</v>
      </c>
      <c r="P7">
        <f t="shared" si="5"/>
        <v>44111.001622379517</v>
      </c>
      <c r="R7">
        <f t="shared" si="6"/>
        <v>27.776630936289017</v>
      </c>
    </row>
    <row r="8" spans="1:18" x14ac:dyDescent="0.35">
      <c r="A8" t="s">
        <v>10</v>
      </c>
      <c r="B8" t="s">
        <v>5</v>
      </c>
      <c r="C8">
        <v>9</v>
      </c>
      <c r="E8">
        <f t="shared" si="7"/>
        <v>44111.001622379517</v>
      </c>
      <c r="F8" s="8">
        <f t="shared" si="0"/>
        <v>66.166502433569278</v>
      </c>
      <c r="G8" s="9">
        <f t="shared" si="1"/>
        <v>16.673958613259458</v>
      </c>
      <c r="H8">
        <f t="shared" si="2"/>
        <v>44127.675580992778</v>
      </c>
      <c r="K8" t="s">
        <v>6</v>
      </c>
      <c r="L8">
        <v>10</v>
      </c>
      <c r="N8" s="6">
        <f t="shared" si="3"/>
        <v>44.127675580992779</v>
      </c>
      <c r="O8" s="11">
        <f t="shared" si="4"/>
        <v>11.12017424641018</v>
      </c>
      <c r="P8">
        <f t="shared" si="5"/>
        <v>44138.795755239189</v>
      </c>
      <c r="R8">
        <f t="shared" si="6"/>
        <v>27.794132859669638</v>
      </c>
    </row>
    <row r="9" spans="1:18" s="6" customFormat="1" x14ac:dyDescent="0.35">
      <c r="A9" s="6" t="s">
        <v>11</v>
      </c>
      <c r="B9" s="6" t="s">
        <v>6</v>
      </c>
      <c r="C9" s="6">
        <v>11</v>
      </c>
      <c r="D9" s="7">
        <v>5.0000000000000001E-4</v>
      </c>
      <c r="E9" s="6">
        <f t="shared" si="7"/>
        <v>44138.795755239189</v>
      </c>
      <c r="F9" s="8">
        <f>E9*0.05%</f>
        <v>22.069397877619593</v>
      </c>
      <c r="G9" s="9">
        <f t="shared" si="1"/>
        <v>5.5614882651601372</v>
      </c>
      <c r="H9" s="6">
        <f t="shared" si="2"/>
        <v>44144.357243504346</v>
      </c>
      <c r="K9" s="6" t="s">
        <v>12</v>
      </c>
      <c r="L9" s="6">
        <v>12</v>
      </c>
      <c r="M9" s="7">
        <v>2E-3</v>
      </c>
      <c r="N9" s="6">
        <f>H9*0.2%</f>
        <v>88.28871448700869</v>
      </c>
      <c r="O9" s="11">
        <f t="shared" si="4"/>
        <v>22.24875605072619</v>
      </c>
      <c r="P9" s="6">
        <f t="shared" si="5"/>
        <v>44166.605999555075</v>
      </c>
      <c r="R9" s="6">
        <f t="shared" si="6"/>
        <v>27.810244315886326</v>
      </c>
    </row>
    <row r="10" spans="1:18" x14ac:dyDescent="0.35">
      <c r="A10" t="s">
        <v>13</v>
      </c>
      <c r="B10" t="s">
        <v>6</v>
      </c>
      <c r="C10">
        <v>13</v>
      </c>
      <c r="E10">
        <f t="shared" si="7"/>
        <v>44166.605999555075</v>
      </c>
      <c r="F10" s="8">
        <f t="shared" ref="F10:F13" si="8">E10*0.05%</f>
        <v>22.083302999777537</v>
      </c>
      <c r="G10" s="9">
        <f t="shared" si="1"/>
        <v>5.5649923559439394</v>
      </c>
      <c r="H10">
        <f t="shared" si="2"/>
        <v>44172.170991911022</v>
      </c>
      <c r="K10" t="s">
        <v>12</v>
      </c>
      <c r="L10">
        <v>14</v>
      </c>
      <c r="N10" s="6">
        <f t="shared" ref="N10:N13" si="9">H10*0.2%</f>
        <v>88.344341983822048</v>
      </c>
      <c r="O10" s="11">
        <f t="shared" si="4"/>
        <v>22.262774179923156</v>
      </c>
      <c r="P10">
        <f t="shared" si="5"/>
        <v>44194.433766090944</v>
      </c>
      <c r="R10">
        <f t="shared" si="6"/>
        <v>27.827766535867095</v>
      </c>
    </row>
    <row r="11" spans="1:18" x14ac:dyDescent="0.35">
      <c r="A11" t="s">
        <v>14</v>
      </c>
      <c r="B11" t="s">
        <v>6</v>
      </c>
      <c r="C11">
        <v>15</v>
      </c>
      <c r="E11">
        <f t="shared" si="7"/>
        <v>44194.433766090944</v>
      </c>
      <c r="F11" s="8">
        <f t="shared" si="8"/>
        <v>22.097216883045473</v>
      </c>
      <c r="G11" s="9">
        <f t="shared" si="1"/>
        <v>5.5684986545274588</v>
      </c>
      <c r="H11">
        <f t="shared" si="2"/>
        <v>44200.002264745468</v>
      </c>
      <c r="K11" t="s">
        <v>12</v>
      </c>
      <c r="L11">
        <v>16</v>
      </c>
      <c r="N11" s="6">
        <f t="shared" si="9"/>
        <v>88.400004529490943</v>
      </c>
      <c r="O11" s="11">
        <f t="shared" si="4"/>
        <v>22.276801141431719</v>
      </c>
      <c r="P11">
        <f t="shared" si="5"/>
        <v>44222.279065886898</v>
      </c>
      <c r="R11">
        <f t="shared" si="6"/>
        <v>27.845299795959178</v>
      </c>
    </row>
    <row r="12" spans="1:18" x14ac:dyDescent="0.35">
      <c r="A12" t="s">
        <v>15</v>
      </c>
      <c r="B12" t="s">
        <v>6</v>
      </c>
      <c r="C12">
        <v>17</v>
      </c>
      <c r="E12">
        <f t="shared" si="7"/>
        <v>44222.279065886898</v>
      </c>
      <c r="F12" s="8">
        <f t="shared" si="8"/>
        <v>22.111139532943451</v>
      </c>
      <c r="G12" s="9">
        <f t="shared" si="1"/>
        <v>5.57200716230175</v>
      </c>
      <c r="H12">
        <f t="shared" si="2"/>
        <v>44227.851073049198</v>
      </c>
      <c r="K12" t="s">
        <v>12</v>
      </c>
      <c r="L12">
        <v>18</v>
      </c>
      <c r="N12" s="6">
        <f t="shared" si="9"/>
        <v>88.455702146098403</v>
      </c>
      <c r="O12" s="11">
        <f t="shared" si="4"/>
        <v>22.290836940816799</v>
      </c>
      <c r="P12">
        <f t="shared" si="5"/>
        <v>44250.141909990016</v>
      </c>
      <c r="R12">
        <f t="shared" si="6"/>
        <v>27.862844103118547</v>
      </c>
    </row>
    <row r="13" spans="1:18" x14ac:dyDescent="0.35">
      <c r="A13" t="s">
        <v>16</v>
      </c>
      <c r="B13" t="s">
        <v>6</v>
      </c>
      <c r="C13">
        <v>19</v>
      </c>
      <c r="E13">
        <f t="shared" si="7"/>
        <v>44250.141909990016</v>
      </c>
      <c r="F13" s="8">
        <f t="shared" si="8"/>
        <v>22.125070954995007</v>
      </c>
      <c r="G13" s="9">
        <f t="shared" si="1"/>
        <v>5.575517880658742</v>
      </c>
      <c r="H13">
        <f t="shared" si="2"/>
        <v>44255.717427870673</v>
      </c>
      <c r="K13" t="s">
        <v>12</v>
      </c>
      <c r="L13">
        <v>20</v>
      </c>
      <c r="N13" s="6">
        <f t="shared" si="9"/>
        <v>88.511434855741342</v>
      </c>
      <c r="O13" s="11">
        <f t="shared" si="4"/>
        <v>22.304881583646818</v>
      </c>
      <c r="P13">
        <f t="shared" si="5"/>
        <v>44278.022309454318</v>
      </c>
      <c r="R13">
        <f t="shared" si="6"/>
        <v>27.880399464305562</v>
      </c>
    </row>
    <row r="14" spans="1:18" s="6" customFormat="1" x14ac:dyDescent="0.35">
      <c r="A14" s="6" t="s">
        <v>17</v>
      </c>
      <c r="B14" s="6" t="s">
        <v>6</v>
      </c>
      <c r="C14" s="6">
        <v>21</v>
      </c>
      <c r="D14" s="7">
        <v>1.5E-3</v>
      </c>
      <c r="E14" s="6">
        <f t="shared" si="7"/>
        <v>44278.022309454318</v>
      </c>
      <c r="F14" s="8">
        <f>E14*0.15%</f>
        <v>66.417033464181472</v>
      </c>
      <c r="G14" s="9">
        <f t="shared" si="1"/>
        <v>16.737092432973732</v>
      </c>
      <c r="H14" s="6">
        <f t="shared" si="2"/>
        <v>44294.759401887291</v>
      </c>
      <c r="K14" s="6" t="s">
        <v>6</v>
      </c>
      <c r="L14" s="6">
        <v>22</v>
      </c>
      <c r="M14" s="7">
        <v>1E-3</v>
      </c>
      <c r="N14" s="6">
        <f>H14*0.1%</f>
        <v>44.294759401887291</v>
      </c>
      <c r="O14" s="11">
        <f t="shared" si="4"/>
        <v>11.162279369275597</v>
      </c>
      <c r="P14" s="6">
        <f t="shared" si="5"/>
        <v>44305.921681256565</v>
      </c>
      <c r="R14" s="6">
        <f t="shared" si="6"/>
        <v>27.899371802249327</v>
      </c>
    </row>
    <row r="15" spans="1:18" x14ac:dyDescent="0.35">
      <c r="A15" t="s">
        <v>18</v>
      </c>
      <c r="B15" t="s">
        <v>6</v>
      </c>
      <c r="C15">
        <v>23</v>
      </c>
      <c r="E15">
        <f t="shared" si="7"/>
        <v>44305.921681256565</v>
      </c>
      <c r="F15" s="8">
        <f t="shared" ref="F15:F18" si="10">E15*0.15%</f>
        <v>66.458882521884846</v>
      </c>
      <c r="G15" s="9">
        <f t="shared" si="1"/>
        <v>16.747638395514983</v>
      </c>
      <c r="H15">
        <f t="shared" si="2"/>
        <v>44322.669319652079</v>
      </c>
      <c r="K15" t="s">
        <v>6</v>
      </c>
      <c r="L15">
        <v>24</v>
      </c>
      <c r="N15" s="6">
        <f t="shared" ref="N15:N18" si="11">H15*0.1%</f>
        <v>44.322669319652078</v>
      </c>
      <c r="O15" s="11">
        <f t="shared" si="4"/>
        <v>11.169312668552324</v>
      </c>
      <c r="P15">
        <f t="shared" si="5"/>
        <v>44333.838632320629</v>
      </c>
      <c r="R15">
        <f t="shared" si="6"/>
        <v>27.916951064067305</v>
      </c>
    </row>
    <row r="16" spans="1:18" x14ac:dyDescent="0.35">
      <c r="A16" t="s">
        <v>19</v>
      </c>
      <c r="B16" t="s">
        <v>6</v>
      </c>
      <c r="C16">
        <v>25</v>
      </c>
      <c r="E16">
        <f t="shared" si="7"/>
        <v>44333.838632320629</v>
      </c>
      <c r="F16" s="8">
        <f t="shared" si="10"/>
        <v>66.500757948480938</v>
      </c>
      <c r="G16" s="9">
        <f t="shared" si="1"/>
        <v>16.758191003017195</v>
      </c>
      <c r="H16">
        <f t="shared" si="2"/>
        <v>44350.596823323649</v>
      </c>
      <c r="K16" t="s">
        <v>6</v>
      </c>
      <c r="L16">
        <v>26</v>
      </c>
      <c r="N16" s="6">
        <f t="shared" si="11"/>
        <v>44.350596823323649</v>
      </c>
      <c r="O16" s="11">
        <f t="shared" si="4"/>
        <v>11.17635039947756</v>
      </c>
      <c r="P16">
        <f t="shared" si="5"/>
        <v>44361.77317372313</v>
      </c>
      <c r="R16">
        <f t="shared" si="6"/>
        <v>27.934541402494755</v>
      </c>
    </row>
    <row r="17" spans="1:18" x14ac:dyDescent="0.35">
      <c r="A17" t="s">
        <v>20</v>
      </c>
      <c r="B17" t="s">
        <v>6</v>
      </c>
      <c r="C17">
        <v>27</v>
      </c>
      <c r="E17">
        <f t="shared" si="7"/>
        <v>44361.77317372313</v>
      </c>
      <c r="F17" s="8">
        <f t="shared" si="10"/>
        <v>66.542659760584698</v>
      </c>
      <c r="G17" s="9">
        <f t="shared" si="1"/>
        <v>16.768750259667343</v>
      </c>
      <c r="H17">
        <f t="shared" si="2"/>
        <v>44378.541923982797</v>
      </c>
      <c r="K17" t="s">
        <v>6</v>
      </c>
      <c r="L17">
        <v>28</v>
      </c>
      <c r="N17" s="6">
        <f t="shared" si="11"/>
        <v>44.378541923982795</v>
      </c>
      <c r="O17" s="11">
        <f t="shared" si="4"/>
        <v>11.183392564843665</v>
      </c>
      <c r="P17">
        <f t="shared" si="5"/>
        <v>44389.725316547643</v>
      </c>
      <c r="R17">
        <f t="shared" si="6"/>
        <v>27.952142824511007</v>
      </c>
    </row>
    <row r="18" spans="1:18" x14ac:dyDescent="0.35">
      <c r="A18" t="s">
        <v>21</v>
      </c>
      <c r="B18" t="s">
        <v>6</v>
      </c>
      <c r="C18">
        <v>29</v>
      </c>
      <c r="E18">
        <f t="shared" si="7"/>
        <v>44389.725316547643</v>
      </c>
      <c r="F18" s="8">
        <f t="shared" si="10"/>
        <v>66.58458797482146</v>
      </c>
      <c r="G18" s="9">
        <f t="shared" si="1"/>
        <v>16.779316169655008</v>
      </c>
      <c r="H18">
        <f t="shared" si="2"/>
        <v>44406.504632717297</v>
      </c>
      <c r="K18" t="s">
        <v>6</v>
      </c>
      <c r="L18">
        <v>30</v>
      </c>
      <c r="N18" s="6">
        <f t="shared" si="11"/>
        <v>44.406504632717301</v>
      </c>
      <c r="O18" s="11">
        <f t="shared" si="4"/>
        <v>11.19043916744476</v>
      </c>
      <c r="P18">
        <f t="shared" si="5"/>
        <v>44417.695071884744</v>
      </c>
      <c r="R18">
        <f t="shared" si="6"/>
        <v>27.96975533709977</v>
      </c>
    </row>
    <row r="19" spans="1:18" s="6" customFormat="1" x14ac:dyDescent="0.35">
      <c r="A19" s="6" t="s">
        <v>22</v>
      </c>
      <c r="B19" s="6" t="s">
        <v>5</v>
      </c>
      <c r="C19" s="6">
        <v>31</v>
      </c>
      <c r="D19" s="7">
        <v>2E-3</v>
      </c>
      <c r="E19" s="6">
        <f t="shared" si="7"/>
        <v>44417.695071884744</v>
      </c>
      <c r="F19" s="8">
        <f>E19*0.2%</f>
        <v>88.835390143769487</v>
      </c>
      <c r="G19" s="9">
        <f t="shared" si="1"/>
        <v>22.38651831622991</v>
      </c>
      <c r="H19" s="6">
        <f t="shared" si="2"/>
        <v>44440.081590200971</v>
      </c>
      <c r="K19" s="6" t="s">
        <v>12</v>
      </c>
      <c r="L19" s="6">
        <v>32</v>
      </c>
      <c r="M19" s="7">
        <v>2.5000000000000001E-3</v>
      </c>
      <c r="N19" s="6">
        <f>H19*0.25%</f>
        <v>111.10020397550242</v>
      </c>
      <c r="O19" s="11">
        <f t="shared" si="4"/>
        <v>27.99725140182661</v>
      </c>
      <c r="P19" s="6">
        <f t="shared" si="5"/>
        <v>44468.078841602801</v>
      </c>
      <c r="R19" s="6">
        <f t="shared" si="6"/>
        <v>50.38376971805652</v>
      </c>
    </row>
    <row r="20" spans="1:18" x14ac:dyDescent="0.35">
      <c r="A20" t="s">
        <v>23</v>
      </c>
      <c r="B20" t="s">
        <v>5</v>
      </c>
      <c r="C20">
        <v>33</v>
      </c>
      <c r="E20">
        <f t="shared" si="7"/>
        <v>44468.078841602801</v>
      </c>
      <c r="F20" s="8">
        <f t="shared" ref="F20:F23" si="12">E20*0.2%</f>
        <v>88.936157683205607</v>
      </c>
      <c r="G20" s="9">
        <f t="shared" si="1"/>
        <v>22.411911736167813</v>
      </c>
      <c r="H20">
        <f t="shared" si="2"/>
        <v>44490.490753338971</v>
      </c>
      <c r="K20" t="s">
        <v>12</v>
      </c>
      <c r="L20">
        <v>34</v>
      </c>
      <c r="N20" s="6">
        <f t="shared" ref="N20:N23" si="13">H20*0.25%</f>
        <v>111.22622688334742</v>
      </c>
      <c r="O20" s="11">
        <f t="shared" si="4"/>
        <v>28.029009174603551</v>
      </c>
      <c r="P20">
        <f t="shared" si="5"/>
        <v>44518.519762513577</v>
      </c>
      <c r="R20">
        <f t="shared" si="6"/>
        <v>50.440920910771368</v>
      </c>
    </row>
    <row r="21" spans="1:18" x14ac:dyDescent="0.35">
      <c r="A21" t="s">
        <v>24</v>
      </c>
      <c r="B21" t="s">
        <v>5</v>
      </c>
      <c r="C21">
        <v>35</v>
      </c>
      <c r="E21">
        <f t="shared" si="7"/>
        <v>44518.519762513577</v>
      </c>
      <c r="F21" s="8">
        <f t="shared" si="12"/>
        <v>89.037039525027154</v>
      </c>
      <c r="G21" s="9">
        <f t="shared" si="1"/>
        <v>22.437333960306844</v>
      </c>
      <c r="H21">
        <f t="shared" si="2"/>
        <v>44540.957096473881</v>
      </c>
      <c r="K21" t="s">
        <v>12</v>
      </c>
      <c r="L21">
        <v>36</v>
      </c>
      <c r="N21" s="6">
        <f t="shared" si="13"/>
        <v>111.3523927411847</v>
      </c>
      <c r="O21" s="11">
        <f t="shared" si="4"/>
        <v>28.060802970778546</v>
      </c>
      <c r="P21">
        <f t="shared" si="5"/>
        <v>44569.017899444661</v>
      </c>
      <c r="R21">
        <f t="shared" si="6"/>
        <v>50.498136931085391</v>
      </c>
    </row>
    <row r="22" spans="1:18" x14ac:dyDescent="0.35">
      <c r="A22" t="s">
        <v>25</v>
      </c>
      <c r="B22" t="s">
        <v>5</v>
      </c>
      <c r="C22">
        <v>37</v>
      </c>
      <c r="E22">
        <f t="shared" si="7"/>
        <v>44569.017899444661</v>
      </c>
      <c r="F22" s="8">
        <f t="shared" si="12"/>
        <v>89.138035798889319</v>
      </c>
      <c r="G22" s="9">
        <f t="shared" si="1"/>
        <v>22.462785021320109</v>
      </c>
      <c r="H22">
        <f t="shared" si="2"/>
        <v>44591.480684465983</v>
      </c>
      <c r="K22" t="s">
        <v>12</v>
      </c>
      <c r="L22">
        <v>38</v>
      </c>
      <c r="N22" s="6">
        <f t="shared" si="13"/>
        <v>111.47870171116496</v>
      </c>
      <c r="O22" s="11">
        <f t="shared" si="4"/>
        <v>28.092632831213571</v>
      </c>
      <c r="P22">
        <f t="shared" si="5"/>
        <v>44619.573317297196</v>
      </c>
      <c r="R22">
        <f t="shared" si="6"/>
        <v>50.555417852533679</v>
      </c>
    </row>
    <row r="23" spans="1:18" x14ac:dyDescent="0.35">
      <c r="A23" t="s">
        <v>26</v>
      </c>
      <c r="B23" t="s">
        <v>5</v>
      </c>
      <c r="C23">
        <v>39</v>
      </c>
      <c r="E23">
        <f t="shared" si="7"/>
        <v>44619.573317297196</v>
      </c>
      <c r="F23" s="8">
        <f t="shared" si="12"/>
        <v>89.239146634594391</v>
      </c>
      <c r="G23" s="9">
        <f t="shared" si="1"/>
        <v>22.488264951917788</v>
      </c>
      <c r="H23">
        <f t="shared" si="2"/>
        <v>44642.061582249116</v>
      </c>
      <c r="K23" t="s">
        <v>12</v>
      </c>
      <c r="L23">
        <v>40</v>
      </c>
      <c r="N23" s="6">
        <f t="shared" si="13"/>
        <v>111.6051539556228</v>
      </c>
      <c r="O23" s="11">
        <f t="shared" si="4"/>
        <v>28.124498796816944</v>
      </c>
      <c r="P23">
        <f t="shared" si="5"/>
        <v>44670.186081045933</v>
      </c>
      <c r="R23">
        <f t="shared" si="6"/>
        <v>50.612763748734736</v>
      </c>
    </row>
    <row r="24" spans="1:18" s="6" customFormat="1" x14ac:dyDescent="0.35">
      <c r="A24" s="6" t="s">
        <v>27</v>
      </c>
      <c r="B24" s="6" t="s">
        <v>5</v>
      </c>
      <c r="C24" s="6">
        <v>41</v>
      </c>
      <c r="D24" s="7">
        <v>2.5000000000000001E-3</v>
      </c>
      <c r="E24" s="6">
        <f t="shared" si="7"/>
        <v>44670.186081045933</v>
      </c>
      <c r="F24" s="8">
        <f>E24*0.25%</f>
        <v>111.67546520261483</v>
      </c>
      <c r="G24" s="9">
        <f t="shared" si="1"/>
        <v>28.142217231058936</v>
      </c>
      <c r="H24" s="6">
        <f t="shared" si="2"/>
        <v>44698.328298276989</v>
      </c>
      <c r="K24" s="6" t="s">
        <v>6</v>
      </c>
      <c r="L24" s="6">
        <v>42</v>
      </c>
      <c r="M24" s="7">
        <v>2E-3</v>
      </c>
      <c r="N24" s="6">
        <f>H24*0.2%</f>
        <v>89.396656596553981</v>
      </c>
      <c r="O24" s="11">
        <f t="shared" si="4"/>
        <v>22.527957462331603</v>
      </c>
      <c r="P24" s="6">
        <f t="shared" si="5"/>
        <v>44720.856255739323</v>
      </c>
      <c r="R24" s="6">
        <f t="shared" si="6"/>
        <v>50.670174693390535</v>
      </c>
    </row>
    <row r="25" spans="1:18" x14ac:dyDescent="0.35">
      <c r="A25" t="s">
        <v>28</v>
      </c>
      <c r="B25" t="s">
        <v>5</v>
      </c>
      <c r="C25">
        <v>43</v>
      </c>
      <c r="E25">
        <f t="shared" si="7"/>
        <v>44720.856255739323</v>
      </c>
      <c r="F25" s="8">
        <f t="shared" ref="F25:F28" si="14">E25*0.25%</f>
        <v>111.80214063934831</v>
      </c>
      <c r="G25" s="9">
        <f t="shared" si="1"/>
        <v>28.174139441115774</v>
      </c>
      <c r="H25">
        <f t="shared" si="2"/>
        <v>44749.030395180438</v>
      </c>
      <c r="K25" t="s">
        <v>6</v>
      </c>
      <c r="L25">
        <v>44</v>
      </c>
      <c r="N25" s="6">
        <f t="shared" ref="N25:N28" si="15">H25*0.2%</f>
        <v>89.498060790360881</v>
      </c>
      <c r="O25" s="11">
        <f t="shared" si="4"/>
        <v>22.553511319170941</v>
      </c>
      <c r="P25">
        <f t="shared" si="5"/>
        <v>44771.583906499611</v>
      </c>
      <c r="R25">
        <f t="shared" si="6"/>
        <v>50.727650760286714</v>
      </c>
    </row>
    <row r="26" spans="1:18" x14ac:dyDescent="0.35">
      <c r="A26" t="s">
        <v>29</v>
      </c>
      <c r="B26" t="s">
        <v>5</v>
      </c>
      <c r="C26">
        <v>45</v>
      </c>
      <c r="E26">
        <f t="shared" si="7"/>
        <v>44771.583906499611</v>
      </c>
      <c r="F26" s="8">
        <f t="shared" si="14"/>
        <v>111.92895976624902</v>
      </c>
      <c r="G26" s="9">
        <f t="shared" si="1"/>
        <v>28.206097861094754</v>
      </c>
      <c r="H26">
        <f t="shared" si="2"/>
        <v>44799.790004360708</v>
      </c>
      <c r="K26" t="s">
        <v>6</v>
      </c>
      <c r="L26">
        <v>46</v>
      </c>
      <c r="N26" s="6">
        <f t="shared" si="15"/>
        <v>89.599580008721418</v>
      </c>
      <c r="O26" s="11">
        <f t="shared" si="4"/>
        <v>22.579094162197798</v>
      </c>
      <c r="P26">
        <f t="shared" si="5"/>
        <v>44822.369098522904</v>
      </c>
      <c r="R26">
        <f t="shared" si="6"/>
        <v>50.785192023292552</v>
      </c>
    </row>
    <row r="27" spans="1:18" x14ac:dyDescent="0.35">
      <c r="A27" t="s">
        <v>30</v>
      </c>
      <c r="B27" t="s">
        <v>5</v>
      </c>
      <c r="C27">
        <v>47</v>
      </c>
      <c r="E27">
        <f t="shared" si="7"/>
        <v>44822.369098522904</v>
      </c>
      <c r="F27" s="8">
        <f t="shared" si="14"/>
        <v>112.05592274630726</v>
      </c>
      <c r="G27" s="9">
        <f t="shared" si="1"/>
        <v>28.23809253206943</v>
      </c>
      <c r="H27">
        <f t="shared" si="2"/>
        <v>44850.607191054973</v>
      </c>
      <c r="K27" t="s">
        <v>6</v>
      </c>
      <c r="L27">
        <v>48</v>
      </c>
      <c r="N27" s="6">
        <f t="shared" si="15"/>
        <v>89.701214382109953</v>
      </c>
      <c r="O27" s="11">
        <f t="shared" si="4"/>
        <v>22.604706024291708</v>
      </c>
      <c r="P27">
        <f t="shared" si="5"/>
        <v>44873.211897079265</v>
      </c>
      <c r="R27">
        <f t="shared" si="6"/>
        <v>50.842798556361139</v>
      </c>
    </row>
    <row r="28" spans="1:18" x14ac:dyDescent="0.35">
      <c r="A28" t="s">
        <v>31</v>
      </c>
      <c r="B28" t="s">
        <v>5</v>
      </c>
      <c r="C28">
        <v>49</v>
      </c>
      <c r="E28">
        <f t="shared" si="7"/>
        <v>44873.211897079265</v>
      </c>
      <c r="F28" s="8">
        <f t="shared" si="14"/>
        <v>112.18302974269817</v>
      </c>
      <c r="G28" s="9">
        <f t="shared" si="1"/>
        <v>28.27012349515994</v>
      </c>
      <c r="H28">
        <f t="shared" si="2"/>
        <v>44901.482020574425</v>
      </c>
      <c r="K28" t="s">
        <v>6</v>
      </c>
      <c r="L28">
        <v>50</v>
      </c>
      <c r="N28" s="6">
        <f t="shared" si="15"/>
        <v>89.802964041148854</v>
      </c>
      <c r="O28" s="11">
        <f t="shared" si="4"/>
        <v>22.630346938369513</v>
      </c>
      <c r="P28">
        <f t="shared" si="5"/>
        <v>44924.112367512796</v>
      </c>
      <c r="R28">
        <f t="shared" si="6"/>
        <v>50.900470433529449</v>
      </c>
    </row>
    <row r="29" spans="1:18" s="6" customFormat="1" x14ac:dyDescent="0.35">
      <c r="A29" s="6" t="s">
        <v>32</v>
      </c>
      <c r="B29" s="6" t="s">
        <v>5</v>
      </c>
      <c r="C29" s="6">
        <v>51</v>
      </c>
      <c r="D29" s="7">
        <v>3.0000000000000001E-3</v>
      </c>
      <c r="E29" s="6">
        <f t="shared" si="7"/>
        <v>44924.112367512796</v>
      </c>
      <c r="F29" s="8">
        <f>E29*0.3%</f>
        <v>134.77233710253839</v>
      </c>
      <c r="G29" s="9">
        <f t="shared" si="1"/>
        <v>33.962628949839676</v>
      </c>
      <c r="H29" s="6">
        <f t="shared" si="2"/>
        <v>44958.074996462638</v>
      </c>
      <c r="K29" s="6" t="s">
        <v>12</v>
      </c>
      <c r="L29" s="6">
        <v>52</v>
      </c>
      <c r="M29" s="7">
        <v>3.5000000000000001E-3</v>
      </c>
      <c r="N29" s="6">
        <f>H29*0.35%</f>
        <v>157.35326248761922</v>
      </c>
      <c r="O29" s="11">
        <f t="shared" si="4"/>
        <v>39.653022146880041</v>
      </c>
      <c r="P29" s="6">
        <f t="shared" si="5"/>
        <v>44997.728018609516</v>
      </c>
      <c r="R29" s="6">
        <f t="shared" si="6"/>
        <v>73.615651096719716</v>
      </c>
    </row>
    <row r="30" spans="1:18" x14ac:dyDescent="0.35">
      <c r="A30" t="s">
        <v>33</v>
      </c>
      <c r="B30" t="s">
        <v>5</v>
      </c>
      <c r="C30">
        <v>53</v>
      </c>
      <c r="E30">
        <f t="shared" si="7"/>
        <v>44997.728018609516</v>
      </c>
      <c r="F30" s="8">
        <f t="shared" ref="F30:F33" si="16">E30*0.3%</f>
        <v>134.99318405582855</v>
      </c>
      <c r="G30" s="9">
        <f t="shared" si="1"/>
        <v>34.018282382068797</v>
      </c>
      <c r="H30">
        <f t="shared" si="2"/>
        <v>45031.746300991588</v>
      </c>
      <c r="K30" t="s">
        <v>12</v>
      </c>
      <c r="L30">
        <v>54</v>
      </c>
      <c r="N30" s="6">
        <f t="shared" ref="N30:N33" si="17">H30*0.35%</f>
        <v>157.61111205347055</v>
      </c>
      <c r="O30" s="11">
        <f t="shared" si="4"/>
        <v>39.718000237474577</v>
      </c>
      <c r="P30">
        <f t="shared" si="5"/>
        <v>45071.464301229062</v>
      </c>
      <c r="R30">
        <f t="shared" si="6"/>
        <v>73.736282619543374</v>
      </c>
    </row>
    <row r="31" spans="1:18" x14ac:dyDescent="0.35">
      <c r="A31" t="s">
        <v>34</v>
      </c>
      <c r="B31" t="s">
        <v>5</v>
      </c>
      <c r="C31">
        <v>55</v>
      </c>
      <c r="E31">
        <f t="shared" si="7"/>
        <v>45071.464301229062</v>
      </c>
      <c r="F31" s="8">
        <f t="shared" si="16"/>
        <v>135.21439290368718</v>
      </c>
      <c r="G31" s="9">
        <f t="shared" si="1"/>
        <v>34.074027011729171</v>
      </c>
      <c r="H31">
        <f t="shared" si="2"/>
        <v>45105.538328240793</v>
      </c>
      <c r="K31" t="s">
        <v>12</v>
      </c>
      <c r="L31">
        <v>56</v>
      </c>
      <c r="N31" s="6">
        <f t="shared" si="17"/>
        <v>157.86938414884276</v>
      </c>
      <c r="O31" s="11">
        <f t="shared" si="4"/>
        <v>39.783084805508373</v>
      </c>
      <c r="P31">
        <f t="shared" si="5"/>
        <v>45145.321413046302</v>
      </c>
      <c r="R31">
        <f t="shared" si="6"/>
        <v>73.857111817237552</v>
      </c>
    </row>
    <row r="32" spans="1:18" x14ac:dyDescent="0.35">
      <c r="A32" t="s">
        <v>35</v>
      </c>
      <c r="B32" t="s">
        <v>5</v>
      </c>
      <c r="C32">
        <v>57</v>
      </c>
      <c r="E32">
        <f t="shared" si="7"/>
        <v>45145.321413046302</v>
      </c>
      <c r="F32" s="8">
        <f t="shared" si="16"/>
        <v>135.43596423913891</v>
      </c>
      <c r="G32" s="9">
        <f t="shared" si="1"/>
        <v>34.129862988263007</v>
      </c>
      <c r="H32">
        <f t="shared" si="2"/>
        <v>45179.451276034568</v>
      </c>
      <c r="K32" t="s">
        <v>12</v>
      </c>
      <c r="L32">
        <v>58</v>
      </c>
      <c r="N32" s="6">
        <f t="shared" si="17"/>
        <v>158.12807946612097</v>
      </c>
      <c r="O32" s="11">
        <f t="shared" si="4"/>
        <v>39.848276025462482</v>
      </c>
      <c r="P32">
        <f t="shared" si="5"/>
        <v>45219.299552060031</v>
      </c>
      <c r="R32">
        <f t="shared" si="6"/>
        <v>73.978139013725496</v>
      </c>
    </row>
    <row r="33" spans="1:18" s="13" customFormat="1" x14ac:dyDescent="0.35">
      <c r="A33" s="13" t="s">
        <v>36</v>
      </c>
      <c r="B33" s="13" t="s">
        <v>5</v>
      </c>
      <c r="C33" s="13">
        <v>59</v>
      </c>
      <c r="E33" s="13">
        <f t="shared" si="7"/>
        <v>45219.299552060031</v>
      </c>
      <c r="F33" s="14">
        <f t="shared" si="16"/>
        <v>135.65789865618009</v>
      </c>
      <c r="G33" s="9">
        <f t="shared" si="1"/>
        <v>34.185790461357385</v>
      </c>
      <c r="H33" s="13">
        <f t="shared" si="2"/>
        <v>45253.485342521388</v>
      </c>
      <c r="K33" s="13" t="s">
        <v>12</v>
      </c>
      <c r="L33" s="13">
        <v>60</v>
      </c>
      <c r="N33" s="13">
        <f t="shared" si="17"/>
        <v>158.38719869882485</v>
      </c>
      <c r="O33" s="11">
        <f t="shared" si="4"/>
        <v>39.913574072103863</v>
      </c>
      <c r="P33" s="13">
        <f t="shared" si="5"/>
        <v>45293.398916593491</v>
      </c>
      <c r="R33" s="13">
        <f t="shared" si="6"/>
        <v>74.099364533461255</v>
      </c>
    </row>
    <row r="34" spans="1:18" s="6" customFormat="1" x14ac:dyDescent="0.35">
      <c r="A34" s="6" t="s">
        <v>37</v>
      </c>
      <c r="B34" s="6" t="s">
        <v>6</v>
      </c>
      <c r="C34" s="6">
        <v>61</v>
      </c>
      <c r="D34" s="7">
        <v>2.5000000000000001E-3</v>
      </c>
      <c r="E34" s="6">
        <f t="shared" si="7"/>
        <v>45293.398916593491</v>
      </c>
      <c r="F34" s="8">
        <f>E34*0.25%</f>
        <v>113.23349729148373</v>
      </c>
      <c r="G34" s="9">
        <f t="shared" si="1"/>
        <v>28.5348413174539</v>
      </c>
      <c r="H34" s="6">
        <f t="shared" si="2"/>
        <v>45321.933757910941</v>
      </c>
      <c r="I34" s="12">
        <v>0.3</v>
      </c>
      <c r="J34" s="12"/>
      <c r="K34" s="12" t="s">
        <v>12</v>
      </c>
      <c r="L34" s="6">
        <v>62</v>
      </c>
      <c r="M34" s="7">
        <v>4.0000000000000001E-3</v>
      </c>
      <c r="N34" s="6">
        <f>H34*0.3%</f>
        <v>135.96580127373284</v>
      </c>
      <c r="O34" s="11">
        <f t="shared" si="4"/>
        <v>34.263381920980677</v>
      </c>
      <c r="P34" s="6">
        <f t="shared" si="5"/>
        <v>45356.197139831922</v>
      </c>
      <c r="Q34" s="10">
        <v>0.27</v>
      </c>
      <c r="R34" s="6">
        <f t="shared" si="6"/>
        <v>62.798223238434574</v>
      </c>
    </row>
    <row r="35" spans="1:18" x14ac:dyDescent="0.35">
      <c r="A35" t="s">
        <v>38</v>
      </c>
      <c r="B35" t="s">
        <v>6</v>
      </c>
      <c r="C35">
        <v>63</v>
      </c>
      <c r="E35">
        <f t="shared" si="7"/>
        <v>45356.197139831922</v>
      </c>
      <c r="F35" s="8">
        <f t="shared" ref="F35:F38" si="18">E35*0.25%</f>
        <v>113.3904928495798</v>
      </c>
      <c r="G35" s="9">
        <f t="shared" si="1"/>
        <v>28.574404198094111</v>
      </c>
      <c r="H35">
        <f t="shared" si="2"/>
        <v>45384.771544030016</v>
      </c>
      <c r="K35" t="s">
        <v>12</v>
      </c>
      <c r="L35">
        <v>64</v>
      </c>
      <c r="N35" s="6">
        <f t="shared" ref="N35:N38" si="19">H35*0.3%</f>
        <v>136.15431463209006</v>
      </c>
      <c r="O35" s="11">
        <f t="shared" si="4"/>
        <v>34.310887287286697</v>
      </c>
      <c r="P35">
        <f t="shared" si="5"/>
        <v>45419.0824313173</v>
      </c>
      <c r="R35">
        <f t="shared" si="6"/>
        <v>62.885291485380804</v>
      </c>
    </row>
    <row r="36" spans="1:18" x14ac:dyDescent="0.35">
      <c r="A36" t="s">
        <v>39</v>
      </c>
      <c r="B36" t="s">
        <v>6</v>
      </c>
      <c r="C36">
        <v>65</v>
      </c>
      <c r="E36">
        <f t="shared" si="7"/>
        <v>45419.0824313173</v>
      </c>
      <c r="F36" s="8">
        <f t="shared" si="18"/>
        <v>113.54770607829325</v>
      </c>
      <c r="G36" s="9">
        <f t="shared" si="1"/>
        <v>28.614021931729898</v>
      </c>
      <c r="H36">
        <f t="shared" si="2"/>
        <v>45447.696453249031</v>
      </c>
      <c r="K36" t="s">
        <v>12</v>
      </c>
      <c r="L36">
        <v>66</v>
      </c>
      <c r="N36" s="6">
        <f t="shared" si="19"/>
        <v>136.3430893597471</v>
      </c>
      <c r="O36" s="11">
        <f t="shared" si="4"/>
        <v>34.358458518656271</v>
      </c>
      <c r="P36">
        <f t="shared" si="5"/>
        <v>45482.054911767686</v>
      </c>
      <c r="R36">
        <f t="shared" si="6"/>
        <v>62.972480450386172</v>
      </c>
    </row>
    <row r="37" spans="1:18" x14ac:dyDescent="0.35">
      <c r="A37" t="s">
        <v>40</v>
      </c>
      <c r="B37" t="s">
        <v>6</v>
      </c>
      <c r="C37">
        <v>67</v>
      </c>
      <c r="E37">
        <f t="shared" si="7"/>
        <v>45482.054911767686</v>
      </c>
      <c r="F37" s="8">
        <f t="shared" si="18"/>
        <v>113.70513727941922</v>
      </c>
      <c r="G37" s="9">
        <f t="shared" si="1"/>
        <v>28.653694594413643</v>
      </c>
      <c r="H37">
        <f t="shared" si="2"/>
        <v>45510.708606362103</v>
      </c>
      <c r="K37" t="s">
        <v>12</v>
      </c>
      <c r="L37">
        <v>68</v>
      </c>
      <c r="N37" s="6">
        <f t="shared" si="19"/>
        <v>136.5321258190863</v>
      </c>
      <c r="O37" s="11">
        <f t="shared" si="4"/>
        <v>34.406095706409751</v>
      </c>
      <c r="P37">
        <f t="shared" si="5"/>
        <v>45545.114702068509</v>
      </c>
      <c r="R37">
        <f t="shared" si="6"/>
        <v>63.059790300823394</v>
      </c>
    </row>
    <row r="38" spans="1:18" x14ac:dyDescent="0.35">
      <c r="A38" t="s">
        <v>41</v>
      </c>
      <c r="B38" t="s">
        <v>6</v>
      </c>
      <c r="C38">
        <v>69</v>
      </c>
      <c r="E38">
        <f t="shared" si="7"/>
        <v>45545.114702068509</v>
      </c>
      <c r="F38" s="8">
        <f t="shared" si="18"/>
        <v>113.86278675517127</v>
      </c>
      <c r="G38" s="9">
        <f t="shared" si="1"/>
        <v>28.693422262303162</v>
      </c>
      <c r="H38">
        <f t="shared" si="2"/>
        <v>45573.808124330812</v>
      </c>
      <c r="K38" t="s">
        <v>12</v>
      </c>
      <c r="L38">
        <v>70</v>
      </c>
      <c r="N38" s="6">
        <f t="shared" si="19"/>
        <v>136.72142437299243</v>
      </c>
      <c r="O38" s="11">
        <f t="shared" si="4"/>
        <v>34.453798941994094</v>
      </c>
      <c r="P38">
        <f t="shared" si="5"/>
        <v>45608.261923272803</v>
      </c>
      <c r="R38">
        <f t="shared" si="6"/>
        <v>63.147221204297253</v>
      </c>
    </row>
    <row r="39" spans="1:18" s="6" customFormat="1" x14ac:dyDescent="0.35">
      <c r="A39" s="6" t="s">
        <v>42</v>
      </c>
      <c r="B39" s="6" t="s">
        <v>5</v>
      </c>
      <c r="C39" s="6">
        <v>71</v>
      </c>
      <c r="D39" s="7">
        <v>5.0000000000000001E-3</v>
      </c>
      <c r="E39" s="6">
        <f t="shared" si="7"/>
        <v>45608.261923272803</v>
      </c>
      <c r="F39" s="8">
        <f>E39*0.5%</f>
        <v>228.04130961636403</v>
      </c>
      <c r="G39" s="9">
        <f t="shared" si="1"/>
        <v>57.466410023323739</v>
      </c>
      <c r="H39" s="6">
        <f t="shared" si="2"/>
        <v>45665.728333296123</v>
      </c>
      <c r="K39" s="6" t="s">
        <v>6</v>
      </c>
      <c r="L39" s="6">
        <v>72</v>
      </c>
      <c r="M39" s="7">
        <v>4.4999999999999997E-3</v>
      </c>
      <c r="N39" s="6">
        <f>H39*0.45%</f>
        <v>205.49577749983257</v>
      </c>
      <c r="O39" s="11">
        <f t="shared" si="4"/>
        <v>51.784935929957811</v>
      </c>
      <c r="P39" s="6">
        <f t="shared" si="5"/>
        <v>45717.513269226081</v>
      </c>
      <c r="R39" s="6">
        <f t="shared" si="6"/>
        <v>109.25134595328154</v>
      </c>
    </row>
    <row r="40" spans="1:18" x14ac:dyDescent="0.35">
      <c r="A40" t="s">
        <v>43</v>
      </c>
      <c r="B40" t="s">
        <v>5</v>
      </c>
      <c r="C40">
        <v>73</v>
      </c>
      <c r="E40">
        <f t="shared" si="7"/>
        <v>45717.513269226081</v>
      </c>
      <c r="F40" s="8">
        <f t="shared" ref="F40:F43" si="20">E40*0.5%</f>
        <v>228.58756634613042</v>
      </c>
      <c r="G40" s="9">
        <f t="shared" si="1"/>
        <v>57.604066719224868</v>
      </c>
      <c r="H40">
        <f t="shared" si="2"/>
        <v>45775.11733594531</v>
      </c>
      <c r="K40" t="s">
        <v>6</v>
      </c>
      <c r="L40">
        <v>74</v>
      </c>
      <c r="N40" s="6">
        <f t="shared" ref="N40:N43" si="21">H40*0.45%</f>
        <v>205.98802801175393</v>
      </c>
      <c r="O40" s="11">
        <f t="shared" si="4"/>
        <v>51.908983058961987</v>
      </c>
      <c r="P40">
        <f t="shared" si="5"/>
        <v>45827.026319004275</v>
      </c>
      <c r="R40">
        <f t="shared" si="6"/>
        <v>109.51304977818685</v>
      </c>
    </row>
    <row r="41" spans="1:18" x14ac:dyDescent="0.35">
      <c r="A41" t="s">
        <v>44</v>
      </c>
      <c r="B41" t="s">
        <v>5</v>
      </c>
      <c r="C41">
        <v>75</v>
      </c>
      <c r="E41">
        <f t="shared" si="7"/>
        <v>45827.026319004275</v>
      </c>
      <c r="F41" s="8">
        <f t="shared" si="20"/>
        <v>229.13513159502139</v>
      </c>
      <c r="G41" s="9">
        <f t="shared" si="1"/>
        <v>57.742053161945393</v>
      </c>
      <c r="H41">
        <f t="shared" si="2"/>
        <v>45884.768372166218</v>
      </c>
      <c r="K41" t="s">
        <v>6</v>
      </c>
      <c r="L41">
        <v>76</v>
      </c>
      <c r="N41" s="6">
        <f t="shared" si="21"/>
        <v>206.48145767474801</v>
      </c>
      <c r="O41" s="11">
        <f t="shared" si="4"/>
        <v>52.0333273340365</v>
      </c>
      <c r="P41">
        <f t="shared" si="5"/>
        <v>45936.801699500254</v>
      </c>
      <c r="R41">
        <f t="shared" si="6"/>
        <v>109.77538049598189</v>
      </c>
    </row>
    <row r="42" spans="1:18" x14ac:dyDescent="0.35">
      <c r="A42" t="s">
        <v>45</v>
      </c>
      <c r="B42" t="s">
        <v>5</v>
      </c>
      <c r="C42">
        <v>77</v>
      </c>
      <c r="E42">
        <f t="shared" si="7"/>
        <v>45936.801699500254</v>
      </c>
      <c r="F42" s="8">
        <f t="shared" si="20"/>
        <v>229.68400849750128</v>
      </c>
      <c r="G42" s="9">
        <f t="shared" si="1"/>
        <v>57.880370141370321</v>
      </c>
      <c r="H42">
        <f t="shared" si="2"/>
        <v>45994.682069641625</v>
      </c>
      <c r="K42" t="s">
        <v>6</v>
      </c>
      <c r="L42">
        <v>78</v>
      </c>
      <c r="N42" s="6">
        <f t="shared" si="21"/>
        <v>206.97606931338734</v>
      </c>
      <c r="O42" s="11">
        <f t="shared" si="4"/>
        <v>52.157969466973611</v>
      </c>
      <c r="P42">
        <f t="shared" si="5"/>
        <v>46046.840039108596</v>
      </c>
      <c r="R42">
        <f t="shared" si="6"/>
        <v>110.03833960834393</v>
      </c>
    </row>
    <row r="43" spans="1:18" x14ac:dyDescent="0.35">
      <c r="A43" t="s">
        <v>46</v>
      </c>
      <c r="B43" t="s">
        <v>5</v>
      </c>
      <c r="C43">
        <v>79</v>
      </c>
      <c r="E43">
        <f t="shared" si="7"/>
        <v>46046.840039108596</v>
      </c>
      <c r="F43" s="8">
        <f t="shared" si="20"/>
        <v>230.234200195543</v>
      </c>
      <c r="G43" s="9">
        <f t="shared" si="1"/>
        <v>58.019018449276835</v>
      </c>
      <c r="H43">
        <f t="shared" si="2"/>
        <v>46104.859057557871</v>
      </c>
      <c r="K43" t="s">
        <v>6</v>
      </c>
      <c r="L43">
        <v>80</v>
      </c>
      <c r="N43" s="6">
        <f t="shared" si="21"/>
        <v>207.47186575901046</v>
      </c>
      <c r="O43" s="11">
        <f t="shared" si="4"/>
        <v>52.282910171270636</v>
      </c>
      <c r="P43">
        <f t="shared" si="5"/>
        <v>46157.141967729141</v>
      </c>
      <c r="R43">
        <f t="shared" si="6"/>
        <v>110.30192862054747</v>
      </c>
    </row>
    <row r="44" spans="1:18" s="6" customFormat="1" x14ac:dyDescent="0.35">
      <c r="A44" s="6" t="s">
        <v>47</v>
      </c>
      <c r="B44" s="6" t="s">
        <v>6</v>
      </c>
      <c r="C44" s="6">
        <v>81</v>
      </c>
      <c r="D44" s="7">
        <v>4.4999999999999997E-3</v>
      </c>
      <c r="E44" s="6">
        <f t="shared" si="7"/>
        <v>46157.141967729141</v>
      </c>
      <c r="F44" s="8">
        <f>E44*0.45%</f>
        <v>207.70713885478116</v>
      </c>
      <c r="G44" s="9">
        <f t="shared" si="1"/>
        <v>52.342198991404857</v>
      </c>
      <c r="H44" s="6">
        <f t="shared" si="2"/>
        <v>46209.484166720547</v>
      </c>
      <c r="K44" s="6" t="s">
        <v>6</v>
      </c>
      <c r="L44" s="6">
        <v>82</v>
      </c>
      <c r="M44" s="7">
        <v>3.0000000000000001E-3</v>
      </c>
      <c r="N44" s="6">
        <f>H44*0.3%</f>
        <v>138.62845250016164</v>
      </c>
      <c r="O44" s="11">
        <f t="shared" si="4"/>
        <v>34.934370030040732</v>
      </c>
      <c r="P44" s="6">
        <f t="shared" si="5"/>
        <v>46244.418536750585</v>
      </c>
      <c r="R44" s="6">
        <f t="shared" si="6"/>
        <v>87.276569021445596</v>
      </c>
    </row>
    <row r="45" spans="1:18" x14ac:dyDescent="0.35">
      <c r="A45" t="s">
        <v>48</v>
      </c>
      <c r="B45" t="s">
        <v>6</v>
      </c>
      <c r="C45">
        <v>83</v>
      </c>
      <c r="E45">
        <f t="shared" si="7"/>
        <v>46244.418536750585</v>
      </c>
      <c r="F45" s="8">
        <f t="shared" ref="F45:F48" si="22">E45*0.45%</f>
        <v>208.09988341537766</v>
      </c>
      <c r="G45" s="9">
        <f t="shared" si="1"/>
        <v>52.441170620675173</v>
      </c>
      <c r="H45">
        <f t="shared" si="2"/>
        <v>46296.859707371259</v>
      </c>
      <c r="K45" t="s">
        <v>6</v>
      </c>
      <c r="L45">
        <v>84</v>
      </c>
      <c r="N45" s="6">
        <f t="shared" ref="N45:N48" si="23">H45*0.3%</f>
        <v>138.89057912211379</v>
      </c>
      <c r="O45" s="11">
        <f t="shared" si="4"/>
        <v>35.000425938772679</v>
      </c>
      <c r="P45">
        <f t="shared" si="5"/>
        <v>46331.860133310031</v>
      </c>
      <c r="R45">
        <f t="shared" si="6"/>
        <v>87.441596559447845</v>
      </c>
    </row>
    <row r="46" spans="1:18" x14ac:dyDescent="0.35">
      <c r="A46" t="s">
        <v>49</v>
      </c>
      <c r="B46" t="s">
        <v>6</v>
      </c>
      <c r="C46">
        <v>85</v>
      </c>
      <c r="E46">
        <f t="shared" si="7"/>
        <v>46331.860133310031</v>
      </c>
      <c r="F46" s="8">
        <f t="shared" si="22"/>
        <v>208.49337059989517</v>
      </c>
      <c r="G46" s="9">
        <f t="shared" si="1"/>
        <v>52.540329391173586</v>
      </c>
      <c r="H46">
        <f t="shared" si="2"/>
        <v>46384.400462701204</v>
      </c>
      <c r="K46" t="s">
        <v>6</v>
      </c>
      <c r="L46">
        <v>86</v>
      </c>
      <c r="N46" s="6">
        <f t="shared" si="23"/>
        <v>139.15320138810361</v>
      </c>
      <c r="O46" s="11">
        <f t="shared" si="4"/>
        <v>35.066606749802112</v>
      </c>
      <c r="P46">
        <f t="shared" si="5"/>
        <v>46419.467069451006</v>
      </c>
      <c r="R46">
        <f t="shared" si="6"/>
        <v>87.606936140975705</v>
      </c>
    </row>
    <row r="47" spans="1:18" x14ac:dyDescent="0.35">
      <c r="A47" t="s">
        <v>50</v>
      </c>
      <c r="B47" t="s">
        <v>6</v>
      </c>
      <c r="C47">
        <v>87</v>
      </c>
      <c r="E47">
        <f t="shared" si="7"/>
        <v>46419.467069451006</v>
      </c>
      <c r="F47" s="8">
        <f t="shared" si="22"/>
        <v>208.88760181252954</v>
      </c>
      <c r="G47" s="9">
        <f t="shared" si="1"/>
        <v>52.639675656757447</v>
      </c>
      <c r="H47">
        <f t="shared" si="2"/>
        <v>46472.106745107762</v>
      </c>
      <c r="K47" t="s">
        <v>6</v>
      </c>
      <c r="L47">
        <v>88</v>
      </c>
      <c r="N47" s="6">
        <f t="shared" si="23"/>
        <v>139.4163202353233</v>
      </c>
      <c r="O47" s="11">
        <f t="shared" si="4"/>
        <v>35.132912699301471</v>
      </c>
      <c r="P47">
        <f t="shared" si="5"/>
        <v>46507.239657807062</v>
      </c>
      <c r="R47">
        <f t="shared" si="6"/>
        <v>87.772588356058918</v>
      </c>
    </row>
    <row r="48" spans="1:18" x14ac:dyDescent="0.35">
      <c r="A48" t="s">
        <v>51</v>
      </c>
      <c r="B48" t="s">
        <v>6</v>
      </c>
      <c r="C48">
        <v>89</v>
      </c>
      <c r="E48">
        <f t="shared" si="7"/>
        <v>46507.239657807062</v>
      </c>
      <c r="F48" s="8">
        <f t="shared" si="22"/>
        <v>209.28257846013182</v>
      </c>
      <c r="G48" s="9">
        <f t="shared" si="1"/>
        <v>52.73920977195322</v>
      </c>
      <c r="H48">
        <f t="shared" si="2"/>
        <v>46559.978867579019</v>
      </c>
      <c r="K48" t="s">
        <v>6</v>
      </c>
      <c r="L48">
        <v>90</v>
      </c>
      <c r="N48" s="6">
        <f t="shared" si="23"/>
        <v>139.67993660273706</v>
      </c>
      <c r="O48" s="11">
        <f t="shared" si="4"/>
        <v>35.199344023889736</v>
      </c>
      <c r="P48">
        <f t="shared" si="5"/>
        <v>46595.178211602906</v>
      </c>
      <c r="R48">
        <f t="shared" si="6"/>
        <v>87.93855379584295</v>
      </c>
    </row>
    <row r="49" spans="1:18" s="6" customFormat="1" x14ac:dyDescent="0.35">
      <c r="A49" s="6" t="s">
        <v>52</v>
      </c>
      <c r="B49" s="6" t="s">
        <v>5</v>
      </c>
      <c r="C49" s="6">
        <v>91</v>
      </c>
      <c r="D49" s="7">
        <v>5.0000000000000001E-3</v>
      </c>
      <c r="E49" s="6">
        <f t="shared" si="7"/>
        <v>46595.178211602906</v>
      </c>
      <c r="F49" s="8">
        <f>E49*0.5%</f>
        <v>232.97589105801453</v>
      </c>
      <c r="G49" s="9">
        <f t="shared" si="1"/>
        <v>58.709924546619661</v>
      </c>
      <c r="H49" s="6">
        <f t="shared" si="2"/>
        <v>46653.888136149522</v>
      </c>
      <c r="K49" s="6" t="s">
        <v>6</v>
      </c>
      <c r="L49" s="6">
        <v>92</v>
      </c>
      <c r="M49" s="7">
        <v>4.4999999999999997E-3</v>
      </c>
      <c r="N49" s="6">
        <f>H49*0.45%</f>
        <v>209.94249661267287</v>
      </c>
      <c r="O49" s="11">
        <f t="shared" si="4"/>
        <v>52.905509146393563</v>
      </c>
      <c r="P49" s="6">
        <f t="shared" si="5"/>
        <v>46706.793645295918</v>
      </c>
      <c r="R49" s="6">
        <f t="shared" si="6"/>
        <v>111.61543369301322</v>
      </c>
    </row>
    <row r="50" spans="1:18" x14ac:dyDescent="0.35">
      <c r="A50" t="s">
        <v>53</v>
      </c>
      <c r="B50" t="s">
        <v>5</v>
      </c>
      <c r="C50">
        <v>93</v>
      </c>
      <c r="E50">
        <f t="shared" si="7"/>
        <v>46706.793645295918</v>
      </c>
      <c r="F50" s="8">
        <f t="shared" ref="F50:F53" si="24">E50*0.5%</f>
        <v>233.5339682264796</v>
      </c>
      <c r="G50" s="9">
        <f t="shared" si="1"/>
        <v>58.850559993072856</v>
      </c>
      <c r="H50">
        <f t="shared" si="2"/>
        <v>46765.644205288991</v>
      </c>
      <c r="K50" t="s">
        <v>6</v>
      </c>
      <c r="L50">
        <v>94</v>
      </c>
      <c r="N50" s="6">
        <f t="shared" ref="N50:N53" si="25">H50*0.45%</f>
        <v>210.4453989238005</v>
      </c>
      <c r="O50" s="11">
        <f t="shared" si="4"/>
        <v>53.032240528797729</v>
      </c>
      <c r="P50">
        <f t="shared" si="5"/>
        <v>46818.676445817786</v>
      </c>
      <c r="R50">
        <f t="shared" si="6"/>
        <v>111.88280052187059</v>
      </c>
    </row>
    <row r="51" spans="1:18" x14ac:dyDescent="0.35">
      <c r="A51" t="s">
        <v>54</v>
      </c>
      <c r="B51" t="s">
        <v>5</v>
      </c>
      <c r="C51">
        <v>95</v>
      </c>
      <c r="E51">
        <f t="shared" si="7"/>
        <v>46818.676445817786</v>
      </c>
      <c r="F51" s="8">
        <f t="shared" si="24"/>
        <v>234.09338222908895</v>
      </c>
      <c r="G51" s="9">
        <f t="shared" si="1"/>
        <v>58.991532321730418</v>
      </c>
      <c r="H51">
        <f t="shared" si="2"/>
        <v>46877.667978139514</v>
      </c>
      <c r="K51" t="s">
        <v>6</v>
      </c>
      <c r="L51">
        <v>96</v>
      </c>
      <c r="N51" s="6">
        <f t="shared" si="25"/>
        <v>210.94950590162784</v>
      </c>
      <c r="O51" s="11">
        <f t="shared" si="4"/>
        <v>53.159275487210216</v>
      </c>
      <c r="P51">
        <f t="shared" si="5"/>
        <v>46930.827253626725</v>
      </c>
      <c r="R51">
        <f t="shared" si="6"/>
        <v>112.15080780894064</v>
      </c>
    </row>
    <row r="52" spans="1:18" x14ac:dyDescent="0.35">
      <c r="A52" t="s">
        <v>55</v>
      </c>
      <c r="B52" t="s">
        <v>5</v>
      </c>
      <c r="C52">
        <v>97</v>
      </c>
      <c r="E52">
        <f t="shared" si="7"/>
        <v>46930.827253626725</v>
      </c>
      <c r="F52" s="8">
        <f t="shared" si="24"/>
        <v>234.65413626813364</v>
      </c>
      <c r="G52" s="9">
        <f t="shared" si="1"/>
        <v>59.132842339569677</v>
      </c>
      <c r="H52">
        <f t="shared" si="2"/>
        <v>46989.960095966293</v>
      </c>
      <c r="K52" t="s">
        <v>6</v>
      </c>
      <c r="L52">
        <v>98</v>
      </c>
      <c r="N52" s="6">
        <f t="shared" si="25"/>
        <v>211.45482043184833</v>
      </c>
      <c r="O52" s="11">
        <f t="shared" si="4"/>
        <v>53.286614748825784</v>
      </c>
      <c r="P52">
        <f t="shared" si="5"/>
        <v>47043.246710715117</v>
      </c>
      <c r="R52">
        <f t="shared" si="6"/>
        <v>112.41945708839546</v>
      </c>
    </row>
    <row r="53" spans="1:18" x14ac:dyDescent="0.35">
      <c r="A53" t="s">
        <v>56</v>
      </c>
      <c r="B53" t="s">
        <v>5</v>
      </c>
      <c r="C53">
        <v>99</v>
      </c>
      <c r="E53">
        <f t="shared" si="7"/>
        <v>47043.246710715117</v>
      </c>
      <c r="F53" s="8">
        <f t="shared" si="24"/>
        <v>235.21623355357559</v>
      </c>
      <c r="G53" s="9">
        <f t="shared" si="1"/>
        <v>59.27449085550105</v>
      </c>
      <c r="H53">
        <f t="shared" si="2"/>
        <v>47102.52120157062</v>
      </c>
      <c r="K53" t="s">
        <v>6</v>
      </c>
      <c r="L53">
        <v>100</v>
      </c>
      <c r="N53" s="6">
        <f t="shared" si="25"/>
        <v>211.96134540706782</v>
      </c>
      <c r="O53" s="11">
        <f t="shared" si="4"/>
        <v>53.414259042581094</v>
      </c>
      <c r="P53">
        <f t="shared" si="5"/>
        <v>47155.935460613204</v>
      </c>
      <c r="R53">
        <f t="shared" si="6"/>
        <v>112.68874989808214</v>
      </c>
    </row>
    <row r="54" spans="1:18" s="6" customFormat="1" x14ac:dyDescent="0.35">
      <c r="A54" s="6" t="s">
        <v>57</v>
      </c>
      <c r="B54" s="6" t="s">
        <v>6</v>
      </c>
      <c r="C54" s="6">
        <v>101</v>
      </c>
      <c r="D54" s="7">
        <v>4.4999999999999997E-3</v>
      </c>
      <c r="E54" s="6">
        <f t="shared" si="7"/>
        <v>47155.935460613204</v>
      </c>
      <c r="F54" s="8">
        <f>E54*0.45%</f>
        <v>212.20170957275946</v>
      </c>
      <c r="G54" s="9">
        <f t="shared" si="1"/>
        <v>53.474830812335384</v>
      </c>
      <c r="H54" s="6">
        <f t="shared" si="2"/>
        <v>47209.410291425542</v>
      </c>
      <c r="K54" s="6" t="s">
        <v>12</v>
      </c>
      <c r="L54" s="6">
        <v>102</v>
      </c>
      <c r="M54" s="7">
        <v>4.5999999999999999E-3</v>
      </c>
      <c r="N54" s="6">
        <f>H54*0.46%</f>
        <v>217.1632873405575</v>
      </c>
      <c r="O54" s="11">
        <f t="shared" si="4"/>
        <v>54.725148409820491</v>
      </c>
      <c r="P54" s="6">
        <f t="shared" si="5"/>
        <v>47264.135439835365</v>
      </c>
      <c r="R54" s="6">
        <f t="shared" si="6"/>
        <v>108.19997922215587</v>
      </c>
    </row>
    <row r="55" spans="1:18" x14ac:dyDescent="0.35">
      <c r="A55" t="s">
        <v>58</v>
      </c>
      <c r="B55" t="s">
        <v>6</v>
      </c>
      <c r="C55">
        <v>103</v>
      </c>
      <c r="E55">
        <f t="shared" si="7"/>
        <v>47264.135439835365</v>
      </c>
      <c r="F55" s="8">
        <f t="shared" ref="F55:F58" si="26">E55*0.45%</f>
        <v>212.68860947925916</v>
      </c>
      <c r="G55" s="9">
        <f t="shared" si="1"/>
        <v>53.597529588773305</v>
      </c>
      <c r="H55">
        <f t="shared" si="2"/>
        <v>47317.732969424142</v>
      </c>
      <c r="K55" t="s">
        <v>12</v>
      </c>
      <c r="L55">
        <v>104</v>
      </c>
      <c r="N55" s="6">
        <f t="shared" ref="N55:N57" si="27">H55*0.46%</f>
        <v>217.66157165935104</v>
      </c>
      <c r="O55" s="11">
        <f t="shared" si="4"/>
        <v>54.850716058156465</v>
      </c>
      <c r="P55">
        <f t="shared" si="5"/>
        <v>47372.583685482299</v>
      </c>
      <c r="R55">
        <f t="shared" si="6"/>
        <v>108.44824564692976</v>
      </c>
    </row>
    <row r="56" spans="1:18" x14ac:dyDescent="0.35">
      <c r="A56" t="s">
        <v>59</v>
      </c>
      <c r="B56" t="s">
        <v>6</v>
      </c>
      <c r="C56">
        <v>105</v>
      </c>
      <c r="E56">
        <f t="shared" si="7"/>
        <v>47372.583685482299</v>
      </c>
      <c r="F56" s="8">
        <f t="shared" si="26"/>
        <v>213.17662658467037</v>
      </c>
      <c r="G56" s="9">
        <f t="shared" si="1"/>
        <v>53.720509899336932</v>
      </c>
      <c r="H56">
        <f t="shared" si="2"/>
        <v>47426.304195381636</v>
      </c>
      <c r="K56" t="s">
        <v>12</v>
      </c>
      <c r="L56">
        <v>106</v>
      </c>
      <c r="N56" s="6">
        <f t="shared" si="27"/>
        <v>218.16099929875551</v>
      </c>
      <c r="O56" s="11">
        <f t="shared" si="4"/>
        <v>54.976571823286392</v>
      </c>
      <c r="P56">
        <f t="shared" si="5"/>
        <v>47481.280767204924</v>
      </c>
      <c r="R56">
        <f t="shared" si="6"/>
        <v>108.69708172262332</v>
      </c>
    </row>
    <row r="57" spans="1:18" x14ac:dyDescent="0.35">
      <c r="A57" t="s">
        <v>60</v>
      </c>
      <c r="B57" t="s">
        <v>6</v>
      </c>
      <c r="C57">
        <v>107</v>
      </c>
      <c r="E57">
        <f t="shared" si="7"/>
        <v>47481.280767204924</v>
      </c>
      <c r="F57" s="8">
        <f t="shared" si="26"/>
        <v>213.66576345242217</v>
      </c>
      <c r="G57" s="9">
        <f t="shared" si="1"/>
        <v>53.843772390010386</v>
      </c>
      <c r="H57">
        <f t="shared" si="2"/>
        <v>47535.124539594937</v>
      </c>
      <c r="K57" t="s">
        <v>12</v>
      </c>
      <c r="L57">
        <v>108</v>
      </c>
      <c r="N57" s="6">
        <f t="shared" si="27"/>
        <v>218.66157288213671</v>
      </c>
      <c r="O57" s="11">
        <f t="shared" si="4"/>
        <v>55.102716366298452</v>
      </c>
      <c r="P57">
        <f t="shared" si="5"/>
        <v>47590.227255961239</v>
      </c>
      <c r="R57">
        <f t="shared" si="6"/>
        <v>108.94648875630884</v>
      </c>
    </row>
    <row r="58" spans="1:18" x14ac:dyDescent="0.35">
      <c r="A58" t="s">
        <v>61</v>
      </c>
      <c r="B58" t="s">
        <v>6</v>
      </c>
      <c r="C58">
        <v>109</v>
      </c>
      <c r="E58">
        <f t="shared" si="7"/>
        <v>47590.227255961239</v>
      </c>
      <c r="F58" s="8">
        <f t="shared" si="26"/>
        <v>214.15602265182559</v>
      </c>
      <c r="G58" s="9">
        <f t="shared" si="1"/>
        <v>53.967317708260047</v>
      </c>
      <c r="H58">
        <f t="shared" si="2"/>
        <v>47644.194573669498</v>
      </c>
      <c r="K58" t="s">
        <v>12</v>
      </c>
      <c r="L58">
        <v>110</v>
      </c>
      <c r="N58" s="6">
        <f>H58*0.46%</f>
        <v>219.16329503887968</v>
      </c>
      <c r="O58" s="11">
        <f t="shared" si="4"/>
        <v>55.229150349797678</v>
      </c>
      <c r="P58">
        <f t="shared" si="5"/>
        <v>47699.423724019296</v>
      </c>
      <c r="R58">
        <f t="shared" si="6"/>
        <v>109.19646805805772</v>
      </c>
    </row>
    <row r="59" spans="1:18" s="6" customFormat="1" x14ac:dyDescent="0.35">
      <c r="A59" s="6" t="s">
        <v>62</v>
      </c>
      <c r="B59" s="6" t="s">
        <v>6</v>
      </c>
      <c r="C59" s="6">
        <v>111</v>
      </c>
      <c r="D59" s="7">
        <v>4.0000000000000001E-3</v>
      </c>
      <c r="E59" s="6">
        <f t="shared" si="7"/>
        <v>47699.423724019296</v>
      </c>
      <c r="F59" s="8">
        <f>E59*0.4%</f>
        <v>190.79769489607719</v>
      </c>
      <c r="G59" s="9">
        <f t="shared" si="1"/>
        <v>48.08101911381145</v>
      </c>
      <c r="H59" s="6">
        <f t="shared" si="2"/>
        <v>47747.504743133104</v>
      </c>
      <c r="K59" s="6" t="s">
        <v>6</v>
      </c>
      <c r="L59" s="6">
        <v>112</v>
      </c>
      <c r="M59" s="7">
        <v>3.5000000000000001E-3</v>
      </c>
      <c r="N59" s="6">
        <f>H59*0.35%</f>
        <v>167.11626660096584</v>
      </c>
      <c r="O59" s="11">
        <f t="shared" si="4"/>
        <v>42.113299183443395</v>
      </c>
      <c r="P59" s="6">
        <f t="shared" si="5"/>
        <v>47789.61804231655</v>
      </c>
      <c r="R59" s="6">
        <f t="shared" si="6"/>
        <v>90.194318297254853</v>
      </c>
    </row>
    <row r="60" spans="1:18" x14ac:dyDescent="0.35">
      <c r="A60" t="s">
        <v>63</v>
      </c>
      <c r="B60" t="s">
        <v>6</v>
      </c>
      <c r="C60">
        <v>113</v>
      </c>
      <c r="E60">
        <f t="shared" si="7"/>
        <v>47789.61804231655</v>
      </c>
      <c r="F60" s="8">
        <f t="shared" ref="F60:F63" si="28">E60*0.4%</f>
        <v>191.15847216926619</v>
      </c>
      <c r="G60" s="9">
        <f t="shared" si="1"/>
        <v>48.171934986655081</v>
      </c>
      <c r="H60">
        <f t="shared" si="2"/>
        <v>47837.789977303204</v>
      </c>
      <c r="K60" t="s">
        <v>6</v>
      </c>
      <c r="L60">
        <v>114</v>
      </c>
      <c r="N60" s="6">
        <f t="shared" ref="N60:N63" si="29">H60*0.35%</f>
        <v>167.43226492056121</v>
      </c>
      <c r="O60" s="11">
        <f t="shared" si="4"/>
        <v>42.192930759981422</v>
      </c>
      <c r="P60">
        <f t="shared" si="5"/>
        <v>47879.982908063183</v>
      </c>
      <c r="R60">
        <f t="shared" si="6"/>
        <v>90.364865746636497</v>
      </c>
    </row>
    <row r="61" spans="1:18" x14ac:dyDescent="0.35">
      <c r="A61" t="s">
        <v>64</v>
      </c>
      <c r="B61" t="s">
        <v>6</v>
      </c>
      <c r="C61">
        <v>115</v>
      </c>
      <c r="E61">
        <f t="shared" si="7"/>
        <v>47879.982908063183</v>
      </c>
      <c r="F61" s="8">
        <f t="shared" si="28"/>
        <v>191.51993163225274</v>
      </c>
      <c r="G61" s="9">
        <f t="shared" si="1"/>
        <v>48.263022771327691</v>
      </c>
      <c r="H61">
        <f t="shared" si="2"/>
        <v>47928.245930834513</v>
      </c>
      <c r="K61" t="s">
        <v>6</v>
      </c>
      <c r="L61">
        <v>116</v>
      </c>
      <c r="N61" s="6">
        <f t="shared" si="29"/>
        <v>167.74886075792077</v>
      </c>
      <c r="O61" s="11">
        <f t="shared" si="4"/>
        <v>42.272712910996034</v>
      </c>
      <c r="P61">
        <f t="shared" si="5"/>
        <v>47970.518643745512</v>
      </c>
      <c r="R61">
        <f t="shared" si="6"/>
        <v>90.535735682323718</v>
      </c>
    </row>
    <row r="62" spans="1:18" x14ac:dyDescent="0.35">
      <c r="A62" t="s">
        <v>65</v>
      </c>
      <c r="B62" t="s">
        <v>6</v>
      </c>
      <c r="C62">
        <v>117</v>
      </c>
      <c r="E62">
        <f t="shared" si="7"/>
        <v>47970.518643745512</v>
      </c>
      <c r="F62" s="8">
        <f t="shared" si="28"/>
        <v>191.88207457498206</v>
      </c>
      <c r="G62" s="9">
        <f t="shared" si="1"/>
        <v>48.354282792895475</v>
      </c>
      <c r="H62">
        <f t="shared" si="2"/>
        <v>48018.87292653841</v>
      </c>
      <c r="K62" t="s">
        <v>6</v>
      </c>
      <c r="L62">
        <v>118</v>
      </c>
      <c r="N62" s="6">
        <f t="shared" si="29"/>
        <v>168.06605524288443</v>
      </c>
      <c r="O62" s="11">
        <f t="shared" si="4"/>
        <v>42.352645921206879</v>
      </c>
      <c r="P62">
        <f t="shared" si="5"/>
        <v>48061.225572459618</v>
      </c>
      <c r="R62">
        <f t="shared" si="6"/>
        <v>90.706928714102361</v>
      </c>
    </row>
    <row r="63" spans="1:18" s="13" customFormat="1" x14ac:dyDescent="0.35">
      <c r="A63" s="13" t="s">
        <v>66</v>
      </c>
      <c r="B63" s="13" t="s">
        <v>6</v>
      </c>
      <c r="C63" s="13">
        <v>119</v>
      </c>
      <c r="E63" s="13">
        <f t="shared" si="7"/>
        <v>48061.225572459618</v>
      </c>
      <c r="F63" s="14">
        <f t="shared" si="28"/>
        <v>192.24490228983848</v>
      </c>
      <c r="G63" s="9">
        <f t="shared" si="1"/>
        <v>48.445715377039299</v>
      </c>
      <c r="H63" s="13">
        <f t="shared" si="2"/>
        <v>48109.67128783666</v>
      </c>
      <c r="K63" s="13" t="s">
        <v>6</v>
      </c>
      <c r="L63" s="13">
        <v>120</v>
      </c>
      <c r="N63" s="13">
        <f t="shared" si="29"/>
        <v>168.38384950742829</v>
      </c>
      <c r="O63" s="11">
        <f t="shared" si="4"/>
        <v>42.43273007587193</v>
      </c>
      <c r="P63" s="13">
        <f t="shared" si="5"/>
        <v>48152.104017912534</v>
      </c>
      <c r="R63" s="13">
        <f t="shared" si="6"/>
        <v>90.878445452911222</v>
      </c>
    </row>
    <row r="64" spans="1:18" s="6" customFormat="1" x14ac:dyDescent="0.35">
      <c r="A64" s="6" t="s">
        <v>67</v>
      </c>
      <c r="B64" s="6" t="s">
        <v>5</v>
      </c>
      <c r="C64" s="6">
        <v>121</v>
      </c>
      <c r="D64" s="7">
        <v>3.7000000000000002E-3</v>
      </c>
      <c r="E64" s="6">
        <f t="shared" si="7"/>
        <v>48152.104017912534</v>
      </c>
      <c r="F64" s="8">
        <f>E64*0.37%</f>
        <v>178.16278486627638</v>
      </c>
      <c r="G64" s="9">
        <f t="shared" si="1"/>
        <v>44.89702178630165</v>
      </c>
      <c r="H64" s="6">
        <f t="shared" si="2"/>
        <v>48197.001039698836</v>
      </c>
      <c r="I64" s="10">
        <v>0.35</v>
      </c>
      <c r="J64" s="10"/>
      <c r="K64" s="10" t="s">
        <v>6</v>
      </c>
      <c r="L64" s="6">
        <v>122</v>
      </c>
      <c r="M64" s="7">
        <v>3.0000000000000001E-3</v>
      </c>
      <c r="N64" s="6">
        <f>H64*0.3%</f>
        <v>144.59100311909651</v>
      </c>
      <c r="O64" s="11">
        <f t="shared" si="4"/>
        <v>36.436932786012321</v>
      </c>
      <c r="P64" s="6">
        <f t="shared" si="5"/>
        <v>48233.437972484848</v>
      </c>
      <c r="Q64" s="12">
        <v>0.4</v>
      </c>
      <c r="R64" s="6">
        <f t="shared" si="6"/>
        <v>81.333954572313971</v>
      </c>
    </row>
    <row r="65" spans="1:18" x14ac:dyDescent="0.35">
      <c r="A65" t="s">
        <v>68</v>
      </c>
      <c r="B65" t="s">
        <v>5</v>
      </c>
      <c r="C65">
        <v>123</v>
      </c>
      <c r="E65">
        <f t="shared" si="7"/>
        <v>48233.437972484848</v>
      </c>
      <c r="F65" s="8">
        <f t="shared" ref="F65:F68" si="30">E65*0.37%</f>
        <v>178.46372049819394</v>
      </c>
      <c r="G65" s="9">
        <f t="shared" si="1"/>
        <v>44.972857565544871</v>
      </c>
      <c r="H65">
        <f t="shared" si="2"/>
        <v>48278.410830050394</v>
      </c>
      <c r="K65" t="s">
        <v>6</v>
      </c>
      <c r="L65">
        <v>124</v>
      </c>
      <c r="N65" s="6">
        <f t="shared" ref="N65:N68" si="31">H65*0.3%</f>
        <v>144.83523249015118</v>
      </c>
      <c r="O65" s="11">
        <f t="shared" si="4"/>
        <v>36.4984785875181</v>
      </c>
      <c r="P65">
        <f t="shared" si="5"/>
        <v>48314.909308637914</v>
      </c>
      <c r="R65">
        <f t="shared" si="6"/>
        <v>81.471336153062964</v>
      </c>
    </row>
    <row r="66" spans="1:18" x14ac:dyDescent="0.35">
      <c r="A66" t="s">
        <v>69</v>
      </c>
      <c r="B66" t="s">
        <v>5</v>
      </c>
      <c r="C66">
        <v>125</v>
      </c>
      <c r="E66">
        <f t="shared" si="7"/>
        <v>48314.909308637914</v>
      </c>
      <c r="F66" s="8">
        <f t="shared" si="30"/>
        <v>178.76516444196028</v>
      </c>
      <c r="G66" s="9">
        <f t="shared" si="1"/>
        <v>45.048821439373988</v>
      </c>
      <c r="H66">
        <f t="shared" si="2"/>
        <v>48359.958130077292</v>
      </c>
      <c r="K66" t="s">
        <v>6</v>
      </c>
      <c r="L66">
        <v>126</v>
      </c>
      <c r="N66" s="6">
        <f t="shared" si="31"/>
        <v>145.07987439023188</v>
      </c>
      <c r="O66" s="11">
        <f t="shared" si="4"/>
        <v>36.560128346338431</v>
      </c>
      <c r="P66">
        <f t="shared" si="5"/>
        <v>48396.518258423632</v>
      </c>
      <c r="R66">
        <f t="shared" si="6"/>
        <v>81.608949785712412</v>
      </c>
    </row>
    <row r="67" spans="1:18" x14ac:dyDescent="0.35">
      <c r="A67" t="s">
        <v>70</v>
      </c>
      <c r="B67" t="s">
        <v>5</v>
      </c>
      <c r="C67">
        <v>127</v>
      </c>
      <c r="E67">
        <f t="shared" si="7"/>
        <v>48396.518258423632</v>
      </c>
      <c r="F67" s="8">
        <f t="shared" si="30"/>
        <v>179.06711755616743</v>
      </c>
      <c r="G67" s="9">
        <f t="shared" si="1"/>
        <v>45.124913624154196</v>
      </c>
      <c r="H67">
        <f t="shared" si="2"/>
        <v>48441.643172047785</v>
      </c>
      <c r="K67" t="s">
        <v>6</v>
      </c>
      <c r="L67">
        <v>128</v>
      </c>
      <c r="N67" s="6">
        <f t="shared" si="31"/>
        <v>145.32492951614336</v>
      </c>
      <c r="O67" s="11">
        <f t="shared" si="4"/>
        <v>36.621882238068125</v>
      </c>
      <c r="P67">
        <f t="shared" si="5"/>
        <v>48478.265054285854</v>
      </c>
      <c r="R67">
        <f t="shared" si="6"/>
        <v>81.746795862222314</v>
      </c>
    </row>
    <row r="68" spans="1:18" x14ac:dyDescent="0.35">
      <c r="A68" t="s">
        <v>71</v>
      </c>
      <c r="B68" t="s">
        <v>5</v>
      </c>
      <c r="C68">
        <v>129</v>
      </c>
      <c r="E68">
        <f t="shared" si="7"/>
        <v>48478.265054285854</v>
      </c>
      <c r="F68" s="8">
        <f t="shared" si="30"/>
        <v>179.36958070085765</v>
      </c>
      <c r="G68" s="9">
        <f t="shared" si="1"/>
        <v>45.201134336616128</v>
      </c>
      <c r="H68">
        <f t="shared" si="2"/>
        <v>48523.466188622471</v>
      </c>
      <c r="K68" t="s">
        <v>6</v>
      </c>
      <c r="L68">
        <v>130</v>
      </c>
      <c r="N68" s="6">
        <f t="shared" si="31"/>
        <v>145.57039856586741</v>
      </c>
      <c r="O68" s="11">
        <f t="shared" si="4"/>
        <v>36.683740438598583</v>
      </c>
      <c r="P68">
        <f t="shared" si="5"/>
        <v>48560.149929061066</v>
      </c>
      <c r="R68">
        <f t="shared" si="6"/>
        <v>81.884874775214712</v>
      </c>
    </row>
    <row r="69" spans="1:18" s="6" customFormat="1" x14ac:dyDescent="0.35">
      <c r="A69" s="6" t="s">
        <v>72</v>
      </c>
      <c r="B69" s="6" t="s">
        <v>6</v>
      </c>
      <c r="C69" s="6">
        <v>131</v>
      </c>
      <c r="D69" s="7">
        <v>3.0000000000000001E-3</v>
      </c>
      <c r="E69" s="6">
        <f t="shared" si="7"/>
        <v>48560.149929061066</v>
      </c>
      <c r="F69" s="8">
        <f t="shared" ref="F69:F73" si="32">E69*0.3%</f>
        <v>145.68044978718319</v>
      </c>
      <c r="G69" s="9">
        <f t="shared" ref="G69:G132" si="33">F69*25.2%</f>
        <v>36.711473346370163</v>
      </c>
      <c r="H69" s="6">
        <f t="shared" ref="H69:H132" si="34">G69+E69</f>
        <v>48596.861402407434</v>
      </c>
      <c r="K69" s="6" t="s">
        <v>12</v>
      </c>
      <c r="L69" s="6">
        <v>132</v>
      </c>
      <c r="M69" s="7">
        <v>4.0000000000000001E-3</v>
      </c>
      <c r="N69" s="6">
        <f t="shared" ref="N69:N73" si="35">H69*0.4%</f>
        <v>194.38744560962974</v>
      </c>
      <c r="O69" s="11">
        <f t="shared" ref="O69:O132" si="36">N69*25.2%</f>
        <v>48.98563629362669</v>
      </c>
      <c r="P69" s="6">
        <f t="shared" ref="P69:P132" si="37">O69+H69</f>
        <v>48645.84703870106</v>
      </c>
      <c r="R69" s="6">
        <f t="shared" ref="R69:R132" si="38">O69+G69</f>
        <v>85.697109639996853</v>
      </c>
    </row>
    <row r="70" spans="1:18" x14ac:dyDescent="0.35">
      <c r="A70" t="s">
        <v>73</v>
      </c>
      <c r="B70" t="s">
        <v>6</v>
      </c>
      <c r="C70">
        <v>133</v>
      </c>
      <c r="E70">
        <f t="shared" ref="E70:E133" si="39">P69</f>
        <v>48645.84703870106</v>
      </c>
      <c r="F70" s="8">
        <f t="shared" si="32"/>
        <v>145.93754111610318</v>
      </c>
      <c r="G70" s="9">
        <f t="shared" si="33"/>
        <v>36.776260361258004</v>
      </c>
      <c r="H70">
        <f t="shared" si="34"/>
        <v>48682.623299062318</v>
      </c>
      <c r="K70" t="s">
        <v>12</v>
      </c>
      <c r="L70">
        <v>134</v>
      </c>
      <c r="N70" s="6">
        <f t="shared" si="35"/>
        <v>194.73049319624928</v>
      </c>
      <c r="O70" s="11">
        <f t="shared" si="36"/>
        <v>49.072084285454821</v>
      </c>
      <c r="P70">
        <f t="shared" si="37"/>
        <v>48731.695383347775</v>
      </c>
      <c r="R70">
        <f t="shared" si="38"/>
        <v>85.848344646712832</v>
      </c>
    </row>
    <row r="71" spans="1:18" x14ac:dyDescent="0.35">
      <c r="A71" t="s">
        <v>74</v>
      </c>
      <c r="B71" t="s">
        <v>6</v>
      </c>
      <c r="C71">
        <v>135</v>
      </c>
      <c r="E71">
        <f t="shared" si="39"/>
        <v>48731.695383347775</v>
      </c>
      <c r="F71" s="8">
        <f t="shared" si="32"/>
        <v>146.19508615004332</v>
      </c>
      <c r="G71" s="9">
        <f t="shared" si="33"/>
        <v>36.841161709810919</v>
      </c>
      <c r="H71">
        <f t="shared" si="34"/>
        <v>48768.536545057585</v>
      </c>
      <c r="K71" t="s">
        <v>12</v>
      </c>
      <c r="L71">
        <v>136</v>
      </c>
      <c r="N71" s="6">
        <f t="shared" si="35"/>
        <v>195.07414618023034</v>
      </c>
      <c r="O71" s="11">
        <f t="shared" si="36"/>
        <v>49.158684837418043</v>
      </c>
      <c r="P71">
        <f t="shared" si="37"/>
        <v>48817.695229895005</v>
      </c>
      <c r="R71">
        <f t="shared" si="38"/>
        <v>85.999846547228969</v>
      </c>
    </row>
    <row r="72" spans="1:18" x14ac:dyDescent="0.35">
      <c r="A72" t="s">
        <v>75</v>
      </c>
      <c r="B72" t="s">
        <v>6</v>
      </c>
      <c r="C72">
        <v>137</v>
      </c>
      <c r="E72">
        <f t="shared" si="39"/>
        <v>48817.695229895005</v>
      </c>
      <c r="F72" s="8">
        <f t="shared" si="32"/>
        <v>146.45308568968503</v>
      </c>
      <c r="G72" s="9">
        <f t="shared" si="33"/>
        <v>36.906177593800628</v>
      </c>
      <c r="H72">
        <f t="shared" si="34"/>
        <v>48854.601407488808</v>
      </c>
      <c r="K72" t="s">
        <v>12</v>
      </c>
      <c r="L72">
        <v>138</v>
      </c>
      <c r="N72" s="6">
        <f t="shared" si="35"/>
        <v>195.41840562995523</v>
      </c>
      <c r="O72" s="11">
        <f t="shared" si="36"/>
        <v>49.245438218748717</v>
      </c>
      <c r="P72">
        <f t="shared" si="37"/>
        <v>48903.846845707558</v>
      </c>
      <c r="R72">
        <f t="shared" si="38"/>
        <v>86.151615812549352</v>
      </c>
    </row>
    <row r="73" spans="1:18" x14ac:dyDescent="0.35">
      <c r="A73" t="s">
        <v>76</v>
      </c>
      <c r="B73" t="s">
        <v>6</v>
      </c>
      <c r="C73">
        <v>139</v>
      </c>
      <c r="E73">
        <f t="shared" si="39"/>
        <v>48903.846845707558</v>
      </c>
      <c r="F73" s="8">
        <f t="shared" si="32"/>
        <v>146.71154053712269</v>
      </c>
      <c r="G73" s="9">
        <f t="shared" si="33"/>
        <v>36.971308215354917</v>
      </c>
      <c r="H73">
        <f t="shared" si="34"/>
        <v>48940.818153922912</v>
      </c>
      <c r="K73" t="s">
        <v>12</v>
      </c>
      <c r="L73">
        <v>140</v>
      </c>
      <c r="N73" s="6">
        <f t="shared" si="35"/>
        <v>195.76327261569165</v>
      </c>
      <c r="O73" s="11">
        <f t="shared" si="36"/>
        <v>49.332344699154298</v>
      </c>
      <c r="P73">
        <f t="shared" si="37"/>
        <v>48990.150498622068</v>
      </c>
      <c r="R73">
        <f t="shared" si="38"/>
        <v>86.303652914509215</v>
      </c>
    </row>
    <row r="74" spans="1:18" s="6" customFormat="1" x14ac:dyDescent="0.35">
      <c r="A74" s="6" t="s">
        <v>77</v>
      </c>
      <c r="B74" s="6" t="s">
        <v>5</v>
      </c>
      <c r="C74" s="6">
        <v>141</v>
      </c>
      <c r="D74" s="7">
        <v>4.0000000000000001E-3</v>
      </c>
      <c r="E74" s="6">
        <f t="shared" si="39"/>
        <v>48990.150498622068</v>
      </c>
      <c r="F74" s="8">
        <f>E74*0.4%</f>
        <v>195.96060199448829</v>
      </c>
      <c r="G74" s="9">
        <f t="shared" si="33"/>
        <v>49.38207170261105</v>
      </c>
      <c r="H74" s="6">
        <f t="shared" si="34"/>
        <v>49039.532570324678</v>
      </c>
      <c r="K74" s="6" t="s">
        <v>12</v>
      </c>
      <c r="L74" s="6">
        <v>142</v>
      </c>
      <c r="M74" s="7">
        <v>5.0000000000000001E-3</v>
      </c>
      <c r="N74" s="6">
        <f>H74*0.5%</f>
        <v>245.19766285162339</v>
      </c>
      <c r="O74" s="11">
        <f t="shared" si="36"/>
        <v>61.789811038609095</v>
      </c>
      <c r="P74" s="6">
        <f t="shared" si="37"/>
        <v>49101.322381363287</v>
      </c>
      <c r="R74" s="6">
        <f t="shared" si="38"/>
        <v>111.17188274122014</v>
      </c>
    </row>
    <row r="75" spans="1:18" x14ac:dyDescent="0.35">
      <c r="A75" t="s">
        <v>78</v>
      </c>
      <c r="B75" t="s">
        <v>5</v>
      </c>
      <c r="C75">
        <v>143</v>
      </c>
      <c r="E75">
        <f t="shared" si="39"/>
        <v>49101.322381363287</v>
      </c>
      <c r="F75" s="8">
        <f t="shared" ref="F75:F78" si="40">E75*0.4%</f>
        <v>196.40528952545316</v>
      </c>
      <c r="G75" s="9">
        <f t="shared" si="33"/>
        <v>49.494132960414198</v>
      </c>
      <c r="H75">
        <f t="shared" si="34"/>
        <v>49150.816514323698</v>
      </c>
      <c r="K75" t="s">
        <v>12</v>
      </c>
      <c r="L75">
        <v>144</v>
      </c>
      <c r="N75" s="6">
        <f t="shared" ref="N75:N78" si="41">H75*0.5%</f>
        <v>245.75408257161848</v>
      </c>
      <c r="O75" s="11">
        <f t="shared" si="36"/>
        <v>61.930028808047858</v>
      </c>
      <c r="P75">
        <f t="shared" si="37"/>
        <v>49212.746543131747</v>
      </c>
      <c r="R75">
        <f t="shared" si="38"/>
        <v>111.42416176846206</v>
      </c>
    </row>
    <row r="76" spans="1:18" x14ac:dyDescent="0.35">
      <c r="A76" t="s">
        <v>79</v>
      </c>
      <c r="B76" t="s">
        <v>5</v>
      </c>
      <c r="C76">
        <v>145</v>
      </c>
      <c r="E76">
        <f t="shared" si="39"/>
        <v>49212.746543131747</v>
      </c>
      <c r="F76" s="8">
        <f t="shared" si="40"/>
        <v>196.850986172527</v>
      </c>
      <c r="G76" s="9">
        <f t="shared" si="33"/>
        <v>49.606448515476806</v>
      </c>
      <c r="H76">
        <f t="shared" si="34"/>
        <v>49262.352991647225</v>
      </c>
      <c r="K76" t="s">
        <v>12</v>
      </c>
      <c r="L76">
        <v>146</v>
      </c>
      <c r="N76" s="6">
        <f t="shared" si="41"/>
        <v>246.31176495823613</v>
      </c>
      <c r="O76" s="11">
        <f t="shared" si="36"/>
        <v>62.070564769475503</v>
      </c>
      <c r="P76">
        <f t="shared" si="37"/>
        <v>49324.423556416703</v>
      </c>
      <c r="R76">
        <f t="shared" si="38"/>
        <v>111.67701328495231</v>
      </c>
    </row>
    <row r="77" spans="1:18" x14ac:dyDescent="0.35">
      <c r="A77" t="s">
        <v>80</v>
      </c>
      <c r="B77" t="s">
        <v>5</v>
      </c>
      <c r="C77">
        <v>147</v>
      </c>
      <c r="E77">
        <f t="shared" si="39"/>
        <v>49324.423556416703</v>
      </c>
      <c r="F77" s="8">
        <f t="shared" si="40"/>
        <v>197.29769422566682</v>
      </c>
      <c r="G77" s="9">
        <f t="shared" si="33"/>
        <v>49.71901894486804</v>
      </c>
      <c r="H77">
        <f t="shared" si="34"/>
        <v>49374.142575361569</v>
      </c>
      <c r="K77" t="s">
        <v>12</v>
      </c>
      <c r="L77">
        <v>148</v>
      </c>
      <c r="N77" s="6">
        <f t="shared" si="41"/>
        <v>246.87071287680786</v>
      </c>
      <c r="O77" s="11">
        <f t="shared" si="36"/>
        <v>62.211419644955583</v>
      </c>
      <c r="P77">
        <f t="shared" si="37"/>
        <v>49436.353995006524</v>
      </c>
      <c r="R77">
        <f t="shared" si="38"/>
        <v>111.93043858982362</v>
      </c>
    </row>
    <row r="78" spans="1:18" x14ac:dyDescent="0.35">
      <c r="A78" t="s">
        <v>81</v>
      </c>
      <c r="B78" t="s">
        <v>5</v>
      </c>
      <c r="C78">
        <v>149</v>
      </c>
      <c r="E78">
        <f t="shared" si="39"/>
        <v>49436.353995006524</v>
      </c>
      <c r="F78" s="8">
        <f t="shared" si="40"/>
        <v>197.74541598002611</v>
      </c>
      <c r="G78" s="9">
        <f t="shared" si="33"/>
        <v>49.831844826966581</v>
      </c>
      <c r="H78">
        <f t="shared" si="34"/>
        <v>49486.185839833488</v>
      </c>
      <c r="K78" t="s">
        <v>12</v>
      </c>
      <c r="L78">
        <v>150</v>
      </c>
      <c r="N78" s="6">
        <f t="shared" si="41"/>
        <v>247.43092919916745</v>
      </c>
      <c r="O78" s="11">
        <f t="shared" si="36"/>
        <v>62.3525941581902</v>
      </c>
      <c r="P78">
        <f t="shared" si="37"/>
        <v>49548.538433991678</v>
      </c>
      <c r="R78">
        <f t="shared" si="38"/>
        <v>112.18443898515679</v>
      </c>
    </row>
    <row r="79" spans="1:18" s="6" customFormat="1" x14ac:dyDescent="0.35">
      <c r="A79" s="6" t="s">
        <v>82</v>
      </c>
      <c r="B79" s="6" t="s">
        <v>5</v>
      </c>
      <c r="C79" s="6">
        <v>151</v>
      </c>
      <c r="D79" s="7">
        <v>5.0000000000000001E-3</v>
      </c>
      <c r="E79" s="6">
        <f t="shared" si="39"/>
        <v>49548.538433991678</v>
      </c>
      <c r="F79" s="8">
        <f>E79*0.5%</f>
        <v>247.74269216995839</v>
      </c>
      <c r="G79" s="9">
        <f t="shared" si="33"/>
        <v>62.431158426829512</v>
      </c>
      <c r="H79" s="6">
        <f t="shared" si="34"/>
        <v>49610.969592418507</v>
      </c>
      <c r="K79" s="6" t="s">
        <v>6</v>
      </c>
      <c r="L79" s="6">
        <v>152</v>
      </c>
      <c r="M79" s="7">
        <v>4.4999999999999997E-3</v>
      </c>
      <c r="N79" s="6">
        <f>H79*0.45%</f>
        <v>223.2493631658833</v>
      </c>
      <c r="O79" s="11">
        <f t="shared" si="36"/>
        <v>56.258839517802592</v>
      </c>
      <c r="P79" s="6">
        <f t="shared" si="37"/>
        <v>49667.22843193631</v>
      </c>
      <c r="R79" s="6">
        <f t="shared" si="38"/>
        <v>118.6899979446321</v>
      </c>
    </row>
    <row r="80" spans="1:18" x14ac:dyDescent="0.35">
      <c r="A80" t="s">
        <v>83</v>
      </c>
      <c r="B80" t="s">
        <v>5</v>
      </c>
      <c r="C80">
        <v>153</v>
      </c>
      <c r="E80">
        <f t="shared" si="39"/>
        <v>49667.22843193631</v>
      </c>
      <c r="F80" s="8">
        <f t="shared" ref="F80:F83" si="42">E80*0.5%</f>
        <v>248.33614215968154</v>
      </c>
      <c r="G80" s="9">
        <f t="shared" si="33"/>
        <v>62.580707824239752</v>
      </c>
      <c r="H80">
        <f t="shared" si="34"/>
        <v>49729.809139760553</v>
      </c>
      <c r="K80" t="s">
        <v>6</v>
      </c>
      <c r="L80">
        <v>154</v>
      </c>
      <c r="N80" s="6">
        <f t="shared" ref="N80:N83" si="43">H80*0.45%</f>
        <v>223.78414112892253</v>
      </c>
      <c r="O80" s="11">
        <f t="shared" si="36"/>
        <v>56.39360356448848</v>
      </c>
      <c r="P80">
        <f t="shared" si="37"/>
        <v>49786.202743325041</v>
      </c>
      <c r="R80">
        <f t="shared" si="38"/>
        <v>118.97431138872824</v>
      </c>
    </row>
    <row r="81" spans="1:18" x14ac:dyDescent="0.35">
      <c r="A81" t="s">
        <v>84</v>
      </c>
      <c r="B81" t="s">
        <v>5</v>
      </c>
      <c r="C81">
        <v>155</v>
      </c>
      <c r="E81">
        <f t="shared" si="39"/>
        <v>49786.202743325041</v>
      </c>
      <c r="F81" s="8">
        <f t="shared" si="42"/>
        <v>248.93101371662522</v>
      </c>
      <c r="G81" s="9">
        <f t="shared" si="33"/>
        <v>62.730615456589554</v>
      </c>
      <c r="H81">
        <f t="shared" si="34"/>
        <v>49848.933358781629</v>
      </c>
      <c r="K81" t="s">
        <v>6</v>
      </c>
      <c r="L81">
        <v>156</v>
      </c>
      <c r="N81" s="6">
        <f t="shared" si="43"/>
        <v>224.32020011451735</v>
      </c>
      <c r="O81" s="11">
        <f t="shared" si="36"/>
        <v>56.528690428858376</v>
      </c>
      <c r="P81">
        <f t="shared" si="37"/>
        <v>49905.462049210488</v>
      </c>
      <c r="R81">
        <f t="shared" si="38"/>
        <v>119.25930588544793</v>
      </c>
    </row>
    <row r="82" spans="1:18" x14ac:dyDescent="0.35">
      <c r="A82" t="s">
        <v>85</v>
      </c>
      <c r="B82" t="s">
        <v>5</v>
      </c>
      <c r="C82">
        <v>157</v>
      </c>
      <c r="E82">
        <f t="shared" si="39"/>
        <v>49905.462049210488</v>
      </c>
      <c r="F82" s="8">
        <f t="shared" si="42"/>
        <v>249.52731024605245</v>
      </c>
      <c r="G82" s="9">
        <f t="shared" si="33"/>
        <v>62.880882182005216</v>
      </c>
      <c r="H82">
        <f t="shared" si="34"/>
        <v>49968.342931392493</v>
      </c>
      <c r="K82" t="s">
        <v>6</v>
      </c>
      <c r="L82">
        <v>158</v>
      </c>
      <c r="N82" s="6">
        <f t="shared" si="43"/>
        <v>224.85754319126625</v>
      </c>
      <c r="O82" s="11">
        <f t="shared" si="36"/>
        <v>56.664100884199094</v>
      </c>
      <c r="P82">
        <f t="shared" si="37"/>
        <v>50025.007032276691</v>
      </c>
      <c r="R82">
        <f t="shared" si="38"/>
        <v>119.54498306620431</v>
      </c>
    </row>
    <row r="83" spans="1:18" x14ac:dyDescent="0.35">
      <c r="A83" t="s">
        <v>86</v>
      </c>
      <c r="B83" t="s">
        <v>5</v>
      </c>
      <c r="C83">
        <v>159</v>
      </c>
      <c r="E83">
        <f t="shared" si="39"/>
        <v>50025.007032276691</v>
      </c>
      <c r="F83" s="8">
        <f t="shared" si="42"/>
        <v>250.12503516138347</v>
      </c>
      <c r="G83" s="9">
        <f t="shared" si="33"/>
        <v>63.03150886066863</v>
      </c>
      <c r="H83">
        <f t="shared" si="34"/>
        <v>50088.038541137357</v>
      </c>
      <c r="K83" t="s">
        <v>6</v>
      </c>
      <c r="L83">
        <v>160</v>
      </c>
      <c r="N83" s="6">
        <f t="shared" si="43"/>
        <v>225.39617343511813</v>
      </c>
      <c r="O83" s="11">
        <f t="shared" si="36"/>
        <v>56.79983570564977</v>
      </c>
      <c r="P83">
        <f t="shared" si="37"/>
        <v>50144.838376843007</v>
      </c>
      <c r="R83">
        <f t="shared" si="38"/>
        <v>119.83134456631839</v>
      </c>
    </row>
    <row r="84" spans="1:18" s="6" customFormat="1" x14ac:dyDescent="0.35">
      <c r="A84" s="6" t="s">
        <v>87</v>
      </c>
      <c r="B84" s="6" t="s">
        <v>5</v>
      </c>
      <c r="C84" s="6">
        <v>161</v>
      </c>
      <c r="D84" s="7">
        <v>6.0000000000000001E-3</v>
      </c>
      <c r="E84" s="6">
        <f t="shared" si="39"/>
        <v>50144.838376843007</v>
      </c>
      <c r="F84" s="8">
        <f>E84*0.6%</f>
        <v>300.86903026105807</v>
      </c>
      <c r="G84" s="9">
        <f t="shared" si="33"/>
        <v>75.818995625786641</v>
      </c>
      <c r="H84" s="6">
        <f t="shared" si="34"/>
        <v>50220.657372468791</v>
      </c>
      <c r="K84" s="6" t="s">
        <v>12</v>
      </c>
      <c r="L84" s="6">
        <v>162</v>
      </c>
      <c r="M84" s="7">
        <v>7.0000000000000001E-3</v>
      </c>
      <c r="N84" s="6">
        <f>H84*0.7%</f>
        <v>351.54460160728149</v>
      </c>
      <c r="O84" s="11">
        <f t="shared" si="36"/>
        <v>88.589239605034933</v>
      </c>
      <c r="P84" s="6">
        <f t="shared" si="37"/>
        <v>50309.246612073825</v>
      </c>
      <c r="R84" s="6">
        <f t="shared" si="38"/>
        <v>164.40823523082156</v>
      </c>
    </row>
    <row r="85" spans="1:18" x14ac:dyDescent="0.35">
      <c r="A85" t="s">
        <v>88</v>
      </c>
      <c r="B85" t="s">
        <v>5</v>
      </c>
      <c r="C85">
        <v>163</v>
      </c>
      <c r="E85">
        <f t="shared" si="39"/>
        <v>50309.246612073825</v>
      </c>
      <c r="F85" s="8">
        <f t="shared" ref="F85:F88" si="44">E85*0.6%</f>
        <v>301.85547967244293</v>
      </c>
      <c r="G85" s="9">
        <f t="shared" si="33"/>
        <v>76.067580877455612</v>
      </c>
      <c r="H85">
        <f t="shared" si="34"/>
        <v>50385.314192951279</v>
      </c>
      <c r="K85" t="s">
        <v>12</v>
      </c>
      <c r="L85">
        <v>164</v>
      </c>
      <c r="N85" s="6">
        <f t="shared" ref="N85:N88" si="45">H85*0.7%</f>
        <v>352.69719935065893</v>
      </c>
      <c r="O85" s="11">
        <f t="shared" si="36"/>
        <v>88.879694236366049</v>
      </c>
      <c r="P85">
        <f t="shared" si="37"/>
        <v>50474.193887187648</v>
      </c>
      <c r="R85">
        <f t="shared" si="38"/>
        <v>164.94727511382166</v>
      </c>
    </row>
    <row r="86" spans="1:18" x14ac:dyDescent="0.35">
      <c r="A86" t="s">
        <v>89</v>
      </c>
      <c r="B86" t="s">
        <v>5</v>
      </c>
      <c r="C86">
        <v>165</v>
      </c>
      <c r="E86">
        <f t="shared" si="39"/>
        <v>50474.193887187648</v>
      </c>
      <c r="F86" s="8">
        <f t="shared" si="44"/>
        <v>302.84516332312592</v>
      </c>
      <c r="G86" s="9">
        <f t="shared" si="33"/>
        <v>76.316981157427733</v>
      </c>
      <c r="H86">
        <f t="shared" si="34"/>
        <v>50550.510868345074</v>
      </c>
      <c r="K86" t="s">
        <v>12</v>
      </c>
      <c r="L86">
        <v>166</v>
      </c>
      <c r="N86" s="6">
        <f t="shared" si="45"/>
        <v>353.85357607841547</v>
      </c>
      <c r="O86" s="11">
        <f t="shared" si="36"/>
        <v>89.171101171760697</v>
      </c>
      <c r="P86">
        <f t="shared" si="37"/>
        <v>50639.681969516838</v>
      </c>
      <c r="R86">
        <f t="shared" si="38"/>
        <v>165.48808232918844</v>
      </c>
    </row>
    <row r="87" spans="1:18" x14ac:dyDescent="0.35">
      <c r="A87" t="s">
        <v>90</v>
      </c>
      <c r="B87" t="s">
        <v>5</v>
      </c>
      <c r="C87">
        <v>167</v>
      </c>
      <c r="E87">
        <f t="shared" si="39"/>
        <v>50639.681969516838</v>
      </c>
      <c r="F87" s="8">
        <f t="shared" si="44"/>
        <v>303.83809181710103</v>
      </c>
      <c r="G87" s="9">
        <f t="shared" si="33"/>
        <v>76.567199137909455</v>
      </c>
      <c r="H87">
        <f t="shared" si="34"/>
        <v>50716.249168654744</v>
      </c>
      <c r="K87" t="s">
        <v>12</v>
      </c>
      <c r="L87">
        <v>168</v>
      </c>
      <c r="N87" s="6">
        <f t="shared" si="45"/>
        <v>355.01374418058316</v>
      </c>
      <c r="O87" s="11">
        <f t="shared" si="36"/>
        <v>89.463463533506953</v>
      </c>
      <c r="P87">
        <f t="shared" si="37"/>
        <v>50805.712632188253</v>
      </c>
      <c r="R87">
        <f t="shared" si="38"/>
        <v>166.03066267141639</v>
      </c>
    </row>
    <row r="88" spans="1:18" x14ac:dyDescent="0.35">
      <c r="A88" t="s">
        <v>91</v>
      </c>
      <c r="B88" t="s">
        <v>5</v>
      </c>
      <c r="C88">
        <v>169</v>
      </c>
      <c r="E88">
        <f t="shared" si="39"/>
        <v>50805.712632188253</v>
      </c>
      <c r="F88" s="8">
        <f t="shared" si="44"/>
        <v>304.83427579312951</v>
      </c>
      <c r="G88" s="9">
        <f t="shared" si="33"/>
        <v>76.81823749986863</v>
      </c>
      <c r="H88">
        <f t="shared" si="34"/>
        <v>50882.530869688118</v>
      </c>
      <c r="K88" t="s">
        <v>12</v>
      </c>
      <c r="L88">
        <v>170</v>
      </c>
      <c r="N88" s="6">
        <f t="shared" si="45"/>
        <v>356.1777160878168</v>
      </c>
      <c r="O88" s="11">
        <f t="shared" si="36"/>
        <v>89.756784454129829</v>
      </c>
      <c r="P88">
        <f t="shared" si="37"/>
        <v>50972.287654142245</v>
      </c>
      <c r="R88">
        <f t="shared" si="38"/>
        <v>166.57502195399846</v>
      </c>
    </row>
    <row r="89" spans="1:18" s="6" customFormat="1" x14ac:dyDescent="0.35">
      <c r="A89" s="6" t="s">
        <v>92</v>
      </c>
      <c r="B89" s="6" t="s">
        <v>5</v>
      </c>
      <c r="C89" s="6">
        <v>171</v>
      </c>
      <c r="D89" s="7">
        <v>7.0000000000000001E-3</v>
      </c>
      <c r="E89" s="6">
        <f t="shared" si="39"/>
        <v>50972.287654142245</v>
      </c>
      <c r="F89" s="8">
        <f>E89*0.7%</f>
        <v>356.8060135789957</v>
      </c>
      <c r="G89" s="9">
        <f t="shared" si="33"/>
        <v>89.915115421906918</v>
      </c>
      <c r="H89" s="6">
        <f t="shared" si="34"/>
        <v>51062.202769564152</v>
      </c>
      <c r="K89" s="6" t="s">
        <v>12</v>
      </c>
      <c r="L89" s="6">
        <v>172</v>
      </c>
      <c r="M89" s="7">
        <v>8.0000000000000002E-3</v>
      </c>
      <c r="N89" s="6">
        <f>H89*0.8%</f>
        <v>408.49762215651322</v>
      </c>
      <c r="O89" s="11">
        <f t="shared" si="36"/>
        <v>102.94140078344134</v>
      </c>
      <c r="P89" s="6">
        <f t="shared" si="37"/>
        <v>51165.144170347594</v>
      </c>
      <c r="R89" s="6">
        <f t="shared" si="38"/>
        <v>192.85651620534827</v>
      </c>
    </row>
    <row r="90" spans="1:18" x14ac:dyDescent="0.35">
      <c r="A90" t="s">
        <v>93</v>
      </c>
      <c r="B90" t="s">
        <v>5</v>
      </c>
      <c r="C90">
        <v>173</v>
      </c>
      <c r="E90">
        <f t="shared" si="39"/>
        <v>51165.144170347594</v>
      </c>
      <c r="F90" s="8">
        <f t="shared" ref="F90:F93" si="46">E90*0.7%</f>
        <v>358.15600919243315</v>
      </c>
      <c r="G90" s="9">
        <f t="shared" si="33"/>
        <v>90.255314316493156</v>
      </c>
      <c r="H90">
        <f t="shared" si="34"/>
        <v>51255.399484664085</v>
      </c>
      <c r="K90" t="s">
        <v>12</v>
      </c>
      <c r="L90">
        <v>174</v>
      </c>
      <c r="N90" s="6">
        <f t="shared" ref="N90:N93" si="47">H90*0.8%</f>
        <v>410.04319587731271</v>
      </c>
      <c r="O90" s="11">
        <f t="shared" si="36"/>
        <v>103.33088536108281</v>
      </c>
      <c r="P90">
        <f t="shared" si="37"/>
        <v>51358.730370025165</v>
      </c>
      <c r="R90">
        <f t="shared" si="38"/>
        <v>193.58619967757596</v>
      </c>
    </row>
    <row r="91" spans="1:18" x14ac:dyDescent="0.35">
      <c r="A91" t="s">
        <v>94</v>
      </c>
      <c r="B91" t="s">
        <v>5</v>
      </c>
      <c r="C91">
        <v>175</v>
      </c>
      <c r="E91">
        <f t="shared" si="39"/>
        <v>51358.730370025165</v>
      </c>
      <c r="F91" s="8">
        <f t="shared" si="46"/>
        <v>359.51111259017614</v>
      </c>
      <c r="G91" s="9">
        <f t="shared" si="33"/>
        <v>90.596800372724388</v>
      </c>
      <c r="H91">
        <f t="shared" si="34"/>
        <v>51449.32717039789</v>
      </c>
      <c r="K91" t="s">
        <v>12</v>
      </c>
      <c r="L91">
        <v>176</v>
      </c>
      <c r="N91" s="6">
        <f t="shared" si="47"/>
        <v>411.59461736318315</v>
      </c>
      <c r="O91" s="11">
        <f t="shared" si="36"/>
        <v>103.72184357552216</v>
      </c>
      <c r="P91">
        <f t="shared" si="37"/>
        <v>51553.04901397341</v>
      </c>
      <c r="R91">
        <f t="shared" si="38"/>
        <v>194.31864394824655</v>
      </c>
    </row>
    <row r="92" spans="1:18" x14ac:dyDescent="0.35">
      <c r="A92" t="s">
        <v>95</v>
      </c>
      <c r="B92" t="s">
        <v>5</v>
      </c>
      <c r="C92">
        <v>177</v>
      </c>
      <c r="E92">
        <f t="shared" si="39"/>
        <v>51553.04901397341</v>
      </c>
      <c r="F92" s="8">
        <f t="shared" si="46"/>
        <v>360.87134309781385</v>
      </c>
      <c r="G92" s="9">
        <f t="shared" si="33"/>
        <v>90.939578460649088</v>
      </c>
      <c r="H92">
        <f t="shared" si="34"/>
        <v>51643.988592434056</v>
      </c>
      <c r="K92" t="s">
        <v>12</v>
      </c>
      <c r="L92">
        <v>178</v>
      </c>
      <c r="N92" s="6">
        <f t="shared" si="47"/>
        <v>413.15190873947245</v>
      </c>
      <c r="O92" s="11">
        <f t="shared" si="36"/>
        <v>104.11428100234706</v>
      </c>
      <c r="P92">
        <f t="shared" si="37"/>
        <v>51748.102873436401</v>
      </c>
      <c r="R92">
        <f t="shared" si="38"/>
        <v>195.05385946299614</v>
      </c>
    </row>
    <row r="93" spans="1:18" s="13" customFormat="1" x14ac:dyDescent="0.35">
      <c r="A93" s="13" t="s">
        <v>96</v>
      </c>
      <c r="B93" s="13" t="s">
        <v>5</v>
      </c>
      <c r="C93" s="13">
        <v>179</v>
      </c>
      <c r="E93" s="13">
        <f t="shared" si="39"/>
        <v>51748.102873436401</v>
      </c>
      <c r="F93" s="14">
        <f t="shared" si="46"/>
        <v>362.23672011405478</v>
      </c>
      <c r="G93" s="9">
        <f t="shared" si="33"/>
        <v>91.283653468741804</v>
      </c>
      <c r="H93" s="13">
        <f t="shared" si="34"/>
        <v>51839.386526905146</v>
      </c>
      <c r="K93" s="13" t="s">
        <v>12</v>
      </c>
      <c r="L93" s="13">
        <v>180</v>
      </c>
      <c r="N93" s="13">
        <f t="shared" si="47"/>
        <v>414.71509221524116</v>
      </c>
      <c r="O93" s="11">
        <f t="shared" si="36"/>
        <v>104.50820323824077</v>
      </c>
      <c r="P93" s="13">
        <f t="shared" si="37"/>
        <v>51943.894730143387</v>
      </c>
      <c r="R93" s="13">
        <f t="shared" si="38"/>
        <v>195.79185670698257</v>
      </c>
    </row>
    <row r="94" spans="1:18" s="6" customFormat="1" x14ac:dyDescent="0.35">
      <c r="A94" s="6" t="s">
        <v>97</v>
      </c>
      <c r="B94" s="6" t="s">
        <v>6</v>
      </c>
      <c r="C94" s="6">
        <v>181</v>
      </c>
      <c r="D94" s="7">
        <v>6.4999999999999997E-3</v>
      </c>
      <c r="E94" s="6">
        <f t="shared" si="39"/>
        <v>51943.894730143387</v>
      </c>
      <c r="F94" s="8">
        <f>E94*0.65%</f>
        <v>337.63531574593202</v>
      </c>
      <c r="G94" s="9">
        <f t="shared" si="33"/>
        <v>85.084099567974874</v>
      </c>
      <c r="H94" s="6">
        <f t="shared" si="34"/>
        <v>52028.978829711363</v>
      </c>
      <c r="I94" s="12">
        <v>0.45</v>
      </c>
      <c r="J94" s="12"/>
      <c r="K94" s="12" t="s">
        <v>12</v>
      </c>
      <c r="L94" s="6">
        <v>182</v>
      </c>
      <c r="M94" s="7">
        <v>8.9999999999999993E-3</v>
      </c>
      <c r="N94" s="6">
        <f>H94*0.9%</f>
        <v>468.26080946740234</v>
      </c>
      <c r="O94" s="11">
        <f t="shared" si="36"/>
        <v>118.00172398578539</v>
      </c>
      <c r="P94" s="6">
        <f t="shared" si="37"/>
        <v>52146.980553697147</v>
      </c>
      <c r="R94" s="6">
        <f t="shared" si="38"/>
        <v>203.08582355376026</v>
      </c>
    </row>
    <row r="95" spans="1:18" x14ac:dyDescent="0.35">
      <c r="A95" t="s">
        <v>98</v>
      </c>
      <c r="B95" t="s">
        <v>6</v>
      </c>
      <c r="C95">
        <v>183</v>
      </c>
      <c r="E95">
        <f t="shared" si="39"/>
        <v>52146.980553697147</v>
      </c>
      <c r="F95" s="8">
        <f t="shared" ref="F95:F98" si="48">E95*0.65%</f>
        <v>338.95537359903147</v>
      </c>
      <c r="G95" s="9">
        <f t="shared" si="33"/>
        <v>85.416754146955938</v>
      </c>
      <c r="H95">
        <f t="shared" si="34"/>
        <v>52232.397307844105</v>
      </c>
      <c r="K95" t="s">
        <v>12</v>
      </c>
      <c r="L95">
        <v>184</v>
      </c>
      <c r="N95" s="6">
        <f t="shared" ref="N95:N98" si="49">H95*0.9%</f>
        <v>470.09157577059699</v>
      </c>
      <c r="O95" s="11">
        <f t="shared" si="36"/>
        <v>118.46307709419044</v>
      </c>
      <c r="P95">
        <f t="shared" si="37"/>
        <v>52350.860384938293</v>
      </c>
      <c r="R95">
        <f t="shared" si="38"/>
        <v>203.87983124114638</v>
      </c>
    </row>
    <row r="96" spans="1:18" x14ac:dyDescent="0.35">
      <c r="A96" t="s">
        <v>99</v>
      </c>
      <c r="B96" t="s">
        <v>6</v>
      </c>
      <c r="C96">
        <v>185</v>
      </c>
      <c r="E96">
        <f t="shared" si="39"/>
        <v>52350.860384938293</v>
      </c>
      <c r="F96" s="8">
        <f t="shared" si="48"/>
        <v>340.28059250209895</v>
      </c>
      <c r="G96" s="9">
        <f t="shared" si="33"/>
        <v>85.750709310528933</v>
      </c>
      <c r="H96">
        <f t="shared" si="34"/>
        <v>52436.611094248823</v>
      </c>
      <c r="K96" t="s">
        <v>12</v>
      </c>
      <c r="L96">
        <v>186</v>
      </c>
      <c r="N96" s="6">
        <f t="shared" si="49"/>
        <v>471.92949984823946</v>
      </c>
      <c r="O96" s="11">
        <f t="shared" si="36"/>
        <v>118.92623396175634</v>
      </c>
      <c r="P96">
        <f t="shared" si="37"/>
        <v>52555.537328210579</v>
      </c>
      <c r="R96">
        <f t="shared" si="38"/>
        <v>204.67694327228526</v>
      </c>
    </row>
    <row r="97" spans="1:18" x14ac:dyDescent="0.35">
      <c r="A97" t="s">
        <v>100</v>
      </c>
      <c r="B97" t="s">
        <v>6</v>
      </c>
      <c r="C97">
        <v>187</v>
      </c>
      <c r="E97">
        <f t="shared" si="39"/>
        <v>52555.537328210579</v>
      </c>
      <c r="F97" s="8">
        <f t="shared" si="48"/>
        <v>341.61099263336882</v>
      </c>
      <c r="G97" s="9">
        <f t="shared" si="33"/>
        <v>86.085970143608947</v>
      </c>
      <c r="H97">
        <f t="shared" si="34"/>
        <v>52641.623298354185</v>
      </c>
      <c r="K97" t="s">
        <v>12</v>
      </c>
      <c r="L97">
        <v>188</v>
      </c>
      <c r="N97" s="6">
        <f t="shared" si="49"/>
        <v>473.77460968518773</v>
      </c>
      <c r="O97" s="11">
        <f t="shared" si="36"/>
        <v>119.3912016406673</v>
      </c>
      <c r="P97">
        <f t="shared" si="37"/>
        <v>52761.014499994853</v>
      </c>
      <c r="R97">
        <f t="shared" si="38"/>
        <v>205.47717178427627</v>
      </c>
    </row>
    <row r="98" spans="1:18" x14ac:dyDescent="0.35">
      <c r="A98" t="s">
        <v>101</v>
      </c>
      <c r="B98" t="s">
        <v>6</v>
      </c>
      <c r="C98">
        <v>189</v>
      </c>
      <c r="E98">
        <f t="shared" si="39"/>
        <v>52761.014499994853</v>
      </c>
      <c r="F98" s="8">
        <f t="shared" si="48"/>
        <v>342.94659424996655</v>
      </c>
      <c r="G98" s="9">
        <f t="shared" si="33"/>
        <v>86.42254175099157</v>
      </c>
      <c r="H98">
        <f t="shared" si="34"/>
        <v>52847.437041745849</v>
      </c>
      <c r="K98" t="s">
        <v>12</v>
      </c>
      <c r="L98">
        <v>190</v>
      </c>
      <c r="N98" s="6">
        <f t="shared" si="49"/>
        <v>475.62693337571267</v>
      </c>
      <c r="O98" s="11">
        <f t="shared" si="36"/>
        <v>119.8579872106796</v>
      </c>
      <c r="P98">
        <f t="shared" si="37"/>
        <v>52967.295028956527</v>
      </c>
      <c r="R98">
        <f t="shared" si="38"/>
        <v>206.28052896167117</v>
      </c>
    </row>
    <row r="99" spans="1:18" s="6" customFormat="1" x14ac:dyDescent="0.35">
      <c r="A99" s="6" t="s">
        <v>102</v>
      </c>
      <c r="B99" s="6" t="s">
        <v>6</v>
      </c>
      <c r="C99" s="6">
        <v>191</v>
      </c>
      <c r="D99" s="7">
        <v>6.0000000000000001E-3</v>
      </c>
      <c r="E99" s="6">
        <f t="shared" si="39"/>
        <v>52967.295028956527</v>
      </c>
      <c r="F99" s="8">
        <f>E99*0.6%</f>
        <v>317.80377017373917</v>
      </c>
      <c r="G99" s="9">
        <f t="shared" si="33"/>
        <v>80.086550083782271</v>
      </c>
      <c r="H99" s="6">
        <f t="shared" si="34"/>
        <v>53047.38157904031</v>
      </c>
      <c r="K99" s="6" t="s">
        <v>12</v>
      </c>
      <c r="L99" s="6">
        <v>192</v>
      </c>
      <c r="M99" s="7">
        <v>8.5000000000000006E-3</v>
      </c>
      <c r="N99" s="6">
        <f>H99*0.85%</f>
        <v>450.90274342184267</v>
      </c>
      <c r="O99" s="11">
        <f t="shared" si="36"/>
        <v>113.62749134230435</v>
      </c>
      <c r="P99" s="6">
        <f t="shared" si="37"/>
        <v>53161.009070382614</v>
      </c>
      <c r="R99" s="6">
        <f t="shared" si="38"/>
        <v>193.71404142608662</v>
      </c>
    </row>
    <row r="100" spans="1:18" x14ac:dyDescent="0.35">
      <c r="A100" t="s">
        <v>103</v>
      </c>
      <c r="B100" t="s">
        <v>6</v>
      </c>
      <c r="C100">
        <v>193</v>
      </c>
      <c r="E100">
        <f t="shared" si="39"/>
        <v>53161.009070382614</v>
      </c>
      <c r="F100" s="8">
        <f t="shared" ref="F100:F103" si="50">E100*0.6%</f>
        <v>318.96605442229571</v>
      </c>
      <c r="G100" s="9">
        <f t="shared" si="33"/>
        <v>80.379445714418523</v>
      </c>
      <c r="H100">
        <f t="shared" si="34"/>
        <v>53241.388516097031</v>
      </c>
      <c r="K100" t="s">
        <v>12</v>
      </c>
      <c r="L100">
        <v>194</v>
      </c>
      <c r="N100" s="6">
        <f t="shared" ref="N100:N103" si="51">H100*0.85%</f>
        <v>452.55180238682482</v>
      </c>
      <c r="O100" s="11">
        <f t="shared" si="36"/>
        <v>114.04305420147986</v>
      </c>
      <c r="P100">
        <f t="shared" si="37"/>
        <v>53355.431570298511</v>
      </c>
      <c r="R100">
        <f t="shared" si="38"/>
        <v>194.42249991589838</v>
      </c>
    </row>
    <row r="101" spans="1:18" x14ac:dyDescent="0.35">
      <c r="A101" t="s">
        <v>104</v>
      </c>
      <c r="B101" t="s">
        <v>6</v>
      </c>
      <c r="C101">
        <v>195</v>
      </c>
      <c r="E101">
        <f t="shared" si="39"/>
        <v>53355.431570298511</v>
      </c>
      <c r="F101" s="8">
        <f t="shared" si="50"/>
        <v>320.13258942179107</v>
      </c>
      <c r="G101" s="9">
        <f t="shared" si="33"/>
        <v>80.673412534291344</v>
      </c>
      <c r="H101">
        <f t="shared" si="34"/>
        <v>53436.104982832803</v>
      </c>
      <c r="K101" t="s">
        <v>12</v>
      </c>
      <c r="L101">
        <v>196</v>
      </c>
      <c r="N101" s="6">
        <f t="shared" si="51"/>
        <v>454.20689235407883</v>
      </c>
      <c r="O101" s="11">
        <f t="shared" si="36"/>
        <v>114.46013687322787</v>
      </c>
      <c r="P101">
        <f t="shared" si="37"/>
        <v>53550.565119706029</v>
      </c>
      <c r="R101">
        <f t="shared" si="38"/>
        <v>195.13354940751921</v>
      </c>
    </row>
    <row r="102" spans="1:18" x14ac:dyDescent="0.35">
      <c r="A102" t="s">
        <v>105</v>
      </c>
      <c r="B102" t="s">
        <v>6</v>
      </c>
      <c r="C102">
        <v>197</v>
      </c>
      <c r="E102">
        <f t="shared" si="39"/>
        <v>53550.565119706029</v>
      </c>
      <c r="F102" s="8">
        <f t="shared" si="50"/>
        <v>321.30339071823619</v>
      </c>
      <c r="G102" s="9">
        <f t="shared" si="33"/>
        <v>80.968454460995517</v>
      </c>
      <c r="H102">
        <f t="shared" si="34"/>
        <v>53631.533574167028</v>
      </c>
      <c r="K102" t="s">
        <v>12</v>
      </c>
      <c r="L102">
        <v>198</v>
      </c>
      <c r="N102" s="6">
        <f t="shared" si="51"/>
        <v>455.86803538041977</v>
      </c>
      <c r="O102" s="11">
        <f t="shared" si="36"/>
        <v>114.87874491586578</v>
      </c>
      <c r="P102">
        <f t="shared" si="37"/>
        <v>53746.41231908289</v>
      </c>
      <c r="R102">
        <f t="shared" si="38"/>
        <v>195.84719937686128</v>
      </c>
    </row>
    <row r="103" spans="1:18" x14ac:dyDescent="0.35">
      <c r="A103" t="s">
        <v>106</v>
      </c>
      <c r="B103" t="s">
        <v>6</v>
      </c>
      <c r="C103">
        <v>199</v>
      </c>
      <c r="E103">
        <f t="shared" si="39"/>
        <v>53746.41231908289</v>
      </c>
      <c r="F103" s="8">
        <f t="shared" si="50"/>
        <v>322.47847391449733</v>
      </c>
      <c r="G103" s="9">
        <f t="shared" si="33"/>
        <v>81.264575426453334</v>
      </c>
      <c r="H103">
        <f t="shared" si="34"/>
        <v>53827.676894509343</v>
      </c>
      <c r="K103" t="s">
        <v>12</v>
      </c>
      <c r="L103">
        <v>200</v>
      </c>
      <c r="N103" s="6">
        <f t="shared" si="51"/>
        <v>457.53525360332947</v>
      </c>
      <c r="O103" s="11">
        <f t="shared" si="36"/>
        <v>115.29888390803903</v>
      </c>
      <c r="P103">
        <f t="shared" si="37"/>
        <v>53942.975778417385</v>
      </c>
      <c r="R103">
        <f t="shared" si="38"/>
        <v>196.56345933449236</v>
      </c>
    </row>
    <row r="104" spans="1:18" s="6" customFormat="1" x14ac:dyDescent="0.35">
      <c r="A104" s="6" t="s">
        <v>107</v>
      </c>
      <c r="B104" s="6" t="s">
        <v>6</v>
      </c>
      <c r="C104" s="6">
        <v>201</v>
      </c>
      <c r="D104" s="7">
        <v>5.4999999999999997E-3</v>
      </c>
      <c r="E104" s="6">
        <f t="shared" si="39"/>
        <v>53942.975778417385</v>
      </c>
      <c r="F104" s="8">
        <f>E104*0.55%</f>
        <v>296.68636678129565</v>
      </c>
      <c r="G104" s="9">
        <f t="shared" si="33"/>
        <v>74.764964428886501</v>
      </c>
      <c r="H104" s="6">
        <f t="shared" si="34"/>
        <v>54017.740742846268</v>
      </c>
      <c r="K104" s="6" t="s">
        <v>12</v>
      </c>
      <c r="L104" s="6">
        <v>202</v>
      </c>
      <c r="M104" s="7">
        <v>8.0000000000000002E-3</v>
      </c>
      <c r="N104" s="6">
        <f>H104*0.8%</f>
        <v>432.14192594277017</v>
      </c>
      <c r="O104" s="11">
        <f t="shared" si="36"/>
        <v>108.89976533757809</v>
      </c>
      <c r="P104" s="6">
        <f t="shared" si="37"/>
        <v>54126.640508183846</v>
      </c>
      <c r="R104" s="6">
        <f t="shared" si="38"/>
        <v>183.66472976646457</v>
      </c>
    </row>
    <row r="105" spans="1:18" x14ac:dyDescent="0.35">
      <c r="A105" t="s">
        <v>108</v>
      </c>
      <c r="B105" t="s">
        <v>6</v>
      </c>
      <c r="C105">
        <v>203</v>
      </c>
      <c r="E105">
        <f t="shared" si="39"/>
        <v>54126.640508183846</v>
      </c>
      <c r="F105" s="8">
        <f t="shared" ref="F105:F108" si="52">E105*0.55%</f>
        <v>297.69652279501116</v>
      </c>
      <c r="G105" s="9">
        <f t="shared" si="33"/>
        <v>75.01952374434282</v>
      </c>
      <c r="H105">
        <f t="shared" si="34"/>
        <v>54201.660031928186</v>
      </c>
      <c r="K105" t="s">
        <v>12</v>
      </c>
      <c r="L105">
        <v>204</v>
      </c>
      <c r="N105" s="6">
        <f t="shared" ref="N105:N108" si="53">H105*0.8%</f>
        <v>433.61328025542548</v>
      </c>
      <c r="O105" s="11">
        <f t="shared" si="36"/>
        <v>109.27054662436723</v>
      </c>
      <c r="P105">
        <f t="shared" si="37"/>
        <v>54310.93057855255</v>
      </c>
      <c r="R105">
        <f t="shared" si="38"/>
        <v>184.29007036871005</v>
      </c>
    </row>
    <row r="106" spans="1:18" x14ac:dyDescent="0.35">
      <c r="A106" t="s">
        <v>109</v>
      </c>
      <c r="B106" t="s">
        <v>6</v>
      </c>
      <c r="C106">
        <v>205</v>
      </c>
      <c r="E106">
        <f t="shared" si="39"/>
        <v>54310.93057855255</v>
      </c>
      <c r="F106" s="8">
        <f t="shared" si="52"/>
        <v>298.71011818203908</v>
      </c>
      <c r="G106" s="9">
        <f t="shared" si="33"/>
        <v>75.274949781873843</v>
      </c>
      <c r="H106">
        <f t="shared" si="34"/>
        <v>54386.205528334423</v>
      </c>
      <c r="K106" t="s">
        <v>12</v>
      </c>
      <c r="L106">
        <v>206</v>
      </c>
      <c r="N106" s="6">
        <f t="shared" si="53"/>
        <v>435.08964422667538</v>
      </c>
      <c r="O106" s="11">
        <f t="shared" si="36"/>
        <v>109.6425903451222</v>
      </c>
      <c r="P106">
        <f t="shared" si="37"/>
        <v>54495.848118679547</v>
      </c>
      <c r="R106">
        <f t="shared" si="38"/>
        <v>184.91754012699604</v>
      </c>
    </row>
    <row r="107" spans="1:18" x14ac:dyDescent="0.35">
      <c r="A107" t="s">
        <v>110</v>
      </c>
      <c r="B107" t="s">
        <v>6</v>
      </c>
      <c r="C107">
        <v>207</v>
      </c>
      <c r="E107">
        <f t="shared" si="39"/>
        <v>54495.848118679547</v>
      </c>
      <c r="F107" s="8">
        <f t="shared" si="52"/>
        <v>299.72716465273754</v>
      </c>
      <c r="G107" s="9">
        <f t="shared" si="33"/>
        <v>75.531245492489859</v>
      </c>
      <c r="H107">
        <f t="shared" si="34"/>
        <v>54571.37936417204</v>
      </c>
      <c r="K107" t="s">
        <v>12</v>
      </c>
      <c r="L107">
        <v>208</v>
      </c>
      <c r="N107" s="6">
        <f t="shared" si="53"/>
        <v>436.57103491337631</v>
      </c>
      <c r="O107" s="11">
        <f t="shared" si="36"/>
        <v>110.01590079817083</v>
      </c>
      <c r="P107">
        <f t="shared" si="37"/>
        <v>54681.395264970211</v>
      </c>
      <c r="R107">
        <f t="shared" si="38"/>
        <v>185.54714629066069</v>
      </c>
    </row>
    <row r="108" spans="1:18" x14ac:dyDescent="0.35">
      <c r="A108" t="s">
        <v>111</v>
      </c>
      <c r="B108" t="s">
        <v>6</v>
      </c>
      <c r="C108">
        <v>209</v>
      </c>
      <c r="D108" s="15"/>
      <c r="E108">
        <f t="shared" si="39"/>
        <v>54681.395264970211</v>
      </c>
      <c r="F108" s="8">
        <f t="shared" si="52"/>
        <v>300.74767395733619</v>
      </c>
      <c r="G108" s="9">
        <f t="shared" si="33"/>
        <v>75.788413837248726</v>
      </c>
      <c r="H108">
        <f t="shared" si="34"/>
        <v>54757.183678807458</v>
      </c>
      <c r="K108" t="s">
        <v>12</v>
      </c>
      <c r="L108">
        <v>210</v>
      </c>
      <c r="N108" s="6">
        <f t="shared" si="53"/>
        <v>438.05746943045966</v>
      </c>
      <c r="O108" s="11">
        <f t="shared" si="36"/>
        <v>110.39048229647584</v>
      </c>
      <c r="P108">
        <f t="shared" si="37"/>
        <v>54867.574161103934</v>
      </c>
      <c r="R108">
        <f t="shared" si="38"/>
        <v>186.17889613372455</v>
      </c>
    </row>
    <row r="109" spans="1:18" s="6" customFormat="1" x14ac:dyDescent="0.35">
      <c r="A109" s="6" t="s">
        <v>112</v>
      </c>
      <c r="B109" s="6" t="s">
        <v>6</v>
      </c>
      <c r="C109" s="6">
        <v>211</v>
      </c>
      <c r="D109" s="7">
        <v>5.0000000000000001E-3</v>
      </c>
      <c r="E109" s="6">
        <f t="shared" si="39"/>
        <v>54867.574161103934</v>
      </c>
      <c r="F109" s="8">
        <f>E109*0.5%</f>
        <v>274.33787080551969</v>
      </c>
      <c r="G109" s="9">
        <f t="shared" si="33"/>
        <v>69.133143442990956</v>
      </c>
      <c r="H109" s="6">
        <f t="shared" si="34"/>
        <v>54936.707304546922</v>
      </c>
      <c r="K109" s="6" t="s">
        <v>12</v>
      </c>
      <c r="L109" s="6">
        <v>212</v>
      </c>
      <c r="M109" s="7">
        <v>7.4999999999999997E-3</v>
      </c>
      <c r="N109" s="6">
        <f>H109*0.75%</f>
        <v>412.02530478410188</v>
      </c>
      <c r="O109" s="11">
        <f t="shared" si="36"/>
        <v>103.83037680559367</v>
      </c>
      <c r="P109" s="6">
        <f t="shared" si="37"/>
        <v>55040.537681352514</v>
      </c>
      <c r="R109" s="6">
        <f t="shared" si="38"/>
        <v>172.96352024858464</v>
      </c>
    </row>
    <row r="110" spans="1:18" x14ac:dyDescent="0.35">
      <c r="A110" t="s">
        <v>113</v>
      </c>
      <c r="B110" t="s">
        <v>6</v>
      </c>
      <c r="C110">
        <v>213</v>
      </c>
      <c r="E110">
        <f t="shared" si="39"/>
        <v>55040.537681352514</v>
      </c>
      <c r="F110" s="8">
        <f t="shared" ref="F110:F113" si="54">E110*0.5%</f>
        <v>275.2026884067626</v>
      </c>
      <c r="G110" s="9">
        <f t="shared" si="33"/>
        <v>69.35107747850418</v>
      </c>
      <c r="H110">
        <f t="shared" si="34"/>
        <v>55109.888758831017</v>
      </c>
      <c r="K110" t="s">
        <v>12</v>
      </c>
      <c r="L110">
        <v>214</v>
      </c>
      <c r="N110" s="6">
        <f t="shared" ref="N110:N113" si="55">H110*0.75%</f>
        <v>413.32416569123262</v>
      </c>
      <c r="O110" s="11">
        <f t="shared" si="36"/>
        <v>104.15768975419063</v>
      </c>
      <c r="P110">
        <f t="shared" si="37"/>
        <v>55214.046448585206</v>
      </c>
      <c r="R110">
        <f t="shared" si="38"/>
        <v>173.50876723269482</v>
      </c>
    </row>
    <row r="111" spans="1:18" x14ac:dyDescent="0.35">
      <c r="A111" t="s">
        <v>114</v>
      </c>
      <c r="B111" t="s">
        <v>6</v>
      </c>
      <c r="C111">
        <v>215</v>
      </c>
      <c r="E111">
        <f t="shared" si="39"/>
        <v>55214.046448585206</v>
      </c>
      <c r="F111" s="8">
        <f t="shared" si="54"/>
        <v>276.07023224292601</v>
      </c>
      <c r="G111" s="9">
        <f t="shared" si="33"/>
        <v>69.569698525217362</v>
      </c>
      <c r="H111">
        <f t="shared" si="34"/>
        <v>55283.616147110421</v>
      </c>
      <c r="K111" t="s">
        <v>12</v>
      </c>
      <c r="L111">
        <v>216</v>
      </c>
      <c r="N111" s="6">
        <f t="shared" si="55"/>
        <v>414.62712110332814</v>
      </c>
      <c r="O111" s="11">
        <f t="shared" si="36"/>
        <v>104.48603451803869</v>
      </c>
      <c r="P111">
        <f t="shared" si="37"/>
        <v>55388.102181628463</v>
      </c>
      <c r="R111">
        <f t="shared" si="38"/>
        <v>174.05573304325605</v>
      </c>
    </row>
    <row r="112" spans="1:18" x14ac:dyDescent="0.35">
      <c r="A112" t="s">
        <v>115</v>
      </c>
      <c r="B112" t="s">
        <v>6</v>
      </c>
      <c r="C112">
        <v>217</v>
      </c>
      <c r="E112">
        <f t="shared" si="39"/>
        <v>55388.102181628463</v>
      </c>
      <c r="F112" s="8">
        <f t="shared" si="54"/>
        <v>276.9405109081423</v>
      </c>
      <c r="G112" s="9">
        <f t="shared" si="33"/>
        <v>69.789008748851856</v>
      </c>
      <c r="H112">
        <f t="shared" si="34"/>
        <v>55457.891190377311</v>
      </c>
      <c r="K112" t="s">
        <v>12</v>
      </c>
      <c r="L112">
        <v>218</v>
      </c>
      <c r="N112" s="6">
        <f t="shared" si="55"/>
        <v>415.93418392782979</v>
      </c>
      <c r="O112" s="11">
        <f t="shared" si="36"/>
        <v>104.81541434981311</v>
      </c>
      <c r="P112">
        <f t="shared" si="37"/>
        <v>55562.706604727122</v>
      </c>
      <c r="R112">
        <f t="shared" si="38"/>
        <v>174.60442309866497</v>
      </c>
    </row>
    <row r="113" spans="1:18" x14ac:dyDescent="0.35">
      <c r="A113" t="s">
        <v>116</v>
      </c>
      <c r="B113" t="s">
        <v>6</v>
      </c>
      <c r="C113">
        <v>219</v>
      </c>
      <c r="E113">
        <f t="shared" si="39"/>
        <v>55562.706604727122</v>
      </c>
      <c r="F113" s="8">
        <f t="shared" si="54"/>
        <v>277.81353302363561</v>
      </c>
      <c r="G113" s="9">
        <f t="shared" si="33"/>
        <v>70.009010321956168</v>
      </c>
      <c r="H113">
        <f t="shared" si="34"/>
        <v>55632.715615049077</v>
      </c>
      <c r="K113" t="s">
        <v>12</v>
      </c>
      <c r="L113">
        <v>220</v>
      </c>
      <c r="N113" s="6">
        <f t="shared" si="55"/>
        <v>417.24536711286805</v>
      </c>
      <c r="O113" s="11">
        <f t="shared" si="36"/>
        <v>105.14583251244275</v>
      </c>
      <c r="P113">
        <f t="shared" si="37"/>
        <v>55737.861447561518</v>
      </c>
      <c r="R113">
        <f t="shared" si="38"/>
        <v>175.15484283439892</v>
      </c>
    </row>
    <row r="114" spans="1:18" s="6" customFormat="1" x14ac:dyDescent="0.35">
      <c r="A114" s="6" t="s">
        <v>117</v>
      </c>
      <c r="B114" s="6" t="s">
        <v>6</v>
      </c>
      <c r="C114" s="6">
        <v>221</v>
      </c>
      <c r="D114" s="7">
        <v>4.4999999999999997E-3</v>
      </c>
      <c r="E114" s="6">
        <f t="shared" si="39"/>
        <v>55737.861447561518</v>
      </c>
      <c r="F114" s="8">
        <f>E114*0.45%</f>
        <v>250.82037651402686</v>
      </c>
      <c r="G114" s="9">
        <f t="shared" si="33"/>
        <v>63.206734881534771</v>
      </c>
      <c r="H114" s="6">
        <f t="shared" si="34"/>
        <v>55801.06818244305</v>
      </c>
      <c r="K114" s="6" t="s">
        <v>12</v>
      </c>
      <c r="L114" s="6">
        <v>222</v>
      </c>
      <c r="M114" s="7">
        <v>7.0000000000000097E-3</v>
      </c>
      <c r="N114" s="6">
        <f>H114*0.7%</f>
        <v>390.60747727710134</v>
      </c>
      <c r="O114" s="11">
        <f t="shared" si="36"/>
        <v>98.433084273829536</v>
      </c>
      <c r="P114" s="6">
        <f t="shared" si="37"/>
        <v>55899.501266716878</v>
      </c>
      <c r="R114" s="6">
        <f t="shared" si="38"/>
        <v>161.63981915536431</v>
      </c>
    </row>
    <row r="115" spans="1:18" x14ac:dyDescent="0.35">
      <c r="A115" t="s">
        <v>118</v>
      </c>
      <c r="B115" t="s">
        <v>6</v>
      </c>
      <c r="C115">
        <v>223</v>
      </c>
      <c r="E115">
        <f t="shared" si="39"/>
        <v>55899.501266716878</v>
      </c>
      <c r="F115" s="8">
        <f t="shared" ref="F115:F118" si="56">E115*0.45%</f>
        <v>251.54775570022599</v>
      </c>
      <c r="G115" s="9">
        <f t="shared" si="33"/>
        <v>63.390034436456951</v>
      </c>
      <c r="H115">
        <f t="shared" si="34"/>
        <v>55962.891301153337</v>
      </c>
      <c r="K115" t="s">
        <v>12</v>
      </c>
      <c r="L115">
        <v>224</v>
      </c>
      <c r="N115" s="6">
        <f t="shared" ref="N115:N118" si="57">H115*0.7%</f>
        <v>391.7402391080733</v>
      </c>
      <c r="O115" s="11">
        <f t="shared" si="36"/>
        <v>98.718540255234473</v>
      </c>
      <c r="P115">
        <f t="shared" si="37"/>
        <v>56061.609841408572</v>
      </c>
      <c r="R115">
        <f t="shared" si="38"/>
        <v>162.10857469169142</v>
      </c>
    </row>
    <row r="116" spans="1:18" x14ac:dyDescent="0.35">
      <c r="A116" t="s">
        <v>119</v>
      </c>
      <c r="B116" t="s">
        <v>6</v>
      </c>
      <c r="C116">
        <v>225</v>
      </c>
      <c r="E116">
        <f t="shared" si="39"/>
        <v>56061.609841408572</v>
      </c>
      <c r="F116" s="8">
        <f t="shared" si="56"/>
        <v>252.2772442863386</v>
      </c>
      <c r="G116" s="9">
        <f t="shared" si="33"/>
        <v>63.57386556015733</v>
      </c>
      <c r="H116">
        <f t="shared" si="34"/>
        <v>56125.183706968732</v>
      </c>
      <c r="K116" t="s">
        <v>12</v>
      </c>
      <c r="L116">
        <v>226</v>
      </c>
      <c r="N116" s="6">
        <f t="shared" si="57"/>
        <v>392.87628594878106</v>
      </c>
      <c r="O116" s="11">
        <f t="shared" si="36"/>
        <v>99.004824059092826</v>
      </c>
      <c r="P116">
        <f t="shared" si="37"/>
        <v>56224.188531027823</v>
      </c>
      <c r="R116">
        <f t="shared" si="38"/>
        <v>162.57868961925016</v>
      </c>
    </row>
    <row r="117" spans="1:18" x14ac:dyDescent="0.35">
      <c r="A117" t="s">
        <v>120</v>
      </c>
      <c r="B117" t="s">
        <v>6</v>
      </c>
      <c r="C117">
        <v>227</v>
      </c>
      <c r="E117">
        <f t="shared" si="39"/>
        <v>56224.188531027823</v>
      </c>
      <c r="F117" s="8">
        <f t="shared" si="56"/>
        <v>253.00884838962523</v>
      </c>
      <c r="G117" s="9">
        <f t="shared" si="33"/>
        <v>63.75822979418556</v>
      </c>
      <c r="H117">
        <f t="shared" si="34"/>
        <v>56287.946760822007</v>
      </c>
      <c r="K117" t="s">
        <v>12</v>
      </c>
      <c r="L117">
        <v>228</v>
      </c>
      <c r="N117" s="6">
        <f t="shared" si="57"/>
        <v>394.015627325754</v>
      </c>
      <c r="O117" s="11">
        <f t="shared" si="36"/>
        <v>99.291938086090013</v>
      </c>
      <c r="P117">
        <f t="shared" si="37"/>
        <v>56387.238698908099</v>
      </c>
      <c r="R117">
        <f t="shared" si="38"/>
        <v>163.05016788027558</v>
      </c>
    </row>
    <row r="118" spans="1:18" x14ac:dyDescent="0.35">
      <c r="A118" t="s">
        <v>121</v>
      </c>
      <c r="B118" t="s">
        <v>6</v>
      </c>
      <c r="C118">
        <v>229</v>
      </c>
      <c r="E118">
        <f t="shared" si="39"/>
        <v>56387.238698908099</v>
      </c>
      <c r="F118" s="8">
        <f t="shared" si="56"/>
        <v>253.74257414508648</v>
      </c>
      <c r="G118" s="9">
        <f t="shared" si="33"/>
        <v>63.943128684561792</v>
      </c>
      <c r="H118">
        <f t="shared" si="34"/>
        <v>56451.181827592663</v>
      </c>
      <c r="K118" t="s">
        <v>12</v>
      </c>
      <c r="L118">
        <v>230</v>
      </c>
      <c r="N118" s="6">
        <f t="shared" si="57"/>
        <v>395.15827279314863</v>
      </c>
      <c r="O118" s="11">
        <f t="shared" si="36"/>
        <v>99.57988474387345</v>
      </c>
      <c r="P118">
        <f t="shared" si="37"/>
        <v>56550.761712336534</v>
      </c>
      <c r="R118">
        <f t="shared" si="38"/>
        <v>163.52301342843523</v>
      </c>
    </row>
    <row r="119" spans="1:18" s="6" customFormat="1" x14ac:dyDescent="0.35">
      <c r="A119" s="6" t="s">
        <v>122</v>
      </c>
      <c r="B119" s="6" t="s">
        <v>6</v>
      </c>
      <c r="C119" s="6">
        <v>231</v>
      </c>
      <c r="D119" s="7">
        <v>4.0000000000000001E-3</v>
      </c>
      <c r="E119" s="6">
        <f t="shared" si="39"/>
        <v>56550.761712336534</v>
      </c>
      <c r="F119" s="8">
        <f>E119*0.4%</f>
        <v>226.20304684934615</v>
      </c>
      <c r="G119" s="9">
        <f t="shared" si="33"/>
        <v>57.003167806035229</v>
      </c>
      <c r="H119" s="6">
        <f t="shared" si="34"/>
        <v>56607.764880142568</v>
      </c>
      <c r="K119" s="6" t="s">
        <v>12</v>
      </c>
      <c r="L119" s="6">
        <v>232</v>
      </c>
      <c r="M119" s="7">
        <v>6.5000000000000101E-3</v>
      </c>
      <c r="N119" s="6">
        <f>H119*0.65%</f>
        <v>367.95047172092671</v>
      </c>
      <c r="O119" s="11">
        <f t="shared" si="36"/>
        <v>92.723518873673527</v>
      </c>
      <c r="P119" s="6">
        <f t="shared" si="37"/>
        <v>56700.488399016242</v>
      </c>
      <c r="R119" s="6">
        <f t="shared" si="38"/>
        <v>149.72668667970876</v>
      </c>
    </row>
    <row r="120" spans="1:18" x14ac:dyDescent="0.35">
      <c r="A120" t="s">
        <v>123</v>
      </c>
      <c r="B120" t="s">
        <v>6</v>
      </c>
      <c r="C120">
        <v>233</v>
      </c>
      <c r="E120">
        <f t="shared" si="39"/>
        <v>56700.488399016242</v>
      </c>
      <c r="F120" s="8">
        <f t="shared" ref="F120:F123" si="58">E120*0.4%</f>
        <v>226.80195359606498</v>
      </c>
      <c r="G120" s="9">
        <f t="shared" si="33"/>
        <v>57.154092306208376</v>
      </c>
      <c r="H120">
        <f t="shared" si="34"/>
        <v>56757.642491322447</v>
      </c>
      <c r="K120" t="s">
        <v>12</v>
      </c>
      <c r="L120">
        <v>234</v>
      </c>
      <c r="N120" s="6">
        <f t="shared" ref="N120:N123" si="59">H120*0.65%</f>
        <v>368.92467619359593</v>
      </c>
      <c r="O120" s="11">
        <f t="shared" si="36"/>
        <v>92.969018400786169</v>
      </c>
      <c r="P120">
        <f t="shared" si="37"/>
        <v>56850.611509723232</v>
      </c>
      <c r="R120">
        <f t="shared" si="38"/>
        <v>150.12311070699454</v>
      </c>
    </row>
    <row r="121" spans="1:18" x14ac:dyDescent="0.35">
      <c r="A121" t="s">
        <v>124</v>
      </c>
      <c r="B121" t="s">
        <v>6</v>
      </c>
      <c r="C121">
        <v>235</v>
      </c>
      <c r="E121">
        <f t="shared" si="39"/>
        <v>56850.611509723232</v>
      </c>
      <c r="F121" s="8">
        <f t="shared" si="58"/>
        <v>227.40244603889295</v>
      </c>
      <c r="G121" s="9">
        <f t="shared" si="33"/>
        <v>57.305416401801025</v>
      </c>
      <c r="H121">
        <f t="shared" si="34"/>
        <v>56907.916926125035</v>
      </c>
      <c r="K121" t="s">
        <v>12</v>
      </c>
      <c r="L121">
        <v>236</v>
      </c>
      <c r="N121" s="6">
        <f t="shared" si="59"/>
        <v>369.90146001981276</v>
      </c>
      <c r="O121" s="11">
        <f t="shared" si="36"/>
        <v>93.215167924992812</v>
      </c>
      <c r="P121">
        <f t="shared" si="37"/>
        <v>57001.13209405003</v>
      </c>
      <c r="R121">
        <f t="shared" si="38"/>
        <v>150.52058432679382</v>
      </c>
    </row>
    <row r="122" spans="1:18" x14ac:dyDescent="0.35">
      <c r="A122" t="s">
        <v>125</v>
      </c>
      <c r="B122" t="s">
        <v>6</v>
      </c>
      <c r="C122">
        <v>237</v>
      </c>
      <c r="E122">
        <f t="shared" si="39"/>
        <v>57001.13209405003</v>
      </c>
      <c r="F122" s="8">
        <f t="shared" si="58"/>
        <v>228.00452837620011</v>
      </c>
      <c r="G122" s="9">
        <f t="shared" si="33"/>
        <v>57.457141150802428</v>
      </c>
      <c r="H122">
        <f t="shared" si="34"/>
        <v>57058.58923520083</v>
      </c>
      <c r="K122" t="s">
        <v>12</v>
      </c>
      <c r="L122">
        <v>238</v>
      </c>
      <c r="N122" s="6">
        <f t="shared" si="59"/>
        <v>370.88083002880541</v>
      </c>
      <c r="O122" s="11">
        <f t="shared" si="36"/>
        <v>93.461969167258957</v>
      </c>
      <c r="P122">
        <f t="shared" si="37"/>
        <v>57152.051204368086</v>
      </c>
      <c r="R122">
        <f t="shared" si="38"/>
        <v>150.91911031806137</v>
      </c>
    </row>
    <row r="123" spans="1:18" s="13" customFormat="1" x14ac:dyDescent="0.35">
      <c r="A123" s="13" t="s">
        <v>126</v>
      </c>
      <c r="B123" s="13" t="s">
        <v>6</v>
      </c>
      <c r="C123" s="13">
        <v>239</v>
      </c>
      <c r="E123" s="13">
        <f t="shared" si="39"/>
        <v>57152.051204368086</v>
      </c>
      <c r="F123" s="14">
        <f t="shared" si="58"/>
        <v>228.60820481747234</v>
      </c>
      <c r="G123" s="9">
        <f t="shared" si="33"/>
        <v>57.609267614003031</v>
      </c>
      <c r="H123" s="13">
        <f t="shared" si="34"/>
        <v>57209.66047198209</v>
      </c>
      <c r="K123" s="13" t="s">
        <v>12</v>
      </c>
      <c r="L123" s="13">
        <v>240</v>
      </c>
      <c r="N123" s="13">
        <f t="shared" si="59"/>
        <v>371.86279306788362</v>
      </c>
      <c r="O123" s="11">
        <f t="shared" si="36"/>
        <v>93.709423853106671</v>
      </c>
      <c r="P123" s="13">
        <f t="shared" si="37"/>
        <v>57303.369895835196</v>
      </c>
      <c r="R123" s="13">
        <f t="shared" si="38"/>
        <v>151.31869146710972</v>
      </c>
    </row>
    <row r="124" spans="1:18" s="6" customFormat="1" x14ac:dyDescent="0.35">
      <c r="A124" s="6" t="s">
        <v>127</v>
      </c>
      <c r="B124" s="6" t="s">
        <v>6</v>
      </c>
      <c r="C124" s="6">
        <v>241</v>
      </c>
      <c r="D124" s="7">
        <v>5.0000000000000001E-3</v>
      </c>
      <c r="E124" s="6">
        <f t="shared" si="39"/>
        <v>57303.369895835196</v>
      </c>
      <c r="F124" s="8">
        <f>E124*0.5%</f>
        <v>286.51684947917596</v>
      </c>
      <c r="G124" s="9">
        <f t="shared" si="33"/>
        <v>72.202246068752345</v>
      </c>
      <c r="H124" s="6">
        <f t="shared" si="34"/>
        <v>57375.572141903947</v>
      </c>
      <c r="K124" s="6" t="s">
        <v>12</v>
      </c>
      <c r="L124" s="6">
        <v>242</v>
      </c>
      <c r="M124" s="7">
        <v>6.0000000000000097E-3</v>
      </c>
      <c r="N124" s="6">
        <f>H124*0.6%</f>
        <v>344.25343285142367</v>
      </c>
      <c r="O124" s="11">
        <f t="shared" si="36"/>
        <v>86.751865078558765</v>
      </c>
      <c r="P124" s="6">
        <f t="shared" si="37"/>
        <v>57462.324006982504</v>
      </c>
      <c r="R124" s="6">
        <f t="shared" si="38"/>
        <v>158.9541111473111</v>
      </c>
    </row>
    <row r="125" spans="1:18" x14ac:dyDescent="0.35">
      <c r="A125" t="s">
        <v>128</v>
      </c>
      <c r="B125" t="s">
        <v>6</v>
      </c>
      <c r="C125">
        <v>243</v>
      </c>
      <c r="E125">
        <f t="shared" si="39"/>
        <v>57462.324006982504</v>
      </c>
      <c r="F125" s="8">
        <f t="shared" ref="F125:F128" si="60">E125*0.5%</f>
        <v>287.31162003491255</v>
      </c>
      <c r="G125" s="9">
        <f t="shared" si="33"/>
        <v>72.402528248797964</v>
      </c>
      <c r="H125">
        <f t="shared" si="34"/>
        <v>57534.726535231304</v>
      </c>
      <c r="K125" t="s">
        <v>12</v>
      </c>
      <c r="L125">
        <v>244</v>
      </c>
      <c r="N125" s="6">
        <f t="shared" ref="N125:N128" si="61">H125*0.6%</f>
        <v>345.20835921138786</v>
      </c>
      <c r="O125" s="11">
        <f t="shared" si="36"/>
        <v>86.992506521269746</v>
      </c>
      <c r="P125">
        <f t="shared" si="37"/>
        <v>57621.719041752571</v>
      </c>
      <c r="R125">
        <f t="shared" si="38"/>
        <v>159.3950347700677</v>
      </c>
    </row>
    <row r="126" spans="1:18" x14ac:dyDescent="0.35">
      <c r="A126" t="s">
        <v>129</v>
      </c>
      <c r="B126" t="s">
        <v>6</v>
      </c>
      <c r="C126">
        <v>245</v>
      </c>
      <c r="E126">
        <f t="shared" si="39"/>
        <v>57621.719041752571</v>
      </c>
      <c r="F126" s="8">
        <f t="shared" si="60"/>
        <v>288.10859520876284</v>
      </c>
      <c r="G126" s="9">
        <f t="shared" si="33"/>
        <v>72.603365992608232</v>
      </c>
      <c r="H126">
        <f t="shared" si="34"/>
        <v>57694.322407745181</v>
      </c>
      <c r="K126" t="s">
        <v>12</v>
      </c>
      <c r="L126">
        <v>246</v>
      </c>
      <c r="N126" s="6">
        <f t="shared" si="61"/>
        <v>346.16593444647111</v>
      </c>
      <c r="O126" s="11">
        <f t="shared" si="36"/>
        <v>87.233815480510728</v>
      </c>
      <c r="P126">
        <f t="shared" si="37"/>
        <v>57781.556223225693</v>
      </c>
      <c r="R126">
        <f t="shared" si="38"/>
        <v>159.83718147311896</v>
      </c>
    </row>
    <row r="127" spans="1:18" x14ac:dyDescent="0.35">
      <c r="A127" t="s">
        <v>130</v>
      </c>
      <c r="B127" t="s">
        <v>6</v>
      </c>
      <c r="C127">
        <v>247</v>
      </c>
      <c r="E127">
        <f t="shared" si="39"/>
        <v>57781.556223225693</v>
      </c>
      <c r="F127" s="8">
        <f t="shared" si="60"/>
        <v>288.90778111612849</v>
      </c>
      <c r="G127" s="9">
        <f t="shared" si="33"/>
        <v>72.804760841264383</v>
      </c>
      <c r="H127">
        <f t="shared" si="34"/>
        <v>57854.36098406696</v>
      </c>
      <c r="K127" t="s">
        <v>12</v>
      </c>
      <c r="L127">
        <v>248</v>
      </c>
      <c r="N127" s="6">
        <f t="shared" si="61"/>
        <v>347.12616590440177</v>
      </c>
      <c r="O127" s="11">
        <f t="shared" si="36"/>
        <v>87.475793807909241</v>
      </c>
      <c r="P127">
        <f t="shared" si="37"/>
        <v>57941.836777874872</v>
      </c>
      <c r="R127">
        <f t="shared" si="38"/>
        <v>160.28055464917361</v>
      </c>
    </row>
    <row r="128" spans="1:18" x14ac:dyDescent="0.35">
      <c r="A128" t="s">
        <v>131</v>
      </c>
      <c r="B128" t="s">
        <v>6</v>
      </c>
      <c r="C128">
        <v>249</v>
      </c>
      <c r="E128">
        <f t="shared" si="39"/>
        <v>57941.836777874872</v>
      </c>
      <c r="F128" s="8">
        <f t="shared" si="60"/>
        <v>289.70918388937434</v>
      </c>
      <c r="G128" s="9">
        <f t="shared" si="33"/>
        <v>73.006714340122329</v>
      </c>
      <c r="H128">
        <f t="shared" si="34"/>
        <v>58014.843492214997</v>
      </c>
      <c r="K128" t="s">
        <v>12</v>
      </c>
      <c r="L128">
        <v>250</v>
      </c>
      <c r="N128" s="6">
        <f t="shared" si="61"/>
        <v>348.08906095329002</v>
      </c>
      <c r="O128" s="11">
        <f t="shared" si="36"/>
        <v>87.718443360229088</v>
      </c>
      <c r="P128">
        <f t="shared" si="37"/>
        <v>58102.561935575228</v>
      </c>
      <c r="R128">
        <f t="shared" si="38"/>
        <v>160.72515770035142</v>
      </c>
    </row>
    <row r="129" spans="1:18" s="6" customFormat="1" x14ac:dyDescent="0.35">
      <c r="A129" s="6" t="s">
        <v>132</v>
      </c>
      <c r="B129" s="6" t="s">
        <v>5</v>
      </c>
      <c r="C129" s="6">
        <v>251</v>
      </c>
      <c r="D129" s="7">
        <v>6.0000000000000001E-3</v>
      </c>
      <c r="E129" s="6">
        <f t="shared" si="39"/>
        <v>58102.561935575228</v>
      </c>
      <c r="F129" s="8">
        <f>E129*0.6%</f>
        <v>348.61537161345137</v>
      </c>
      <c r="G129" s="9">
        <f t="shared" si="33"/>
        <v>87.851073646589739</v>
      </c>
      <c r="H129" s="6">
        <f t="shared" si="34"/>
        <v>58190.413009221818</v>
      </c>
      <c r="K129" s="6" t="s">
        <v>6</v>
      </c>
      <c r="L129" s="6">
        <v>252</v>
      </c>
      <c r="M129" s="7">
        <v>5.5000000000000101E-3</v>
      </c>
      <c r="N129" s="6">
        <f>H129*0.55%</f>
        <v>320.04727155072004</v>
      </c>
      <c r="O129" s="11">
        <f t="shared" si="36"/>
        <v>80.651912430781451</v>
      </c>
      <c r="P129" s="6">
        <f t="shared" si="37"/>
        <v>58271.0649216526</v>
      </c>
      <c r="R129" s="6">
        <f t="shared" si="38"/>
        <v>168.50298607737119</v>
      </c>
    </row>
    <row r="130" spans="1:18" x14ac:dyDescent="0.35">
      <c r="A130" t="s">
        <v>133</v>
      </c>
      <c r="B130" t="s">
        <v>5</v>
      </c>
      <c r="C130">
        <v>253</v>
      </c>
      <c r="E130">
        <f t="shared" si="39"/>
        <v>58271.0649216526</v>
      </c>
      <c r="F130" s="8">
        <f t="shared" ref="F130:F133" si="62">E130*0.6%</f>
        <v>349.62638952991563</v>
      </c>
      <c r="G130" s="9">
        <f t="shared" si="33"/>
        <v>88.10585016153874</v>
      </c>
      <c r="H130">
        <f t="shared" si="34"/>
        <v>58359.170771814141</v>
      </c>
      <c r="K130" t="s">
        <v>6</v>
      </c>
      <c r="L130">
        <v>254</v>
      </c>
      <c r="N130" s="6">
        <f t="shared" ref="N130:N133" si="63">H130*0.55%</f>
        <v>320.97543924497779</v>
      </c>
      <c r="O130" s="11">
        <f t="shared" si="36"/>
        <v>80.885810689734399</v>
      </c>
      <c r="P130">
        <f t="shared" si="37"/>
        <v>58440.056582503872</v>
      </c>
      <c r="R130">
        <f t="shared" si="38"/>
        <v>168.99166085127314</v>
      </c>
    </row>
    <row r="131" spans="1:18" x14ac:dyDescent="0.35">
      <c r="A131" t="s">
        <v>134</v>
      </c>
      <c r="B131" t="s">
        <v>5</v>
      </c>
      <c r="C131">
        <v>255</v>
      </c>
      <c r="E131">
        <f t="shared" si="39"/>
        <v>58440.056582503872</v>
      </c>
      <c r="F131" s="8">
        <f t="shared" si="62"/>
        <v>350.64033949502323</v>
      </c>
      <c r="G131" s="9">
        <f t="shared" si="33"/>
        <v>88.361365552745852</v>
      </c>
      <c r="H131">
        <f t="shared" si="34"/>
        <v>58528.417948056616</v>
      </c>
      <c r="K131" t="s">
        <v>6</v>
      </c>
      <c r="L131">
        <v>256</v>
      </c>
      <c r="N131" s="6">
        <f t="shared" si="63"/>
        <v>321.90629871431145</v>
      </c>
      <c r="O131" s="11">
        <f t="shared" si="36"/>
        <v>81.120387276006483</v>
      </c>
      <c r="P131">
        <f t="shared" si="37"/>
        <v>58609.538335332625</v>
      </c>
      <c r="R131">
        <f t="shared" si="38"/>
        <v>169.48175282875235</v>
      </c>
    </row>
    <row r="132" spans="1:18" x14ac:dyDescent="0.35">
      <c r="A132" t="s">
        <v>135</v>
      </c>
      <c r="B132" t="s">
        <v>5</v>
      </c>
      <c r="C132">
        <v>257</v>
      </c>
      <c r="E132">
        <f t="shared" si="39"/>
        <v>58609.538335332625</v>
      </c>
      <c r="F132" s="8">
        <f t="shared" si="62"/>
        <v>351.65723001199575</v>
      </c>
      <c r="G132" s="9">
        <f t="shared" si="33"/>
        <v>88.617621963022927</v>
      </c>
      <c r="H132">
        <f t="shared" si="34"/>
        <v>58698.155957295647</v>
      </c>
      <c r="K132" t="s">
        <v>6</v>
      </c>
      <c r="L132">
        <v>258</v>
      </c>
      <c r="N132" s="6">
        <f t="shared" si="63"/>
        <v>322.83985776512611</v>
      </c>
      <c r="O132" s="11">
        <f t="shared" si="36"/>
        <v>81.355644156811778</v>
      </c>
      <c r="P132">
        <f t="shared" si="37"/>
        <v>58779.511601452461</v>
      </c>
      <c r="R132">
        <f t="shared" si="38"/>
        <v>169.9732661198347</v>
      </c>
    </row>
    <row r="133" spans="1:18" x14ac:dyDescent="0.35">
      <c r="A133" t="s">
        <v>136</v>
      </c>
      <c r="B133" t="s">
        <v>5</v>
      </c>
      <c r="C133">
        <v>259</v>
      </c>
      <c r="D133" s="15"/>
      <c r="E133">
        <f t="shared" si="39"/>
        <v>58779.511601452461</v>
      </c>
      <c r="F133" s="8">
        <f t="shared" si="62"/>
        <v>352.67706960871476</v>
      </c>
      <c r="G133" s="9">
        <f t="shared" ref="G133:G196" si="64">F133*25.2%</f>
        <v>88.874621541396124</v>
      </c>
      <c r="H133">
        <f t="shared" ref="H133:H196" si="65">G133+E133</f>
        <v>58868.38622299386</v>
      </c>
      <c r="K133" t="s">
        <v>6</v>
      </c>
      <c r="L133">
        <v>260</v>
      </c>
      <c r="N133" s="6">
        <f t="shared" si="63"/>
        <v>323.77612422646627</v>
      </c>
      <c r="O133" s="11">
        <f t="shared" ref="O133:O196" si="66">N133*25.2%</f>
        <v>81.591583305069506</v>
      </c>
      <c r="P133">
        <f t="shared" ref="P133:P196" si="67">O133+H133</f>
        <v>58949.977806298928</v>
      </c>
      <c r="R133">
        <f t="shared" ref="R133:R196" si="68">O133+G133</f>
        <v>170.46620484646564</v>
      </c>
    </row>
    <row r="134" spans="1:18" s="6" customFormat="1" x14ac:dyDescent="0.35">
      <c r="A134" s="6" t="s">
        <v>137</v>
      </c>
      <c r="B134" s="6" t="s">
        <v>5</v>
      </c>
      <c r="C134" s="6">
        <v>261</v>
      </c>
      <c r="D134" s="7">
        <v>7.0000000000000001E-3</v>
      </c>
      <c r="E134" s="6">
        <f t="shared" ref="E134:E197" si="69">P133</f>
        <v>58949.977806298928</v>
      </c>
      <c r="F134" s="8">
        <f>E134*0.7%</f>
        <v>412.64984464409247</v>
      </c>
      <c r="G134" s="9">
        <f t="shared" si="64"/>
        <v>103.9877608503113</v>
      </c>
      <c r="H134" s="6">
        <f t="shared" si="65"/>
        <v>59053.965567149236</v>
      </c>
      <c r="K134" s="6" t="s">
        <v>6</v>
      </c>
      <c r="L134" s="6">
        <v>262</v>
      </c>
      <c r="M134" s="7">
        <v>5.0000000000000096E-3</v>
      </c>
      <c r="N134" s="6">
        <f>H134*0.5%</f>
        <v>295.26982783574618</v>
      </c>
      <c r="O134" s="11">
        <f t="shared" si="66"/>
        <v>74.407996614608038</v>
      </c>
      <c r="P134" s="6">
        <f t="shared" si="67"/>
        <v>59128.373563763846</v>
      </c>
      <c r="R134" s="6">
        <f t="shared" si="68"/>
        <v>178.39575746491934</v>
      </c>
    </row>
    <row r="135" spans="1:18" x14ac:dyDescent="0.35">
      <c r="A135" t="s">
        <v>138</v>
      </c>
      <c r="B135" t="s">
        <v>5</v>
      </c>
      <c r="C135">
        <v>263</v>
      </c>
      <c r="E135">
        <f t="shared" si="69"/>
        <v>59128.373563763846</v>
      </c>
      <c r="F135" s="8">
        <f t="shared" ref="F135:F138" si="70">E135*0.7%</f>
        <v>413.89861494634687</v>
      </c>
      <c r="G135" s="9">
        <f t="shared" si="64"/>
        <v>104.30245096647941</v>
      </c>
      <c r="H135">
        <f t="shared" si="65"/>
        <v>59232.676014730328</v>
      </c>
      <c r="K135" t="s">
        <v>6</v>
      </c>
      <c r="L135">
        <v>264</v>
      </c>
      <c r="N135" s="6">
        <f t="shared" ref="N135:N138" si="71">H135*0.5%</f>
        <v>296.16338007365164</v>
      </c>
      <c r="O135" s="11">
        <f t="shared" si="66"/>
        <v>74.633171778560211</v>
      </c>
      <c r="P135">
        <f t="shared" si="67"/>
        <v>59307.309186508886</v>
      </c>
      <c r="R135">
        <f t="shared" si="68"/>
        <v>178.93562274503961</v>
      </c>
    </row>
    <row r="136" spans="1:18" x14ac:dyDescent="0.35">
      <c r="A136" t="s">
        <v>139</v>
      </c>
      <c r="B136" t="s">
        <v>5</v>
      </c>
      <c r="C136">
        <v>265</v>
      </c>
      <c r="E136">
        <f t="shared" si="69"/>
        <v>59307.309186508886</v>
      </c>
      <c r="F136" s="8">
        <f t="shared" si="70"/>
        <v>415.15116430556213</v>
      </c>
      <c r="G136" s="9">
        <f t="shared" si="64"/>
        <v>104.61809340500166</v>
      </c>
      <c r="H136">
        <f t="shared" si="65"/>
        <v>59411.927279913885</v>
      </c>
      <c r="K136" t="s">
        <v>6</v>
      </c>
      <c r="L136">
        <v>266</v>
      </c>
      <c r="N136" s="6">
        <f t="shared" si="71"/>
        <v>297.05963639956946</v>
      </c>
      <c r="O136" s="11">
        <f t="shared" si="66"/>
        <v>74.859028372691498</v>
      </c>
      <c r="P136">
        <f t="shared" si="67"/>
        <v>59486.786308286573</v>
      </c>
      <c r="R136">
        <f t="shared" si="68"/>
        <v>179.47712177769316</v>
      </c>
    </row>
    <row r="137" spans="1:18" x14ac:dyDescent="0.35">
      <c r="A137" t="s">
        <v>140</v>
      </c>
      <c r="B137" t="s">
        <v>5</v>
      </c>
      <c r="C137">
        <v>267</v>
      </c>
      <c r="E137">
        <f t="shared" si="69"/>
        <v>59486.786308286573</v>
      </c>
      <c r="F137" s="8">
        <f t="shared" si="70"/>
        <v>416.40750415800596</v>
      </c>
      <c r="G137" s="9">
        <f t="shared" si="64"/>
        <v>104.93469104781751</v>
      </c>
      <c r="H137">
        <f t="shared" si="65"/>
        <v>59591.720999334393</v>
      </c>
      <c r="K137" t="s">
        <v>6</v>
      </c>
      <c r="L137">
        <v>268</v>
      </c>
      <c r="N137" s="6">
        <f t="shared" si="71"/>
        <v>297.95860499667197</v>
      </c>
      <c r="O137" s="11">
        <f t="shared" si="66"/>
        <v>75.085568459161337</v>
      </c>
      <c r="P137">
        <f t="shared" si="67"/>
        <v>59666.806567793552</v>
      </c>
      <c r="R137">
        <f t="shared" si="68"/>
        <v>180.02025950697885</v>
      </c>
    </row>
    <row r="138" spans="1:18" x14ac:dyDescent="0.35">
      <c r="A138" t="s">
        <v>141</v>
      </c>
      <c r="B138" t="s">
        <v>5</v>
      </c>
      <c r="C138">
        <v>269</v>
      </c>
      <c r="E138">
        <f t="shared" si="69"/>
        <v>59666.806567793552</v>
      </c>
      <c r="F138" s="8">
        <f t="shared" si="70"/>
        <v>417.66764597455483</v>
      </c>
      <c r="G138" s="9">
        <f t="shared" si="64"/>
        <v>105.25224678558781</v>
      </c>
      <c r="H138">
        <f t="shared" si="65"/>
        <v>59772.058814579141</v>
      </c>
      <c r="K138" t="s">
        <v>6</v>
      </c>
      <c r="L138">
        <v>270</v>
      </c>
      <c r="N138" s="6">
        <f t="shared" si="71"/>
        <v>298.86029407289573</v>
      </c>
      <c r="O138" s="11">
        <f t="shared" si="66"/>
        <v>75.312794106369722</v>
      </c>
      <c r="P138">
        <f t="shared" si="67"/>
        <v>59847.371608685513</v>
      </c>
      <c r="R138">
        <f t="shared" si="68"/>
        <v>180.56504089195755</v>
      </c>
    </row>
    <row r="139" spans="1:18" s="6" customFormat="1" x14ac:dyDescent="0.35">
      <c r="A139" s="6" t="s">
        <v>142</v>
      </c>
      <c r="B139" s="6" t="s">
        <v>5</v>
      </c>
      <c r="C139" s="6">
        <v>271</v>
      </c>
      <c r="D139" s="7">
        <v>8.0000000000000002E-3</v>
      </c>
      <c r="E139" s="6">
        <f t="shared" si="69"/>
        <v>59847.371608685513</v>
      </c>
      <c r="F139" s="8">
        <f>E139*0.8%</f>
        <v>478.77897286948411</v>
      </c>
      <c r="G139" s="9">
        <f t="shared" si="64"/>
        <v>120.65230116311</v>
      </c>
      <c r="H139" s="6">
        <f t="shared" si="65"/>
        <v>59968.02390984862</v>
      </c>
      <c r="K139" s="6" t="s">
        <v>6</v>
      </c>
      <c r="L139" s="6">
        <v>272</v>
      </c>
      <c r="M139" s="7">
        <v>4.5000000000000101E-3</v>
      </c>
      <c r="N139" s="6">
        <f>H139*0.45%</f>
        <v>269.85610759431881</v>
      </c>
      <c r="O139" s="11">
        <f t="shared" si="66"/>
        <v>68.003739113768347</v>
      </c>
      <c r="P139" s="6">
        <f t="shared" si="67"/>
        <v>60036.027648962387</v>
      </c>
      <c r="R139" s="6">
        <f t="shared" si="68"/>
        <v>188.65604027687834</v>
      </c>
    </row>
    <row r="140" spans="1:18" x14ac:dyDescent="0.35">
      <c r="A140" t="s">
        <v>143</v>
      </c>
      <c r="B140" t="s">
        <v>5</v>
      </c>
      <c r="C140">
        <v>273</v>
      </c>
      <c r="E140">
        <f t="shared" si="69"/>
        <v>60036.027648962387</v>
      </c>
      <c r="F140" s="8">
        <f t="shared" ref="F140:F143" si="72">E140*0.8%</f>
        <v>480.28822119169911</v>
      </c>
      <c r="G140" s="9">
        <f t="shared" si="64"/>
        <v>121.03263174030818</v>
      </c>
      <c r="H140">
        <f t="shared" si="65"/>
        <v>60157.060280702695</v>
      </c>
      <c r="K140" t="s">
        <v>6</v>
      </c>
      <c r="L140">
        <v>274</v>
      </c>
      <c r="N140" s="6">
        <f t="shared" ref="N140:N143" si="73">H140*0.45%</f>
        <v>270.70677126316218</v>
      </c>
      <c r="O140" s="11">
        <f t="shared" si="66"/>
        <v>68.218106358316874</v>
      </c>
      <c r="P140">
        <f t="shared" si="67"/>
        <v>60225.278387061015</v>
      </c>
      <c r="R140">
        <f t="shared" si="68"/>
        <v>189.25073809862505</v>
      </c>
    </row>
    <row r="141" spans="1:18" x14ac:dyDescent="0.35">
      <c r="A141" t="s">
        <v>144</v>
      </c>
      <c r="B141" t="s">
        <v>5</v>
      </c>
      <c r="C141">
        <v>275</v>
      </c>
      <c r="E141">
        <f t="shared" si="69"/>
        <v>60225.278387061015</v>
      </c>
      <c r="F141" s="8">
        <f t="shared" si="72"/>
        <v>481.80222709648814</v>
      </c>
      <c r="G141" s="9">
        <f t="shared" si="64"/>
        <v>121.41416122831501</v>
      </c>
      <c r="H141">
        <f t="shared" si="65"/>
        <v>60346.692548289328</v>
      </c>
      <c r="K141" t="s">
        <v>6</v>
      </c>
      <c r="L141">
        <v>276</v>
      </c>
      <c r="N141" s="6">
        <f t="shared" si="73"/>
        <v>271.56011646730201</v>
      </c>
      <c r="O141" s="11">
        <f t="shared" si="66"/>
        <v>68.4331493497601</v>
      </c>
      <c r="P141">
        <f t="shared" si="67"/>
        <v>60415.125697639087</v>
      </c>
      <c r="R141">
        <f t="shared" si="68"/>
        <v>189.84731057807511</v>
      </c>
    </row>
    <row r="142" spans="1:18" x14ac:dyDescent="0.35">
      <c r="A142" t="s">
        <v>145</v>
      </c>
      <c r="B142" t="s">
        <v>5</v>
      </c>
      <c r="C142">
        <v>277</v>
      </c>
      <c r="E142">
        <f t="shared" si="69"/>
        <v>60415.125697639087</v>
      </c>
      <c r="F142" s="8">
        <f t="shared" si="72"/>
        <v>483.32100558111273</v>
      </c>
      <c r="G142" s="9">
        <f t="shared" si="64"/>
        <v>121.7968934064404</v>
      </c>
      <c r="H142">
        <f t="shared" si="65"/>
        <v>60536.922591045528</v>
      </c>
      <c r="K142" t="s">
        <v>6</v>
      </c>
      <c r="L142">
        <v>278</v>
      </c>
      <c r="N142" s="6">
        <f t="shared" si="73"/>
        <v>272.41615165970489</v>
      </c>
      <c r="O142" s="11">
        <f t="shared" si="66"/>
        <v>68.648870218245634</v>
      </c>
      <c r="P142">
        <f t="shared" si="67"/>
        <v>60605.571461263775</v>
      </c>
      <c r="R142">
        <f t="shared" si="68"/>
        <v>190.44576362468604</v>
      </c>
    </row>
    <row r="143" spans="1:18" x14ac:dyDescent="0.35">
      <c r="A143" t="s">
        <v>146</v>
      </c>
      <c r="B143" t="s">
        <v>5</v>
      </c>
      <c r="C143">
        <v>279</v>
      </c>
      <c r="D143" s="15"/>
      <c r="E143">
        <f t="shared" si="69"/>
        <v>60605.571461263775</v>
      </c>
      <c r="F143" s="8">
        <f t="shared" si="72"/>
        <v>484.84457169011023</v>
      </c>
      <c r="G143" s="9">
        <f t="shared" si="64"/>
        <v>122.18083206590778</v>
      </c>
      <c r="H143">
        <f t="shared" si="65"/>
        <v>60727.752293329686</v>
      </c>
      <c r="K143" t="s">
        <v>6</v>
      </c>
      <c r="L143">
        <v>280</v>
      </c>
      <c r="N143" s="6">
        <f t="shared" si="73"/>
        <v>273.27488531998364</v>
      </c>
      <c r="O143" s="11">
        <f t="shared" si="66"/>
        <v>68.86527110063588</v>
      </c>
      <c r="P143">
        <f t="shared" si="67"/>
        <v>60796.617564430322</v>
      </c>
      <c r="R143">
        <f t="shared" si="68"/>
        <v>191.04610316654367</v>
      </c>
    </row>
    <row r="144" spans="1:18" s="6" customFormat="1" x14ac:dyDescent="0.35">
      <c r="A144" s="6" t="s">
        <v>147</v>
      </c>
      <c r="B144" s="6" t="s">
        <v>5</v>
      </c>
      <c r="C144" s="6">
        <v>281</v>
      </c>
      <c r="D144" s="7">
        <v>8.9999999999999993E-3</v>
      </c>
      <c r="E144" s="6">
        <f t="shared" si="69"/>
        <v>60796.617564430322</v>
      </c>
      <c r="F144" s="8">
        <f>E144*0.9%</f>
        <v>547.16955807987301</v>
      </c>
      <c r="G144" s="9">
        <f t="shared" si="64"/>
        <v>137.886728636128</v>
      </c>
      <c r="H144" s="6">
        <f t="shared" si="65"/>
        <v>60934.504293066449</v>
      </c>
      <c r="K144" s="6" t="s">
        <v>6</v>
      </c>
      <c r="L144" s="6">
        <v>282</v>
      </c>
      <c r="M144" s="7">
        <v>4.0000000000000096E-3</v>
      </c>
      <c r="N144" s="6">
        <f>H144*0.4%</f>
        <v>243.73801717226581</v>
      </c>
      <c r="O144" s="11">
        <f t="shared" si="66"/>
        <v>61.421980327410985</v>
      </c>
      <c r="P144" s="6">
        <f t="shared" si="67"/>
        <v>60995.926273393859</v>
      </c>
      <c r="R144" s="6">
        <f t="shared" si="68"/>
        <v>199.30870896353898</v>
      </c>
    </row>
    <row r="145" spans="1:18" x14ac:dyDescent="0.35">
      <c r="A145" t="s">
        <v>148</v>
      </c>
      <c r="B145" t="s">
        <v>5</v>
      </c>
      <c r="C145">
        <v>283</v>
      </c>
      <c r="E145">
        <f t="shared" si="69"/>
        <v>60995.926273393859</v>
      </c>
      <c r="F145" s="8">
        <f t="shared" ref="F145:F148" si="74">E145*0.9%</f>
        <v>548.96333646054484</v>
      </c>
      <c r="G145" s="9">
        <f t="shared" si="64"/>
        <v>138.3387607880573</v>
      </c>
      <c r="H145">
        <f t="shared" si="65"/>
        <v>61134.265034181917</v>
      </c>
      <c r="K145" t="s">
        <v>6</v>
      </c>
      <c r="L145">
        <v>284</v>
      </c>
      <c r="N145" s="6">
        <f t="shared" ref="N145:N148" si="75">H145*0.4%</f>
        <v>244.53706013672766</v>
      </c>
      <c r="O145" s="11">
        <f t="shared" si="66"/>
        <v>61.623339154455373</v>
      </c>
      <c r="P145">
        <f t="shared" si="67"/>
        <v>61195.888373336369</v>
      </c>
      <c r="R145">
        <f t="shared" si="68"/>
        <v>199.96209994251268</v>
      </c>
    </row>
    <row r="146" spans="1:18" x14ac:dyDescent="0.35">
      <c r="A146" t="s">
        <v>149</v>
      </c>
      <c r="B146" t="s">
        <v>5</v>
      </c>
      <c r="C146">
        <v>285</v>
      </c>
      <c r="E146">
        <f t="shared" si="69"/>
        <v>61195.888373336369</v>
      </c>
      <c r="F146" s="8">
        <f t="shared" si="74"/>
        <v>550.76299536002739</v>
      </c>
      <c r="G146" s="9">
        <f t="shared" si="64"/>
        <v>138.79227483072691</v>
      </c>
      <c r="H146">
        <f t="shared" si="65"/>
        <v>61334.680648167094</v>
      </c>
      <c r="K146" t="s">
        <v>6</v>
      </c>
      <c r="L146">
        <v>286</v>
      </c>
      <c r="N146" s="6">
        <f t="shared" si="75"/>
        <v>245.33872259266838</v>
      </c>
      <c r="O146" s="11">
        <f t="shared" si="66"/>
        <v>61.825358093352428</v>
      </c>
      <c r="P146">
        <f t="shared" si="67"/>
        <v>61396.506006260446</v>
      </c>
      <c r="R146">
        <f t="shared" si="68"/>
        <v>200.61763292407935</v>
      </c>
    </row>
    <row r="147" spans="1:18" x14ac:dyDescent="0.35">
      <c r="A147" t="s">
        <v>150</v>
      </c>
      <c r="B147" t="s">
        <v>5</v>
      </c>
      <c r="C147">
        <v>287</v>
      </c>
      <c r="E147">
        <f t="shared" si="69"/>
        <v>61396.506006260446</v>
      </c>
      <c r="F147" s="8">
        <f t="shared" si="74"/>
        <v>552.56855405634406</v>
      </c>
      <c r="G147" s="9">
        <f t="shared" si="64"/>
        <v>139.24727562219871</v>
      </c>
      <c r="H147">
        <f t="shared" si="65"/>
        <v>61535.753281882644</v>
      </c>
      <c r="K147" t="s">
        <v>6</v>
      </c>
      <c r="L147">
        <v>288</v>
      </c>
      <c r="N147" s="6">
        <f t="shared" si="75"/>
        <v>246.14301312753059</v>
      </c>
      <c r="O147" s="11">
        <f t="shared" si="66"/>
        <v>62.028039308137707</v>
      </c>
      <c r="P147">
        <f t="shared" si="67"/>
        <v>61597.781321190785</v>
      </c>
      <c r="R147">
        <f t="shared" si="68"/>
        <v>201.27531493033644</v>
      </c>
    </row>
    <row r="148" spans="1:18" x14ac:dyDescent="0.35">
      <c r="A148" t="s">
        <v>151</v>
      </c>
      <c r="B148" t="s">
        <v>5</v>
      </c>
      <c r="C148">
        <v>289</v>
      </c>
      <c r="E148">
        <f t="shared" si="69"/>
        <v>61597.781321190785</v>
      </c>
      <c r="F148" s="8">
        <f t="shared" si="74"/>
        <v>554.38003189071708</v>
      </c>
      <c r="G148" s="9">
        <f t="shared" si="64"/>
        <v>139.7037680364607</v>
      </c>
      <c r="H148">
        <f t="shared" si="65"/>
        <v>61737.485089227244</v>
      </c>
      <c r="K148" t="s">
        <v>6</v>
      </c>
      <c r="L148">
        <v>290</v>
      </c>
      <c r="N148" s="6">
        <f t="shared" si="75"/>
        <v>246.949940356909</v>
      </c>
      <c r="O148" s="11">
        <f t="shared" si="66"/>
        <v>62.231384969941068</v>
      </c>
      <c r="P148">
        <f t="shared" si="67"/>
        <v>61799.716474197186</v>
      </c>
      <c r="R148">
        <f t="shared" si="68"/>
        <v>201.93515300640178</v>
      </c>
    </row>
    <row r="149" spans="1:18" s="6" customFormat="1" x14ac:dyDescent="0.35">
      <c r="A149" s="6" t="s">
        <v>152</v>
      </c>
      <c r="B149" s="6" t="s">
        <v>5</v>
      </c>
      <c r="C149" s="6">
        <v>291</v>
      </c>
      <c r="D149" s="7">
        <v>8.0000000000000002E-3</v>
      </c>
      <c r="E149" s="6">
        <f t="shared" si="69"/>
        <v>61799.716474197186</v>
      </c>
      <c r="F149" s="8">
        <f>E149*0.8%</f>
        <v>494.39773179357752</v>
      </c>
      <c r="G149" s="9">
        <f t="shared" si="64"/>
        <v>124.58822841198153</v>
      </c>
      <c r="H149" s="6">
        <f t="shared" si="65"/>
        <v>61924.304702609166</v>
      </c>
      <c r="K149" s="6" t="s">
        <v>6</v>
      </c>
      <c r="L149" s="6">
        <v>292</v>
      </c>
      <c r="M149" s="7">
        <v>4.4999999999999997E-3</v>
      </c>
      <c r="N149" s="6">
        <f>H149*0.45%</f>
        <v>278.65937116174126</v>
      </c>
      <c r="O149" s="11">
        <f t="shared" si="66"/>
        <v>70.222161532758804</v>
      </c>
      <c r="P149" s="6">
        <f t="shared" si="67"/>
        <v>61994.526864141924</v>
      </c>
      <c r="R149" s="6">
        <f t="shared" si="68"/>
        <v>194.81038994474034</v>
      </c>
    </row>
    <row r="150" spans="1:18" x14ac:dyDescent="0.35">
      <c r="A150" t="s">
        <v>153</v>
      </c>
      <c r="B150" t="s">
        <v>5</v>
      </c>
      <c r="C150">
        <v>293</v>
      </c>
      <c r="E150">
        <f t="shared" si="69"/>
        <v>61994.526864141924</v>
      </c>
      <c r="F150" s="8">
        <f t="shared" ref="F150:F153" si="76">E150*0.8%</f>
        <v>495.9562149131354</v>
      </c>
      <c r="G150" s="9">
        <f t="shared" si="64"/>
        <v>124.98096615811012</v>
      </c>
      <c r="H150">
        <f t="shared" si="65"/>
        <v>62119.507830300034</v>
      </c>
      <c r="K150" t="s">
        <v>6</v>
      </c>
      <c r="L150">
        <v>294</v>
      </c>
      <c r="N150" s="6">
        <f t="shared" ref="N150:N153" si="77">H150*0.45%</f>
        <v>279.5377852363502</v>
      </c>
      <c r="O150" s="11">
        <f t="shared" si="66"/>
        <v>70.443521879560251</v>
      </c>
      <c r="P150">
        <f t="shared" si="67"/>
        <v>62189.951352179596</v>
      </c>
      <c r="R150">
        <f t="shared" si="68"/>
        <v>195.42448803767036</v>
      </c>
    </row>
    <row r="151" spans="1:18" x14ac:dyDescent="0.35">
      <c r="A151" t="s">
        <v>154</v>
      </c>
      <c r="B151" t="s">
        <v>5</v>
      </c>
      <c r="C151">
        <v>295</v>
      </c>
      <c r="E151">
        <f t="shared" si="69"/>
        <v>62189.951352179596</v>
      </c>
      <c r="F151" s="8">
        <f t="shared" si="76"/>
        <v>497.51961081743679</v>
      </c>
      <c r="G151" s="9">
        <f t="shared" si="64"/>
        <v>125.37494192599407</v>
      </c>
      <c r="H151">
        <f t="shared" si="65"/>
        <v>62315.326294105587</v>
      </c>
      <c r="K151" t="s">
        <v>6</v>
      </c>
      <c r="L151">
        <v>296</v>
      </c>
      <c r="N151" s="6">
        <f t="shared" si="77"/>
        <v>280.41896832347516</v>
      </c>
      <c r="O151" s="11">
        <f t="shared" si="66"/>
        <v>70.665580017515737</v>
      </c>
      <c r="P151">
        <f t="shared" si="67"/>
        <v>62385.991874123101</v>
      </c>
      <c r="R151">
        <f t="shared" si="68"/>
        <v>196.04052194350982</v>
      </c>
    </row>
    <row r="152" spans="1:18" x14ac:dyDescent="0.35">
      <c r="A152" t="s">
        <v>155</v>
      </c>
      <c r="B152" t="s">
        <v>5</v>
      </c>
      <c r="C152">
        <v>297</v>
      </c>
      <c r="E152">
        <f t="shared" si="69"/>
        <v>62385.991874123101</v>
      </c>
      <c r="F152" s="8">
        <f t="shared" si="76"/>
        <v>499.0879349929848</v>
      </c>
      <c r="G152" s="9">
        <f t="shared" si="64"/>
        <v>125.77015961823217</v>
      </c>
      <c r="H152">
        <f t="shared" si="65"/>
        <v>62511.762033741332</v>
      </c>
      <c r="K152" t="s">
        <v>6</v>
      </c>
      <c r="L152">
        <v>298</v>
      </c>
      <c r="N152" s="6">
        <f t="shared" si="77"/>
        <v>281.30292915183605</v>
      </c>
      <c r="O152" s="11">
        <f t="shared" si="66"/>
        <v>70.888338146262683</v>
      </c>
      <c r="P152">
        <f t="shared" si="67"/>
        <v>62582.650371887597</v>
      </c>
      <c r="R152">
        <f t="shared" si="68"/>
        <v>196.65849776449485</v>
      </c>
    </row>
    <row r="153" spans="1:18" s="13" customFormat="1" x14ac:dyDescent="0.35">
      <c r="A153" s="13" t="s">
        <v>156</v>
      </c>
      <c r="B153" s="13" t="s">
        <v>5</v>
      </c>
      <c r="C153" s="13">
        <v>299</v>
      </c>
      <c r="E153" s="13">
        <f t="shared" si="69"/>
        <v>62582.650371887597</v>
      </c>
      <c r="F153" s="14">
        <f t="shared" si="76"/>
        <v>500.66120297510076</v>
      </c>
      <c r="G153" s="9">
        <f t="shared" si="64"/>
        <v>126.1666231497254</v>
      </c>
      <c r="H153" s="13">
        <f t="shared" si="65"/>
        <v>62708.816995037319</v>
      </c>
      <c r="K153" s="13" t="s">
        <v>6</v>
      </c>
      <c r="L153" s="13">
        <v>300</v>
      </c>
      <c r="N153" s="13">
        <f t="shared" si="77"/>
        <v>282.18967647766794</v>
      </c>
      <c r="O153" s="11">
        <f t="shared" si="66"/>
        <v>71.111798472372328</v>
      </c>
      <c r="P153" s="13">
        <f t="shared" si="67"/>
        <v>62779.928793509695</v>
      </c>
      <c r="R153" s="13">
        <f t="shared" si="68"/>
        <v>197.27842162209771</v>
      </c>
    </row>
    <row r="154" spans="1:18" s="6" customFormat="1" x14ac:dyDescent="0.35">
      <c r="A154" s="6" t="s">
        <v>157</v>
      </c>
      <c r="B154" s="6" t="s">
        <v>5</v>
      </c>
      <c r="C154" s="6">
        <v>301</v>
      </c>
      <c r="D154" s="7">
        <v>7.0000000000000001E-3</v>
      </c>
      <c r="E154" s="6">
        <f t="shared" si="69"/>
        <v>62779.928793509695</v>
      </c>
      <c r="F154" s="8">
        <f>E154*0.7%</f>
        <v>439.45950155456779</v>
      </c>
      <c r="G154" s="9">
        <f t="shared" si="64"/>
        <v>110.74379439175108</v>
      </c>
      <c r="H154" s="6">
        <f t="shared" si="65"/>
        <v>62890.672587901448</v>
      </c>
      <c r="K154" s="6" t="s">
        <v>6</v>
      </c>
      <c r="L154" s="6">
        <v>302</v>
      </c>
      <c r="M154" s="7">
        <v>4.9999999999999897E-3</v>
      </c>
      <c r="N154" s="6">
        <f>H154*0.5%</f>
        <v>314.45336293950726</v>
      </c>
      <c r="O154" s="11">
        <f t="shared" si="66"/>
        <v>79.242247460755834</v>
      </c>
      <c r="P154" s="6">
        <f t="shared" si="67"/>
        <v>62969.914835362208</v>
      </c>
      <c r="R154" s="6">
        <f t="shared" si="68"/>
        <v>189.9860418525069</v>
      </c>
    </row>
    <row r="155" spans="1:18" x14ac:dyDescent="0.35">
      <c r="A155" t="s">
        <v>158</v>
      </c>
      <c r="B155" t="s">
        <v>5</v>
      </c>
      <c r="C155">
        <v>303</v>
      </c>
      <c r="E155">
        <f t="shared" si="69"/>
        <v>62969.914835362208</v>
      </c>
      <c r="F155" s="8">
        <f t="shared" ref="F155:F158" si="78">E155*0.7%</f>
        <v>440.78940384753543</v>
      </c>
      <c r="G155" s="9">
        <f t="shared" si="64"/>
        <v>111.07892976957893</v>
      </c>
      <c r="H155">
        <f t="shared" si="65"/>
        <v>63080.993765131789</v>
      </c>
      <c r="K155" t="s">
        <v>6</v>
      </c>
      <c r="L155">
        <v>304</v>
      </c>
      <c r="N155" s="6">
        <f t="shared" ref="N155:N158" si="79">H155*0.5%</f>
        <v>315.40496882565895</v>
      </c>
      <c r="O155" s="11">
        <f t="shared" si="66"/>
        <v>79.48205214406606</v>
      </c>
      <c r="P155">
        <f t="shared" si="67"/>
        <v>63160.475817275852</v>
      </c>
      <c r="R155">
        <f t="shared" si="68"/>
        <v>190.56098191364498</v>
      </c>
    </row>
    <row r="156" spans="1:18" x14ac:dyDescent="0.35">
      <c r="A156" t="s">
        <v>159</v>
      </c>
      <c r="B156" t="s">
        <v>5</v>
      </c>
      <c r="C156">
        <v>305</v>
      </c>
      <c r="E156">
        <f t="shared" si="69"/>
        <v>63160.475817275852</v>
      </c>
      <c r="F156" s="8">
        <f t="shared" si="78"/>
        <v>442.12333072093094</v>
      </c>
      <c r="G156" s="9">
        <f t="shared" si="64"/>
        <v>111.4150793416746</v>
      </c>
      <c r="H156">
        <f t="shared" si="65"/>
        <v>63271.89089661753</v>
      </c>
      <c r="K156" t="s">
        <v>6</v>
      </c>
      <c r="L156">
        <v>306</v>
      </c>
      <c r="N156" s="6">
        <f t="shared" si="79"/>
        <v>316.35945448308763</v>
      </c>
      <c r="O156" s="11">
        <f t="shared" si="66"/>
        <v>79.722582529738091</v>
      </c>
      <c r="P156">
        <f t="shared" si="67"/>
        <v>63351.613479147265</v>
      </c>
      <c r="R156">
        <f t="shared" si="68"/>
        <v>191.13766187141269</v>
      </c>
    </row>
    <row r="157" spans="1:18" x14ac:dyDescent="0.35">
      <c r="A157" t="s">
        <v>160</v>
      </c>
      <c r="B157" t="s">
        <v>5</v>
      </c>
      <c r="C157">
        <v>307</v>
      </c>
      <c r="E157">
        <f t="shared" si="69"/>
        <v>63351.613479147265</v>
      </c>
      <c r="F157" s="8">
        <f t="shared" si="78"/>
        <v>443.46129435403083</v>
      </c>
      <c r="G157" s="9">
        <f t="shared" si="64"/>
        <v>111.75224617721577</v>
      </c>
      <c r="H157">
        <f t="shared" si="65"/>
        <v>63463.365725324482</v>
      </c>
      <c r="K157" t="s">
        <v>6</v>
      </c>
      <c r="L157">
        <v>308</v>
      </c>
      <c r="N157" s="6">
        <f t="shared" si="79"/>
        <v>317.3168286266224</v>
      </c>
      <c r="O157" s="11">
        <f t="shared" si="66"/>
        <v>79.963840813908845</v>
      </c>
      <c r="P157">
        <f t="shared" si="67"/>
        <v>63543.329566138389</v>
      </c>
      <c r="R157">
        <f t="shared" si="68"/>
        <v>191.7160869911246</v>
      </c>
    </row>
    <row r="158" spans="1:18" x14ac:dyDescent="0.35">
      <c r="A158" t="s">
        <v>161</v>
      </c>
      <c r="B158" t="s">
        <v>5</v>
      </c>
      <c r="C158">
        <v>309</v>
      </c>
      <c r="E158">
        <f t="shared" si="69"/>
        <v>63543.329566138389</v>
      </c>
      <c r="F158" s="8">
        <f t="shared" si="78"/>
        <v>444.80330696296869</v>
      </c>
      <c r="G158" s="9">
        <f t="shared" si="64"/>
        <v>112.09043335466811</v>
      </c>
      <c r="H158">
        <f t="shared" si="65"/>
        <v>63655.41999949306</v>
      </c>
      <c r="K158" t="s">
        <v>6</v>
      </c>
      <c r="L158">
        <v>310</v>
      </c>
      <c r="N158" s="6">
        <f t="shared" si="79"/>
        <v>318.27709999746531</v>
      </c>
      <c r="O158" s="11">
        <f t="shared" si="66"/>
        <v>80.205829199361261</v>
      </c>
      <c r="P158">
        <f t="shared" si="67"/>
        <v>63735.62582869242</v>
      </c>
      <c r="R158">
        <f t="shared" si="68"/>
        <v>192.29626255402937</v>
      </c>
    </row>
    <row r="159" spans="1:18" s="6" customFormat="1" x14ac:dyDescent="0.35">
      <c r="A159" s="6" t="s">
        <v>162</v>
      </c>
      <c r="B159" s="6" t="s">
        <v>5</v>
      </c>
      <c r="C159" s="6">
        <v>311</v>
      </c>
      <c r="D159" s="7">
        <v>6.0000000000000001E-3</v>
      </c>
      <c r="E159" s="6">
        <f t="shared" si="69"/>
        <v>63735.62582869242</v>
      </c>
      <c r="F159" s="8">
        <f>E159*0.6%</f>
        <v>382.41375497215455</v>
      </c>
      <c r="G159" s="9">
        <f t="shared" si="64"/>
        <v>96.368266252982949</v>
      </c>
      <c r="H159" s="6">
        <f t="shared" si="65"/>
        <v>63831.994094945403</v>
      </c>
      <c r="K159" s="6" t="s">
        <v>6</v>
      </c>
      <c r="L159" s="6">
        <v>312</v>
      </c>
      <c r="M159" s="7">
        <v>5.4999999999999797E-3</v>
      </c>
      <c r="N159" s="6">
        <f>H159*0.55%</f>
        <v>351.07596752219973</v>
      </c>
      <c r="O159" s="11">
        <f t="shared" si="66"/>
        <v>88.471143815594331</v>
      </c>
      <c r="P159" s="6">
        <f t="shared" si="67"/>
        <v>63920.465238760997</v>
      </c>
      <c r="R159" s="6">
        <f t="shared" si="68"/>
        <v>184.83941006857728</v>
      </c>
    </row>
    <row r="160" spans="1:18" x14ac:dyDescent="0.35">
      <c r="A160" t="s">
        <v>163</v>
      </c>
      <c r="B160" t="s">
        <v>5</v>
      </c>
      <c r="C160">
        <v>313</v>
      </c>
      <c r="E160">
        <f t="shared" si="69"/>
        <v>63920.465238760997</v>
      </c>
      <c r="F160" s="8">
        <f t="shared" ref="F160:F163" si="80">E160*0.6%</f>
        <v>383.52279143256601</v>
      </c>
      <c r="G160" s="9">
        <f t="shared" si="64"/>
        <v>96.647743441006639</v>
      </c>
      <c r="H160">
        <f t="shared" si="65"/>
        <v>64017.112982202001</v>
      </c>
      <c r="K160" t="s">
        <v>6</v>
      </c>
      <c r="L160">
        <v>314</v>
      </c>
      <c r="N160" s="6">
        <f t="shared" ref="N160:N163" si="81">H160*0.55%</f>
        <v>352.09412140211106</v>
      </c>
      <c r="O160" s="11">
        <f t="shared" si="66"/>
        <v>88.727718593331986</v>
      </c>
      <c r="P160">
        <f t="shared" si="67"/>
        <v>64105.840700795336</v>
      </c>
      <c r="R160">
        <f t="shared" si="68"/>
        <v>185.37546203433863</v>
      </c>
    </row>
    <row r="161" spans="1:18" x14ac:dyDescent="0.35">
      <c r="A161" t="s">
        <v>164</v>
      </c>
      <c r="B161" t="s">
        <v>5</v>
      </c>
      <c r="C161">
        <v>315</v>
      </c>
      <c r="E161">
        <f t="shared" si="69"/>
        <v>64105.840700795336</v>
      </c>
      <c r="F161" s="8">
        <f t="shared" si="80"/>
        <v>384.63504420477204</v>
      </c>
      <c r="G161" s="9">
        <f t="shared" si="64"/>
        <v>96.928031139602552</v>
      </c>
      <c r="H161">
        <f t="shared" si="65"/>
        <v>64202.768731934935</v>
      </c>
      <c r="K161" t="s">
        <v>6</v>
      </c>
      <c r="L161">
        <v>316</v>
      </c>
      <c r="N161" s="6">
        <f t="shared" si="81"/>
        <v>353.11522802564218</v>
      </c>
      <c r="O161" s="11">
        <f t="shared" si="66"/>
        <v>88.985037462461833</v>
      </c>
      <c r="P161">
        <f t="shared" si="67"/>
        <v>64291.753769397394</v>
      </c>
      <c r="R161">
        <f t="shared" si="68"/>
        <v>185.91306860206439</v>
      </c>
    </row>
    <row r="162" spans="1:18" x14ac:dyDescent="0.35">
      <c r="A162" t="s">
        <v>165</v>
      </c>
      <c r="B162" t="s">
        <v>5</v>
      </c>
      <c r="C162">
        <v>317</v>
      </c>
      <c r="E162">
        <f t="shared" si="69"/>
        <v>64291.753769397394</v>
      </c>
      <c r="F162" s="8">
        <f t="shared" si="80"/>
        <v>385.75052261638439</v>
      </c>
      <c r="G162" s="9">
        <f t="shared" si="64"/>
        <v>97.209131699328864</v>
      </c>
      <c r="H162">
        <f t="shared" si="65"/>
        <v>64388.962901096726</v>
      </c>
      <c r="K162" t="s">
        <v>6</v>
      </c>
      <c r="L162">
        <v>318</v>
      </c>
      <c r="N162" s="6">
        <f t="shared" si="81"/>
        <v>354.13929595603202</v>
      </c>
      <c r="O162" s="11">
        <f t="shared" si="66"/>
        <v>89.243102580920066</v>
      </c>
      <c r="P162">
        <f t="shared" si="67"/>
        <v>64478.206003677646</v>
      </c>
      <c r="R162">
        <f t="shared" si="68"/>
        <v>186.45223428024894</v>
      </c>
    </row>
    <row r="163" spans="1:18" x14ac:dyDescent="0.35">
      <c r="A163" t="s">
        <v>166</v>
      </c>
      <c r="B163" t="s">
        <v>5</v>
      </c>
      <c r="C163">
        <v>319</v>
      </c>
      <c r="E163">
        <f t="shared" si="69"/>
        <v>64478.206003677646</v>
      </c>
      <c r="F163" s="8">
        <f t="shared" si="80"/>
        <v>386.86923602206588</v>
      </c>
      <c r="G163" s="9">
        <f t="shared" si="64"/>
        <v>97.491047477560599</v>
      </c>
      <c r="H163">
        <f t="shared" si="65"/>
        <v>64575.697051155206</v>
      </c>
      <c r="K163" t="s">
        <v>6</v>
      </c>
      <c r="L163">
        <v>320</v>
      </c>
      <c r="M163" s="15"/>
      <c r="N163" s="6">
        <f t="shared" si="81"/>
        <v>355.16633378135367</v>
      </c>
      <c r="O163" s="11">
        <f t="shared" si="66"/>
        <v>89.501916112901128</v>
      </c>
      <c r="P163">
        <f t="shared" si="67"/>
        <v>64665.198967268108</v>
      </c>
      <c r="R163">
        <f t="shared" si="68"/>
        <v>186.99296359046173</v>
      </c>
    </row>
    <row r="164" spans="1:18" s="6" customFormat="1" x14ac:dyDescent="0.35">
      <c r="A164" s="6" t="s">
        <v>167</v>
      </c>
      <c r="B164" s="6" t="s">
        <v>6</v>
      </c>
      <c r="C164" s="6">
        <v>321</v>
      </c>
      <c r="D164" s="7">
        <v>5.0000000000000001E-3</v>
      </c>
      <c r="E164" s="6">
        <f t="shared" si="69"/>
        <v>64665.198967268108</v>
      </c>
      <c r="F164" s="8">
        <f>E164*0.5%</f>
        <v>323.32599483634056</v>
      </c>
      <c r="G164" s="9">
        <f t="shared" si="64"/>
        <v>81.478150698757815</v>
      </c>
      <c r="H164" s="6">
        <f t="shared" si="65"/>
        <v>64746.677117966865</v>
      </c>
      <c r="K164" s="6" t="s">
        <v>12</v>
      </c>
      <c r="L164" s="6">
        <v>322</v>
      </c>
      <c r="M164" s="7">
        <v>5.9999999999999698E-3</v>
      </c>
      <c r="N164" s="6">
        <f>H164*0.6%</f>
        <v>388.48006270780121</v>
      </c>
      <c r="O164" s="11">
        <f t="shared" si="66"/>
        <v>97.896975802365901</v>
      </c>
      <c r="P164" s="6">
        <f t="shared" si="67"/>
        <v>64844.574093769232</v>
      </c>
      <c r="R164" s="6">
        <f t="shared" si="68"/>
        <v>179.3751265011237</v>
      </c>
    </row>
    <row r="165" spans="1:18" x14ac:dyDescent="0.35">
      <c r="A165" t="s">
        <v>168</v>
      </c>
      <c r="B165" t="s">
        <v>6</v>
      </c>
      <c r="C165">
        <v>323</v>
      </c>
      <c r="E165">
        <f t="shared" si="69"/>
        <v>64844.574093769232</v>
      </c>
      <c r="F165" s="8">
        <f t="shared" ref="F165:F168" si="82">E165*0.5%</f>
        <v>324.22287046884617</v>
      </c>
      <c r="G165" s="9">
        <f t="shared" si="64"/>
        <v>81.704163358149231</v>
      </c>
      <c r="H165">
        <f t="shared" si="65"/>
        <v>64926.278257127378</v>
      </c>
      <c r="K165" t="s">
        <v>12</v>
      </c>
      <c r="L165">
        <v>324</v>
      </c>
      <c r="N165" s="6">
        <f t="shared" ref="N165:N168" si="83">H165*0.6%</f>
        <v>389.5576695427643</v>
      </c>
      <c r="O165" s="11">
        <f t="shared" si="66"/>
        <v>98.168532724776611</v>
      </c>
      <c r="P165">
        <f t="shared" si="67"/>
        <v>65024.446789852154</v>
      </c>
      <c r="R165">
        <f t="shared" si="68"/>
        <v>179.87269608292584</v>
      </c>
    </row>
    <row r="166" spans="1:18" x14ac:dyDescent="0.35">
      <c r="A166" t="s">
        <v>169</v>
      </c>
      <c r="B166" t="s">
        <v>6</v>
      </c>
      <c r="C166">
        <v>325</v>
      </c>
      <c r="E166">
        <f t="shared" si="69"/>
        <v>65024.446789852154</v>
      </c>
      <c r="F166" s="8">
        <f t="shared" si="82"/>
        <v>325.12223394926076</v>
      </c>
      <c r="G166" s="9">
        <f t="shared" si="64"/>
        <v>81.930802955213707</v>
      </c>
      <c r="H166">
        <f t="shared" si="65"/>
        <v>65106.377592807366</v>
      </c>
      <c r="K166" t="s">
        <v>12</v>
      </c>
      <c r="L166">
        <v>326</v>
      </c>
      <c r="N166" s="6">
        <f t="shared" si="83"/>
        <v>390.6382655568442</v>
      </c>
      <c r="O166" s="11">
        <f t="shared" si="66"/>
        <v>98.440842920324741</v>
      </c>
      <c r="P166">
        <f t="shared" si="67"/>
        <v>65204.818435727691</v>
      </c>
      <c r="R166">
        <f t="shared" si="68"/>
        <v>180.37164587553843</v>
      </c>
    </row>
    <row r="167" spans="1:18" x14ac:dyDescent="0.35">
      <c r="A167" t="s">
        <v>170</v>
      </c>
      <c r="B167" t="s">
        <v>6</v>
      </c>
      <c r="C167">
        <v>327</v>
      </c>
      <c r="E167">
        <f t="shared" si="69"/>
        <v>65204.818435727691</v>
      </c>
      <c r="F167" s="8">
        <f t="shared" si="82"/>
        <v>326.02409217863845</v>
      </c>
      <c r="G167" s="9">
        <f t="shared" si="64"/>
        <v>82.158071229016898</v>
      </c>
      <c r="H167">
        <f t="shared" si="65"/>
        <v>65286.976506956707</v>
      </c>
      <c r="K167" t="s">
        <v>12</v>
      </c>
      <c r="L167">
        <v>328</v>
      </c>
      <c r="N167" s="6">
        <f t="shared" si="83"/>
        <v>391.72185904174023</v>
      </c>
      <c r="O167" s="11">
        <f t="shared" si="66"/>
        <v>98.713908478518533</v>
      </c>
      <c r="P167">
        <f t="shared" si="67"/>
        <v>65385.690415435223</v>
      </c>
      <c r="R167">
        <f t="shared" si="68"/>
        <v>180.87197970753544</v>
      </c>
    </row>
    <row r="168" spans="1:18" x14ac:dyDescent="0.35">
      <c r="A168" t="s">
        <v>171</v>
      </c>
      <c r="B168" t="s">
        <v>6</v>
      </c>
      <c r="C168">
        <v>329</v>
      </c>
      <c r="D168" s="15"/>
      <c r="E168">
        <f t="shared" si="69"/>
        <v>65385.690415435223</v>
      </c>
      <c r="F168" s="8">
        <f t="shared" si="82"/>
        <v>326.92845207717613</v>
      </c>
      <c r="G168" s="9">
        <f t="shared" si="64"/>
        <v>82.385969923448386</v>
      </c>
      <c r="H168">
        <f t="shared" si="65"/>
        <v>65468.076385358669</v>
      </c>
      <c r="K168" t="s">
        <v>12</v>
      </c>
      <c r="L168">
        <v>330</v>
      </c>
      <c r="N168" s="6">
        <f t="shared" si="83"/>
        <v>392.80845831215203</v>
      </c>
      <c r="O168" s="11">
        <f t="shared" si="66"/>
        <v>98.987731494662313</v>
      </c>
      <c r="P168">
        <f t="shared" si="67"/>
        <v>65567.064116853333</v>
      </c>
      <c r="R168">
        <f t="shared" si="68"/>
        <v>181.3737014181107</v>
      </c>
    </row>
    <row r="169" spans="1:18" s="6" customFormat="1" x14ac:dyDescent="0.35">
      <c r="A169" s="6" t="s">
        <v>172</v>
      </c>
      <c r="B169" s="6" t="s">
        <v>6</v>
      </c>
      <c r="C169" s="6">
        <v>331</v>
      </c>
      <c r="D169" s="7">
        <v>4.0000000000000001E-3</v>
      </c>
      <c r="E169" s="6">
        <f t="shared" si="69"/>
        <v>65567.064116853333</v>
      </c>
      <c r="F169" s="8">
        <f>E169*0.4%</f>
        <v>262.26825646741332</v>
      </c>
      <c r="G169" s="9">
        <f t="shared" si="64"/>
        <v>66.091600629788161</v>
      </c>
      <c r="H169" s="6">
        <f t="shared" si="65"/>
        <v>65633.155717483125</v>
      </c>
      <c r="K169" s="6" t="s">
        <v>12</v>
      </c>
      <c r="L169" s="6">
        <v>332</v>
      </c>
      <c r="M169" s="7">
        <v>6.4999999999999598E-3</v>
      </c>
      <c r="N169" s="6">
        <f>H169*0.65%</f>
        <v>426.61551216364035</v>
      </c>
      <c r="O169" s="11">
        <f t="shared" si="66"/>
        <v>107.50710906523737</v>
      </c>
      <c r="P169" s="6">
        <f t="shared" si="67"/>
        <v>65740.66282654836</v>
      </c>
      <c r="R169" s="6">
        <f t="shared" si="68"/>
        <v>173.59870969502555</v>
      </c>
    </row>
    <row r="170" spans="1:18" x14ac:dyDescent="0.35">
      <c r="A170" t="s">
        <v>173</v>
      </c>
      <c r="B170" t="s">
        <v>6</v>
      </c>
      <c r="C170">
        <v>333</v>
      </c>
      <c r="E170">
        <f t="shared" si="69"/>
        <v>65740.66282654836</v>
      </c>
      <c r="F170" s="8">
        <f t="shared" ref="F170:F173" si="84">E170*0.4%</f>
        <v>262.96265130619344</v>
      </c>
      <c r="G170" s="9">
        <f t="shared" si="64"/>
        <v>66.266588129160752</v>
      </c>
      <c r="H170">
        <f t="shared" si="65"/>
        <v>65806.929414677521</v>
      </c>
      <c r="K170" t="s">
        <v>12</v>
      </c>
      <c r="L170">
        <v>334</v>
      </c>
      <c r="N170" s="6">
        <f t="shared" ref="N170:N173" si="85">H170*0.65%</f>
        <v>427.74504119540393</v>
      </c>
      <c r="O170" s="11">
        <f t="shared" si="66"/>
        <v>107.7917503812418</v>
      </c>
      <c r="P170">
        <f t="shared" si="67"/>
        <v>65914.721165058756</v>
      </c>
      <c r="R170">
        <f t="shared" si="68"/>
        <v>174.05833851040256</v>
      </c>
    </row>
    <row r="171" spans="1:18" x14ac:dyDescent="0.35">
      <c r="A171" t="s">
        <v>174</v>
      </c>
      <c r="B171" t="s">
        <v>6</v>
      </c>
      <c r="C171">
        <v>335</v>
      </c>
      <c r="E171">
        <f t="shared" si="69"/>
        <v>65914.721165058756</v>
      </c>
      <c r="F171" s="8">
        <f t="shared" si="84"/>
        <v>263.658884660235</v>
      </c>
      <c r="G171" s="9">
        <f t="shared" si="64"/>
        <v>66.442038934379227</v>
      </c>
      <c r="H171">
        <f t="shared" si="65"/>
        <v>65981.163203993128</v>
      </c>
      <c r="K171" t="s">
        <v>12</v>
      </c>
      <c r="L171">
        <v>336</v>
      </c>
      <c r="N171" s="6">
        <f t="shared" si="85"/>
        <v>428.87756082595536</v>
      </c>
      <c r="O171" s="11">
        <f t="shared" si="66"/>
        <v>108.07714532814074</v>
      </c>
      <c r="P171">
        <f t="shared" si="67"/>
        <v>66089.240349321262</v>
      </c>
      <c r="R171">
        <f t="shared" si="68"/>
        <v>174.51918426251996</v>
      </c>
    </row>
    <row r="172" spans="1:18" x14ac:dyDescent="0.35">
      <c r="A172" t="s">
        <v>175</v>
      </c>
      <c r="B172" t="s">
        <v>6</v>
      </c>
      <c r="C172">
        <v>337</v>
      </c>
      <c r="E172">
        <f t="shared" si="69"/>
        <v>66089.240349321262</v>
      </c>
      <c r="F172" s="8">
        <f t="shared" si="84"/>
        <v>264.35696139728503</v>
      </c>
      <c r="G172" s="9">
        <f t="shared" si="64"/>
        <v>66.617954272115824</v>
      </c>
      <c r="H172">
        <f t="shared" si="65"/>
        <v>66155.858303593384</v>
      </c>
      <c r="K172" t="s">
        <v>12</v>
      </c>
      <c r="L172">
        <v>338</v>
      </c>
      <c r="N172" s="6">
        <f t="shared" si="85"/>
        <v>430.01307897335704</v>
      </c>
      <c r="O172" s="11">
        <f t="shared" si="66"/>
        <v>108.36329590128598</v>
      </c>
      <c r="P172">
        <f t="shared" si="67"/>
        <v>66264.221599494675</v>
      </c>
      <c r="R172">
        <f t="shared" si="68"/>
        <v>174.9812501734018</v>
      </c>
    </row>
    <row r="173" spans="1:18" x14ac:dyDescent="0.35">
      <c r="A173" t="s">
        <v>176</v>
      </c>
      <c r="B173" t="s">
        <v>6</v>
      </c>
      <c r="C173">
        <v>339</v>
      </c>
      <c r="E173">
        <f t="shared" si="69"/>
        <v>66264.221599494675</v>
      </c>
      <c r="F173" s="8">
        <f t="shared" si="84"/>
        <v>265.0568863979787</v>
      </c>
      <c r="G173" s="9">
        <f t="shared" si="64"/>
        <v>66.794335372290632</v>
      </c>
      <c r="H173">
        <f t="shared" si="65"/>
        <v>66331.015934866969</v>
      </c>
      <c r="K173" t="s">
        <v>12</v>
      </c>
      <c r="L173">
        <v>340</v>
      </c>
      <c r="M173" s="15"/>
      <c r="N173" s="6">
        <f t="shared" si="85"/>
        <v>431.15160357663535</v>
      </c>
      <c r="O173" s="11">
        <f t="shared" si="66"/>
        <v>108.65020410131211</v>
      </c>
      <c r="P173">
        <f t="shared" si="67"/>
        <v>66439.666138968285</v>
      </c>
      <c r="R173">
        <f t="shared" si="68"/>
        <v>175.44453947360273</v>
      </c>
    </row>
    <row r="174" spans="1:18" s="6" customFormat="1" x14ac:dyDescent="0.35">
      <c r="A174" s="6" t="s">
        <v>177</v>
      </c>
      <c r="B174" s="6" t="s">
        <v>6</v>
      </c>
      <c r="C174" s="6">
        <v>341</v>
      </c>
      <c r="D174" s="7">
        <v>3.00000000000001E-3</v>
      </c>
      <c r="E174" s="6">
        <f t="shared" si="69"/>
        <v>66439.666138968285</v>
      </c>
      <c r="F174" s="8">
        <f>E174*0.3%</f>
        <v>199.31899841690486</v>
      </c>
      <c r="G174" s="9">
        <f t="shared" si="64"/>
        <v>50.228387601060028</v>
      </c>
      <c r="H174" s="6">
        <f t="shared" si="65"/>
        <v>66489.894526569347</v>
      </c>
      <c r="K174" s="6" t="s">
        <v>12</v>
      </c>
      <c r="L174" s="6">
        <v>342</v>
      </c>
      <c r="M174" s="7">
        <v>6.9999999999999498E-3</v>
      </c>
      <c r="N174" s="6">
        <f t="shared" ref="N174:N178" si="86">H174*0.7%</f>
        <v>465.42926168598541</v>
      </c>
      <c r="O174" s="11">
        <f t="shared" si="66"/>
        <v>117.28817394486832</v>
      </c>
      <c r="P174" s="6">
        <f t="shared" si="67"/>
        <v>66607.182700514211</v>
      </c>
      <c r="R174" s="6">
        <f t="shared" si="68"/>
        <v>167.51656154592834</v>
      </c>
    </row>
    <row r="175" spans="1:18" x14ac:dyDescent="0.35">
      <c r="A175" t="s">
        <v>178</v>
      </c>
      <c r="B175" t="s">
        <v>6</v>
      </c>
      <c r="C175">
        <v>343</v>
      </c>
      <c r="E175">
        <f t="shared" si="69"/>
        <v>66607.182700514211</v>
      </c>
      <c r="F175" s="8">
        <f t="shared" ref="F175:F178" si="87">E175*0.3%</f>
        <v>199.82154810154265</v>
      </c>
      <c r="G175" s="9">
        <f t="shared" si="64"/>
        <v>50.355030121588747</v>
      </c>
      <c r="H175">
        <f t="shared" si="65"/>
        <v>66657.537730635799</v>
      </c>
      <c r="K175" t="s">
        <v>12</v>
      </c>
      <c r="L175">
        <v>344</v>
      </c>
      <c r="N175" s="6">
        <f t="shared" si="86"/>
        <v>466.60276411445057</v>
      </c>
      <c r="O175" s="11">
        <f t="shared" si="66"/>
        <v>117.58389655684154</v>
      </c>
      <c r="P175">
        <f t="shared" si="67"/>
        <v>66775.121627192639</v>
      </c>
      <c r="R175">
        <f t="shared" si="68"/>
        <v>167.93892667843028</v>
      </c>
    </row>
    <row r="176" spans="1:18" x14ac:dyDescent="0.35">
      <c r="A176" t="s">
        <v>179</v>
      </c>
      <c r="B176" t="s">
        <v>6</v>
      </c>
      <c r="C176">
        <v>345</v>
      </c>
      <c r="E176">
        <f t="shared" si="69"/>
        <v>66775.121627192639</v>
      </c>
      <c r="F176" s="8">
        <f t="shared" si="87"/>
        <v>200.32536488157791</v>
      </c>
      <c r="G176" s="9">
        <f t="shared" si="64"/>
        <v>50.481991950157635</v>
      </c>
      <c r="H176">
        <f t="shared" si="65"/>
        <v>66825.603619142799</v>
      </c>
      <c r="K176" t="s">
        <v>12</v>
      </c>
      <c r="L176">
        <v>346</v>
      </c>
      <c r="N176" s="6">
        <f t="shared" si="86"/>
        <v>467.77922533399953</v>
      </c>
      <c r="O176" s="11">
        <f t="shared" si="66"/>
        <v>117.88036478416788</v>
      </c>
      <c r="P176">
        <f t="shared" si="67"/>
        <v>66943.48398392697</v>
      </c>
      <c r="R176">
        <f t="shared" si="68"/>
        <v>168.36235673432552</v>
      </c>
    </row>
    <row r="177" spans="1:18" x14ac:dyDescent="0.35">
      <c r="A177" t="s">
        <v>180</v>
      </c>
      <c r="B177" t="s">
        <v>6</v>
      </c>
      <c r="C177">
        <v>347</v>
      </c>
      <c r="E177">
        <f t="shared" si="69"/>
        <v>66943.48398392697</v>
      </c>
      <c r="F177" s="8">
        <f t="shared" si="87"/>
        <v>200.8304519517809</v>
      </c>
      <c r="G177" s="9">
        <f t="shared" si="64"/>
        <v>50.609273891848787</v>
      </c>
      <c r="H177">
        <f t="shared" si="65"/>
        <v>66994.093257818822</v>
      </c>
      <c r="K177" t="s">
        <v>12</v>
      </c>
      <c r="L177">
        <v>348</v>
      </c>
      <c r="N177" s="6">
        <f t="shared" si="86"/>
        <v>468.95865280473168</v>
      </c>
      <c r="O177" s="11">
        <f t="shared" si="66"/>
        <v>118.17758050679238</v>
      </c>
      <c r="P177">
        <f t="shared" si="67"/>
        <v>67112.27083832561</v>
      </c>
      <c r="R177">
        <f t="shared" si="68"/>
        <v>168.78685439864117</v>
      </c>
    </row>
    <row r="178" spans="1:18" x14ac:dyDescent="0.35">
      <c r="A178" t="s">
        <v>181</v>
      </c>
      <c r="B178" t="s">
        <v>6</v>
      </c>
      <c r="C178">
        <v>349</v>
      </c>
      <c r="E178">
        <f t="shared" si="69"/>
        <v>67112.27083832561</v>
      </c>
      <c r="F178" s="8">
        <f t="shared" si="87"/>
        <v>201.33681251497683</v>
      </c>
      <c r="G178" s="9">
        <f t="shared" si="64"/>
        <v>50.736876753774162</v>
      </c>
      <c r="H178">
        <f t="shared" si="65"/>
        <v>67163.00771507938</v>
      </c>
      <c r="K178" t="s">
        <v>12</v>
      </c>
      <c r="L178">
        <v>350</v>
      </c>
      <c r="N178" s="6">
        <f t="shared" si="86"/>
        <v>470.14105400555559</v>
      </c>
      <c r="O178" s="11">
        <f t="shared" si="66"/>
        <v>118.47554560940002</v>
      </c>
      <c r="P178">
        <f t="shared" si="67"/>
        <v>67281.483260688779</v>
      </c>
      <c r="R178">
        <f t="shared" si="68"/>
        <v>169.21242236317417</v>
      </c>
    </row>
    <row r="179" spans="1:18" s="6" customFormat="1" x14ac:dyDescent="0.35">
      <c r="A179" s="6" t="s">
        <v>182</v>
      </c>
      <c r="B179" s="6" t="s">
        <v>6</v>
      </c>
      <c r="C179" s="6">
        <v>351</v>
      </c>
      <c r="D179" s="7">
        <v>3.5000000000000001E-3</v>
      </c>
      <c r="E179" s="6">
        <f t="shared" si="69"/>
        <v>67281.483260688779</v>
      </c>
      <c r="F179" s="8">
        <f>E179*0.35%</f>
        <v>235.4851914124107</v>
      </c>
      <c r="G179" s="9">
        <f t="shared" si="64"/>
        <v>59.342268235927499</v>
      </c>
      <c r="H179" s="6">
        <f t="shared" si="65"/>
        <v>67340.825528924703</v>
      </c>
      <c r="K179" s="6" t="s">
        <v>12</v>
      </c>
      <c r="L179" s="6">
        <v>352</v>
      </c>
      <c r="M179" s="7">
        <v>7.4999999999999399E-3</v>
      </c>
      <c r="N179" s="6">
        <f>H179*0.75%</f>
        <v>505.05619146693527</v>
      </c>
      <c r="O179" s="11">
        <f t="shared" si="66"/>
        <v>127.27416024966769</v>
      </c>
      <c r="P179" s="6">
        <f t="shared" si="67"/>
        <v>67468.099689174371</v>
      </c>
      <c r="R179" s="6">
        <f t="shared" si="68"/>
        <v>186.61642848559518</v>
      </c>
    </row>
    <row r="180" spans="1:18" x14ac:dyDescent="0.35">
      <c r="A180" t="s">
        <v>183</v>
      </c>
      <c r="B180" t="s">
        <v>6</v>
      </c>
      <c r="C180">
        <v>353</v>
      </c>
      <c r="E180">
        <f t="shared" si="69"/>
        <v>67468.099689174371</v>
      </c>
      <c r="F180" s="8">
        <f t="shared" ref="F180:F183" si="88">E180*0.35%</f>
        <v>236.13834891211027</v>
      </c>
      <c r="G180" s="9">
        <f t="shared" si="64"/>
        <v>59.506863925851789</v>
      </c>
      <c r="H180">
        <f t="shared" si="65"/>
        <v>67527.606553100224</v>
      </c>
      <c r="K180" t="s">
        <v>12</v>
      </c>
      <c r="L180">
        <v>354</v>
      </c>
      <c r="N180" s="6">
        <f t="shared" ref="N180:N183" si="89">H180*0.75%</f>
        <v>506.45704914825166</v>
      </c>
      <c r="O180" s="11">
        <f t="shared" si="66"/>
        <v>127.62717638535942</v>
      </c>
      <c r="P180">
        <f t="shared" si="67"/>
        <v>67655.233729485582</v>
      </c>
      <c r="R180">
        <f t="shared" si="68"/>
        <v>187.13404031121121</v>
      </c>
    </row>
    <row r="181" spans="1:18" x14ac:dyDescent="0.35">
      <c r="A181" t="s">
        <v>184</v>
      </c>
      <c r="B181" t="s">
        <v>6</v>
      </c>
      <c r="C181">
        <v>355</v>
      </c>
      <c r="E181">
        <f t="shared" si="69"/>
        <v>67655.233729485582</v>
      </c>
      <c r="F181" s="8">
        <f t="shared" si="88"/>
        <v>236.79331805319953</v>
      </c>
      <c r="G181" s="9">
        <f t="shared" si="64"/>
        <v>59.671916149406279</v>
      </c>
      <c r="H181">
        <f t="shared" si="65"/>
        <v>67714.905645634994</v>
      </c>
      <c r="K181" t="s">
        <v>12</v>
      </c>
      <c r="L181">
        <v>356</v>
      </c>
      <c r="N181" s="6">
        <f t="shared" si="89"/>
        <v>507.86179234226245</v>
      </c>
      <c r="O181" s="11">
        <f t="shared" si="66"/>
        <v>127.98117167025013</v>
      </c>
      <c r="P181">
        <f t="shared" si="67"/>
        <v>67842.886817305247</v>
      </c>
      <c r="R181">
        <f t="shared" si="68"/>
        <v>187.65308781965641</v>
      </c>
    </row>
    <row r="182" spans="1:18" x14ac:dyDescent="0.35">
      <c r="A182" t="s">
        <v>185</v>
      </c>
      <c r="B182" t="s">
        <v>6</v>
      </c>
      <c r="C182">
        <v>357</v>
      </c>
      <c r="E182">
        <f t="shared" si="69"/>
        <v>67842.886817305247</v>
      </c>
      <c r="F182" s="8">
        <f t="shared" si="88"/>
        <v>237.45010386056833</v>
      </c>
      <c r="G182" s="9">
        <f t="shared" si="64"/>
        <v>59.837426172863218</v>
      </c>
      <c r="H182">
        <f t="shared" si="65"/>
        <v>67902.724243478107</v>
      </c>
      <c r="K182" t="s">
        <v>12</v>
      </c>
      <c r="L182">
        <v>358</v>
      </c>
      <c r="N182" s="6">
        <f t="shared" si="89"/>
        <v>509.27043182608577</v>
      </c>
      <c r="O182" s="11">
        <f t="shared" si="66"/>
        <v>128.33614882017361</v>
      </c>
      <c r="P182">
        <f t="shared" si="67"/>
        <v>68031.060392298285</v>
      </c>
      <c r="R182">
        <f t="shared" si="68"/>
        <v>188.17357499303682</v>
      </c>
    </row>
    <row r="183" spans="1:18" s="13" customFormat="1" x14ac:dyDescent="0.35">
      <c r="A183" s="13" t="s">
        <v>186</v>
      </c>
      <c r="B183" s="13" t="s">
        <v>6</v>
      </c>
      <c r="C183" s="13">
        <v>359</v>
      </c>
      <c r="E183" s="13">
        <f t="shared" si="69"/>
        <v>68031.060392298285</v>
      </c>
      <c r="F183" s="14">
        <f t="shared" si="88"/>
        <v>238.10871137304397</v>
      </c>
      <c r="G183" s="9">
        <f t="shared" si="64"/>
        <v>60.003395266007082</v>
      </c>
      <c r="H183" s="13">
        <f t="shared" si="65"/>
        <v>68091.063787564286</v>
      </c>
      <c r="K183" s="13" t="s">
        <v>12</v>
      </c>
      <c r="L183" s="13">
        <v>360</v>
      </c>
      <c r="N183" s="13">
        <f t="shared" si="89"/>
        <v>510.6829784067321</v>
      </c>
      <c r="O183" s="11">
        <f t="shared" si="66"/>
        <v>128.69211055849649</v>
      </c>
      <c r="P183" s="13">
        <f t="shared" si="67"/>
        <v>68219.755898122778</v>
      </c>
      <c r="R183" s="13">
        <f t="shared" si="68"/>
        <v>188.69550582450358</v>
      </c>
    </row>
    <row r="184" spans="1:18" s="6" customFormat="1" x14ac:dyDescent="0.35">
      <c r="A184" s="6" t="s">
        <v>187</v>
      </c>
      <c r="B184" s="6" t="s">
        <v>6</v>
      </c>
      <c r="C184" s="6">
        <v>361</v>
      </c>
      <c r="D184" s="7">
        <v>4.0000000000000001E-3</v>
      </c>
      <c r="E184" s="6">
        <f t="shared" si="69"/>
        <v>68219.755898122778</v>
      </c>
      <c r="F184" s="8">
        <f>E184*0.4%</f>
        <v>272.87902359249114</v>
      </c>
      <c r="G184" s="9">
        <f t="shared" si="64"/>
        <v>68.765513945307774</v>
      </c>
      <c r="H184" s="6">
        <f t="shared" si="65"/>
        <v>68288.52141206809</v>
      </c>
      <c r="K184" s="6" t="s">
        <v>12</v>
      </c>
      <c r="L184" s="6">
        <v>362</v>
      </c>
      <c r="M184" s="7">
        <v>7.9999999999999308E-3</v>
      </c>
      <c r="N184" s="6">
        <f>H184*0.8%</f>
        <v>546.30817129654474</v>
      </c>
      <c r="O184" s="11">
        <f t="shared" si="66"/>
        <v>137.66965916672928</v>
      </c>
      <c r="P184" s="6">
        <f t="shared" si="67"/>
        <v>68426.191071234818</v>
      </c>
      <c r="R184" s="6">
        <f t="shared" si="68"/>
        <v>206.43517311203703</v>
      </c>
    </row>
    <row r="185" spans="1:18" x14ac:dyDescent="0.35">
      <c r="A185" t="s">
        <v>188</v>
      </c>
      <c r="B185" t="s">
        <v>6</v>
      </c>
      <c r="C185">
        <v>363</v>
      </c>
      <c r="E185">
        <f t="shared" si="69"/>
        <v>68426.191071234818</v>
      </c>
      <c r="F185" s="8">
        <f t="shared" ref="F185:F188" si="90">E185*0.4%</f>
        <v>273.7047642849393</v>
      </c>
      <c r="G185" s="9">
        <f t="shared" si="64"/>
        <v>68.973600599804698</v>
      </c>
      <c r="H185">
        <f t="shared" si="65"/>
        <v>68495.164671834616</v>
      </c>
      <c r="K185" t="s">
        <v>12</v>
      </c>
      <c r="L185">
        <v>364</v>
      </c>
      <c r="N185" s="6">
        <f t="shared" ref="N185:N188" si="91">H185*0.8%</f>
        <v>547.96131737467692</v>
      </c>
      <c r="O185" s="11">
        <f t="shared" si="66"/>
        <v>138.08625197841857</v>
      </c>
      <c r="P185">
        <f t="shared" si="67"/>
        <v>68633.25092381303</v>
      </c>
      <c r="R185">
        <f t="shared" si="68"/>
        <v>207.05985257822329</v>
      </c>
    </row>
    <row r="186" spans="1:18" x14ac:dyDescent="0.35">
      <c r="A186" t="s">
        <v>189</v>
      </c>
      <c r="B186" t="s">
        <v>6</v>
      </c>
      <c r="C186">
        <v>365</v>
      </c>
      <c r="E186">
        <f t="shared" si="69"/>
        <v>68633.25092381303</v>
      </c>
      <c r="F186" s="8">
        <f t="shared" si="90"/>
        <v>274.53300369525215</v>
      </c>
      <c r="G186" s="9">
        <f t="shared" si="64"/>
        <v>69.182316931203545</v>
      </c>
      <c r="H186">
        <f t="shared" si="65"/>
        <v>68702.433240744227</v>
      </c>
      <c r="K186" t="s">
        <v>12</v>
      </c>
      <c r="L186">
        <v>366</v>
      </c>
      <c r="N186" s="6">
        <f t="shared" si="91"/>
        <v>549.61946592595382</v>
      </c>
      <c r="O186" s="11">
        <f t="shared" si="66"/>
        <v>138.50410541334037</v>
      </c>
      <c r="P186">
        <f t="shared" si="67"/>
        <v>68840.937346157574</v>
      </c>
      <c r="R186">
        <f t="shared" si="68"/>
        <v>207.68642234454393</v>
      </c>
    </row>
    <row r="187" spans="1:18" x14ac:dyDescent="0.35">
      <c r="A187" t="s">
        <v>190</v>
      </c>
      <c r="B187" t="s">
        <v>6</v>
      </c>
      <c r="C187">
        <v>367</v>
      </c>
      <c r="E187">
        <f t="shared" si="69"/>
        <v>68840.937346157574</v>
      </c>
      <c r="F187" s="8">
        <f t="shared" si="90"/>
        <v>275.3637493846303</v>
      </c>
      <c r="G187" s="9">
        <f t="shared" si="64"/>
        <v>69.391664844926837</v>
      </c>
      <c r="H187">
        <f t="shared" si="65"/>
        <v>68910.329011002497</v>
      </c>
      <c r="K187" t="s">
        <v>12</v>
      </c>
      <c r="L187">
        <v>368</v>
      </c>
      <c r="N187" s="6">
        <f t="shared" si="91"/>
        <v>551.28263208802002</v>
      </c>
      <c r="O187" s="11">
        <f t="shared" si="66"/>
        <v>138.92322328618104</v>
      </c>
      <c r="P187">
        <f t="shared" si="67"/>
        <v>69049.25223428868</v>
      </c>
      <c r="R187">
        <f t="shared" si="68"/>
        <v>208.31488813110786</v>
      </c>
    </row>
    <row r="188" spans="1:18" x14ac:dyDescent="0.35">
      <c r="A188" t="s">
        <v>191</v>
      </c>
      <c r="B188" t="s">
        <v>6</v>
      </c>
      <c r="C188">
        <v>369</v>
      </c>
      <c r="E188">
        <f t="shared" si="69"/>
        <v>69049.25223428868</v>
      </c>
      <c r="F188" s="8">
        <f t="shared" si="90"/>
        <v>276.19700893715475</v>
      </c>
      <c r="G188" s="9">
        <f t="shared" si="64"/>
        <v>69.601646252162993</v>
      </c>
      <c r="H188">
        <f t="shared" si="65"/>
        <v>69118.853880540846</v>
      </c>
      <c r="K188" t="s">
        <v>12</v>
      </c>
      <c r="L188">
        <v>370</v>
      </c>
      <c r="N188" s="6">
        <f t="shared" si="91"/>
        <v>552.95083104432683</v>
      </c>
      <c r="O188" s="11">
        <f t="shared" si="66"/>
        <v>139.34360942317036</v>
      </c>
      <c r="P188">
        <f t="shared" si="67"/>
        <v>69258.197489964019</v>
      </c>
      <c r="R188">
        <f t="shared" si="68"/>
        <v>208.94525567533336</v>
      </c>
    </row>
    <row r="189" spans="1:18" s="6" customFormat="1" x14ac:dyDescent="0.35">
      <c r="A189" s="6" t="s">
        <v>192</v>
      </c>
      <c r="B189" s="6" t="s">
        <v>6</v>
      </c>
      <c r="C189" s="6">
        <v>371</v>
      </c>
      <c r="D189" s="7">
        <v>4.4999999999999797E-3</v>
      </c>
      <c r="E189" s="6">
        <f t="shared" si="69"/>
        <v>69258.197489964019</v>
      </c>
      <c r="F189" s="8">
        <f>E189*0.45%</f>
        <v>311.66188870483813</v>
      </c>
      <c r="G189" s="9">
        <f t="shared" si="64"/>
        <v>78.538795953619214</v>
      </c>
      <c r="H189" s="6">
        <f t="shared" si="65"/>
        <v>69336.736285917636</v>
      </c>
      <c r="K189" s="6" t="s">
        <v>12</v>
      </c>
      <c r="L189" s="6">
        <v>372</v>
      </c>
      <c r="M189" s="7">
        <v>8.4999999999999208E-3</v>
      </c>
      <c r="N189" s="6">
        <f>H189*0.85%</f>
        <v>589.3622584302999</v>
      </c>
      <c r="O189" s="11">
        <f t="shared" si="66"/>
        <v>148.51928912443557</v>
      </c>
      <c r="P189" s="6">
        <f t="shared" si="67"/>
        <v>69485.255575042072</v>
      </c>
      <c r="R189" s="6">
        <f t="shared" si="68"/>
        <v>227.05808507805477</v>
      </c>
    </row>
    <row r="190" spans="1:18" x14ac:dyDescent="0.35">
      <c r="A190" t="s">
        <v>193</v>
      </c>
      <c r="B190" t="s">
        <v>6</v>
      </c>
      <c r="C190">
        <v>373</v>
      </c>
      <c r="E190">
        <f t="shared" si="69"/>
        <v>69485.255575042072</v>
      </c>
      <c r="F190" s="8">
        <f t="shared" ref="F190:F193" si="92">E190*0.45%</f>
        <v>312.68365008768939</v>
      </c>
      <c r="G190" s="9">
        <f t="shared" si="64"/>
        <v>78.796279822097731</v>
      </c>
      <c r="H190">
        <f t="shared" si="65"/>
        <v>69564.05185486417</v>
      </c>
      <c r="K190" t="s">
        <v>12</v>
      </c>
      <c r="L190">
        <v>374</v>
      </c>
      <c r="N190" s="6">
        <f t="shared" ref="N190:N193" si="93">H190*0.85%</f>
        <v>591.29444076634547</v>
      </c>
      <c r="O190" s="11">
        <f t="shared" si="66"/>
        <v>149.00619907311906</v>
      </c>
      <c r="P190">
        <f t="shared" si="67"/>
        <v>69713.05805393729</v>
      </c>
      <c r="R190">
        <f t="shared" si="68"/>
        <v>227.80247889521678</v>
      </c>
    </row>
    <row r="191" spans="1:18" x14ac:dyDescent="0.35">
      <c r="A191" t="s">
        <v>194</v>
      </c>
      <c r="B191" t="s">
        <v>6</v>
      </c>
      <c r="C191">
        <v>375</v>
      </c>
      <c r="E191">
        <f t="shared" si="69"/>
        <v>69713.05805393729</v>
      </c>
      <c r="F191" s="8">
        <f t="shared" si="92"/>
        <v>313.70876124271786</v>
      </c>
      <c r="G191" s="9">
        <f t="shared" si="64"/>
        <v>79.054607833164894</v>
      </c>
      <c r="H191">
        <f t="shared" si="65"/>
        <v>69792.112661770458</v>
      </c>
      <c r="K191" t="s">
        <v>12</v>
      </c>
      <c r="L191">
        <v>376</v>
      </c>
      <c r="N191" s="6">
        <f t="shared" si="93"/>
        <v>593.23295762504893</v>
      </c>
      <c r="O191" s="11">
        <f t="shared" si="66"/>
        <v>149.49470532151233</v>
      </c>
      <c r="P191">
        <f t="shared" si="67"/>
        <v>69941.607367091972</v>
      </c>
      <c r="R191">
        <f t="shared" si="68"/>
        <v>228.54931315467724</v>
      </c>
    </row>
    <row r="192" spans="1:18" x14ac:dyDescent="0.35">
      <c r="A192" t="s">
        <v>195</v>
      </c>
      <c r="B192" t="s">
        <v>6</v>
      </c>
      <c r="C192">
        <v>377</v>
      </c>
      <c r="E192">
        <f t="shared" si="69"/>
        <v>69941.607367091972</v>
      </c>
      <c r="F192" s="8">
        <f t="shared" si="92"/>
        <v>314.73723315191393</v>
      </c>
      <c r="G192" s="9">
        <f t="shared" si="64"/>
        <v>79.313782754282315</v>
      </c>
      <c r="H192">
        <f t="shared" si="65"/>
        <v>70020.921149846254</v>
      </c>
      <c r="K192" t="s">
        <v>12</v>
      </c>
      <c r="L192">
        <v>378</v>
      </c>
      <c r="N192" s="6">
        <f t="shared" si="93"/>
        <v>595.17782977369325</v>
      </c>
      <c r="O192" s="11">
        <f t="shared" si="66"/>
        <v>149.98481310297069</v>
      </c>
      <c r="P192">
        <f t="shared" si="67"/>
        <v>70170.905962949226</v>
      </c>
      <c r="R192">
        <f t="shared" si="68"/>
        <v>229.29859585725302</v>
      </c>
    </row>
    <row r="193" spans="1:18" x14ac:dyDescent="0.35">
      <c r="A193" t="s">
        <v>196</v>
      </c>
      <c r="B193" t="s">
        <v>6</v>
      </c>
      <c r="C193">
        <v>379</v>
      </c>
      <c r="E193">
        <f t="shared" si="69"/>
        <v>70170.905962949226</v>
      </c>
      <c r="F193" s="8">
        <f t="shared" si="92"/>
        <v>315.76907683327153</v>
      </c>
      <c r="G193" s="9">
        <f t="shared" si="64"/>
        <v>79.573807361984422</v>
      </c>
      <c r="H193">
        <f t="shared" si="65"/>
        <v>70250.479770311213</v>
      </c>
      <c r="K193" t="s">
        <v>12</v>
      </c>
      <c r="L193">
        <v>380</v>
      </c>
      <c r="M193" s="15"/>
      <c r="N193" s="6">
        <f t="shared" si="93"/>
        <v>597.12907804764529</v>
      </c>
      <c r="O193" s="11">
        <f t="shared" si="66"/>
        <v>150.47652766800661</v>
      </c>
      <c r="P193">
        <f t="shared" si="67"/>
        <v>70400.956297979224</v>
      </c>
      <c r="R193">
        <f t="shared" si="68"/>
        <v>230.05033502999103</v>
      </c>
    </row>
    <row r="194" spans="1:18" s="6" customFormat="1" x14ac:dyDescent="0.35">
      <c r="A194" s="6" t="s">
        <v>197</v>
      </c>
      <c r="B194" s="6" t="s">
        <v>6</v>
      </c>
      <c r="C194" s="6">
        <v>381</v>
      </c>
      <c r="D194" s="7">
        <v>4.9999999999999697E-3</v>
      </c>
      <c r="E194" s="6">
        <f t="shared" si="69"/>
        <v>70400.956297979224</v>
      </c>
      <c r="F194" s="8">
        <f>E194*0.5%</f>
        <v>352.00478148989612</v>
      </c>
      <c r="G194" s="9">
        <f t="shared" si="64"/>
        <v>88.705204935453821</v>
      </c>
      <c r="H194" s="6">
        <f t="shared" si="65"/>
        <v>70489.661502914678</v>
      </c>
      <c r="K194" s="6" t="s">
        <v>12</v>
      </c>
      <c r="L194" s="6">
        <v>382</v>
      </c>
      <c r="M194" s="7">
        <v>8.9999999999999108E-3</v>
      </c>
      <c r="N194" s="6">
        <f>H194*0.9%</f>
        <v>634.4069535262322</v>
      </c>
      <c r="O194" s="11">
        <f t="shared" si="66"/>
        <v>159.87055228861053</v>
      </c>
      <c r="P194" s="6">
        <f t="shared" si="67"/>
        <v>70649.532055203294</v>
      </c>
      <c r="R194" s="6">
        <f t="shared" si="68"/>
        <v>248.57575722406435</v>
      </c>
    </row>
    <row r="195" spans="1:18" x14ac:dyDescent="0.35">
      <c r="A195" t="s">
        <v>198</v>
      </c>
      <c r="B195" t="s">
        <v>6</v>
      </c>
      <c r="C195">
        <v>383</v>
      </c>
      <c r="E195">
        <f t="shared" si="69"/>
        <v>70649.532055203294</v>
      </c>
      <c r="F195" s="8">
        <f t="shared" ref="F195:F198" si="94">E195*0.5%</f>
        <v>353.24766027601646</v>
      </c>
      <c r="G195" s="9">
        <f t="shared" si="64"/>
        <v>89.018410389556152</v>
      </c>
      <c r="H195">
        <f t="shared" si="65"/>
        <v>70738.550465592853</v>
      </c>
      <c r="K195" t="s">
        <v>12</v>
      </c>
      <c r="L195">
        <v>384</v>
      </c>
      <c r="N195" s="6">
        <f t="shared" ref="N195:N198" si="95">H195*0.9%</f>
        <v>636.64695419033569</v>
      </c>
      <c r="O195" s="11">
        <f t="shared" si="66"/>
        <v>160.4350324559646</v>
      </c>
      <c r="P195">
        <f t="shared" si="67"/>
        <v>70898.985498048816</v>
      </c>
      <c r="R195">
        <f t="shared" si="68"/>
        <v>249.45344284552075</v>
      </c>
    </row>
    <row r="196" spans="1:18" x14ac:dyDescent="0.35">
      <c r="A196" t="s">
        <v>199</v>
      </c>
      <c r="B196" t="s">
        <v>6</v>
      </c>
      <c r="C196">
        <v>385</v>
      </c>
      <c r="E196">
        <f t="shared" si="69"/>
        <v>70898.985498048816</v>
      </c>
      <c r="F196" s="8">
        <f t="shared" si="94"/>
        <v>354.49492749024409</v>
      </c>
      <c r="G196" s="9">
        <f t="shared" si="64"/>
        <v>89.332721727541511</v>
      </c>
      <c r="H196">
        <f t="shared" si="65"/>
        <v>70988.318219776353</v>
      </c>
      <c r="K196" t="s">
        <v>12</v>
      </c>
      <c r="L196">
        <v>386</v>
      </c>
      <c r="N196" s="6">
        <f t="shared" si="95"/>
        <v>638.89486397798726</v>
      </c>
      <c r="O196" s="11">
        <f t="shared" si="66"/>
        <v>161.00150572245278</v>
      </c>
      <c r="P196">
        <f t="shared" si="67"/>
        <v>71149.319725498804</v>
      </c>
      <c r="R196">
        <f t="shared" si="68"/>
        <v>250.33422744999427</v>
      </c>
    </row>
    <row r="197" spans="1:18" x14ac:dyDescent="0.35">
      <c r="A197" t="s">
        <v>200</v>
      </c>
      <c r="B197" t="s">
        <v>6</v>
      </c>
      <c r="C197">
        <v>387</v>
      </c>
      <c r="E197">
        <f t="shared" si="69"/>
        <v>71149.319725498804</v>
      </c>
      <c r="F197" s="8">
        <f t="shared" si="94"/>
        <v>355.74659862749405</v>
      </c>
      <c r="G197" s="9">
        <f t="shared" ref="G197:G260" si="96">F197*25.2%</f>
        <v>89.648142854128508</v>
      </c>
      <c r="H197">
        <f t="shared" ref="H197:H260" si="97">G197+E197</f>
        <v>71238.967868352935</v>
      </c>
      <c r="K197" t="s">
        <v>12</v>
      </c>
      <c r="L197">
        <v>388</v>
      </c>
      <c r="N197" s="6">
        <f t="shared" si="95"/>
        <v>641.15071081517647</v>
      </c>
      <c r="O197" s="11">
        <f t="shared" ref="O197:O260" si="98">N197*25.2%</f>
        <v>161.56997912542448</v>
      </c>
      <c r="P197">
        <f t="shared" ref="P197:P260" si="99">O197+H197</f>
        <v>71400.537847478365</v>
      </c>
      <c r="R197">
        <f t="shared" ref="R197:R260" si="100">O197+G197</f>
        <v>251.21812197955299</v>
      </c>
    </row>
    <row r="198" spans="1:18" x14ac:dyDescent="0.35">
      <c r="A198" t="s">
        <v>201</v>
      </c>
      <c r="B198" t="s">
        <v>6</v>
      </c>
      <c r="C198">
        <v>389</v>
      </c>
      <c r="D198" s="15"/>
      <c r="E198">
        <f t="shared" ref="E198:E261" si="101">P197</f>
        <v>71400.537847478365</v>
      </c>
      <c r="F198" s="8">
        <f t="shared" si="94"/>
        <v>357.00268923739185</v>
      </c>
      <c r="G198" s="9">
        <f t="shared" si="96"/>
        <v>89.964677687822743</v>
      </c>
      <c r="H198">
        <f t="shared" si="97"/>
        <v>71490.502525166186</v>
      </c>
      <c r="K198" t="s">
        <v>12</v>
      </c>
      <c r="L198">
        <v>390</v>
      </c>
      <c r="N198" s="6">
        <f t="shared" si="95"/>
        <v>643.41452272649576</v>
      </c>
      <c r="O198" s="11">
        <f t="shared" si="98"/>
        <v>162.14045972707694</v>
      </c>
      <c r="P198">
        <f t="shared" si="99"/>
        <v>71652.64298489326</v>
      </c>
      <c r="R198">
        <f t="shared" si="100"/>
        <v>252.10513741489967</v>
      </c>
    </row>
    <row r="199" spans="1:18" s="6" customFormat="1" x14ac:dyDescent="0.35">
      <c r="A199" s="6" t="s">
        <v>202</v>
      </c>
      <c r="B199" s="6" t="s">
        <v>6</v>
      </c>
      <c r="C199" s="6">
        <v>391</v>
      </c>
      <c r="D199" s="7">
        <v>5.4999999999999598E-3</v>
      </c>
      <c r="E199" s="6">
        <f t="shared" si="101"/>
        <v>71652.64298489326</v>
      </c>
      <c r="F199" s="8">
        <f>E199*0.55%</f>
        <v>394.08953641691295</v>
      </c>
      <c r="G199" s="9">
        <f t="shared" si="96"/>
        <v>99.310563177062065</v>
      </c>
      <c r="H199" s="6">
        <f t="shared" si="97"/>
        <v>71751.95354807032</v>
      </c>
      <c r="K199" s="6" t="s">
        <v>12</v>
      </c>
      <c r="L199" s="6">
        <v>392</v>
      </c>
      <c r="M199" s="7">
        <v>8.0000000000000002E-3</v>
      </c>
      <c r="N199" s="6">
        <f t="shared" ref="N199:N203" si="102">H199*0.8%</f>
        <v>574.01562838456255</v>
      </c>
      <c r="O199" s="11">
        <f t="shared" si="98"/>
        <v>144.65193835290975</v>
      </c>
      <c r="P199" s="6">
        <f t="shared" si="99"/>
        <v>71896.605486423228</v>
      </c>
      <c r="R199" s="6">
        <f t="shared" si="100"/>
        <v>243.9625015299718</v>
      </c>
    </row>
    <row r="200" spans="1:18" x14ac:dyDescent="0.35">
      <c r="A200" t="s">
        <v>203</v>
      </c>
      <c r="B200" t="s">
        <v>6</v>
      </c>
      <c r="C200">
        <v>393</v>
      </c>
      <c r="E200">
        <f t="shared" si="101"/>
        <v>71896.605486423228</v>
      </c>
      <c r="F200" s="8">
        <f t="shared" ref="F200:F203" si="103">E200*0.55%</f>
        <v>395.43133017532779</v>
      </c>
      <c r="G200" s="9">
        <f t="shared" si="96"/>
        <v>99.648695204182602</v>
      </c>
      <c r="H200">
        <f t="shared" si="97"/>
        <v>71996.254181627417</v>
      </c>
      <c r="K200" t="s">
        <v>12</v>
      </c>
      <c r="L200">
        <v>394</v>
      </c>
      <c r="N200" s="6">
        <f t="shared" si="102"/>
        <v>575.97003345301937</v>
      </c>
      <c r="O200" s="11">
        <f t="shared" si="98"/>
        <v>145.14444843016088</v>
      </c>
      <c r="P200">
        <f t="shared" si="99"/>
        <v>72141.398630057578</v>
      </c>
      <c r="R200">
        <f t="shared" si="100"/>
        <v>244.79314363434349</v>
      </c>
    </row>
    <row r="201" spans="1:18" x14ac:dyDescent="0.35">
      <c r="A201" t="s">
        <v>204</v>
      </c>
      <c r="B201" t="s">
        <v>6</v>
      </c>
      <c r="C201">
        <v>395</v>
      </c>
      <c r="E201">
        <f t="shared" si="101"/>
        <v>72141.398630057578</v>
      </c>
      <c r="F201" s="8">
        <f t="shared" si="103"/>
        <v>396.7776924653167</v>
      </c>
      <c r="G201" s="9">
        <f t="shared" si="96"/>
        <v>99.987978501259803</v>
      </c>
      <c r="H201">
        <f t="shared" si="97"/>
        <v>72241.386608558838</v>
      </c>
      <c r="K201" t="s">
        <v>12</v>
      </c>
      <c r="L201">
        <v>396</v>
      </c>
      <c r="N201" s="6">
        <f t="shared" si="102"/>
        <v>577.93109286847073</v>
      </c>
      <c r="O201" s="11">
        <f t="shared" si="98"/>
        <v>145.63863540285462</v>
      </c>
      <c r="P201">
        <f t="shared" si="99"/>
        <v>72387.025243961689</v>
      </c>
      <c r="R201">
        <f t="shared" si="100"/>
        <v>245.62661390411444</v>
      </c>
    </row>
    <row r="202" spans="1:18" x14ac:dyDescent="0.35">
      <c r="A202" t="s">
        <v>205</v>
      </c>
      <c r="B202" t="s">
        <v>6</v>
      </c>
      <c r="C202">
        <v>397</v>
      </c>
      <c r="E202">
        <f t="shared" si="101"/>
        <v>72387.025243961689</v>
      </c>
      <c r="F202" s="8">
        <f t="shared" si="103"/>
        <v>398.12863884178932</v>
      </c>
      <c r="G202" s="9">
        <f t="shared" si="96"/>
        <v>100.32841698813091</v>
      </c>
      <c r="H202">
        <f t="shared" si="97"/>
        <v>72487.353660949826</v>
      </c>
      <c r="K202" t="s">
        <v>12</v>
      </c>
      <c r="L202">
        <v>398</v>
      </c>
      <c r="N202" s="6">
        <f t="shared" si="102"/>
        <v>579.89882928759857</v>
      </c>
      <c r="O202" s="11">
        <f t="shared" si="98"/>
        <v>146.13450498047484</v>
      </c>
      <c r="P202">
        <f t="shared" si="99"/>
        <v>72633.488165930306</v>
      </c>
      <c r="R202">
        <f t="shared" si="100"/>
        <v>246.46292196860577</v>
      </c>
    </row>
    <row r="203" spans="1:18" x14ac:dyDescent="0.35">
      <c r="A203" t="s">
        <v>206</v>
      </c>
      <c r="B203" t="s">
        <v>6</v>
      </c>
      <c r="C203">
        <v>399</v>
      </c>
      <c r="E203">
        <f t="shared" si="101"/>
        <v>72633.488165930306</v>
      </c>
      <c r="F203" s="8">
        <f t="shared" si="103"/>
        <v>399.48418491261674</v>
      </c>
      <c r="G203" s="9">
        <f t="shared" si="96"/>
        <v>100.67001459797942</v>
      </c>
      <c r="H203">
        <f t="shared" si="97"/>
        <v>72734.158180528291</v>
      </c>
      <c r="K203" t="s">
        <v>12</v>
      </c>
      <c r="L203">
        <v>400</v>
      </c>
      <c r="N203" s="6">
        <f t="shared" si="102"/>
        <v>581.87326544422638</v>
      </c>
      <c r="O203" s="11">
        <f t="shared" si="98"/>
        <v>146.63206289194505</v>
      </c>
      <c r="P203">
        <f t="shared" si="99"/>
        <v>72880.790243420241</v>
      </c>
      <c r="R203">
        <f t="shared" si="100"/>
        <v>247.30207748992447</v>
      </c>
    </row>
    <row r="204" spans="1:18" s="6" customFormat="1" x14ac:dyDescent="0.35">
      <c r="A204" s="6" t="s">
        <v>207</v>
      </c>
      <c r="B204" s="6" t="s">
        <v>6</v>
      </c>
      <c r="C204" s="6">
        <v>401</v>
      </c>
      <c r="D204" s="7">
        <v>5.9999999999999498E-3</v>
      </c>
      <c r="E204" s="6">
        <f t="shared" si="101"/>
        <v>72880.790243420241</v>
      </c>
      <c r="F204" s="8">
        <f>E204*0.6%</f>
        <v>437.28474146052145</v>
      </c>
      <c r="G204" s="9">
        <f t="shared" si="96"/>
        <v>110.19575484805141</v>
      </c>
      <c r="H204" s="6">
        <f t="shared" si="97"/>
        <v>72990.985998268297</v>
      </c>
      <c r="K204" s="6" t="s">
        <v>12</v>
      </c>
      <c r="L204" s="6">
        <v>402</v>
      </c>
      <c r="M204" s="7">
        <v>7.0000000000000001E-3</v>
      </c>
      <c r="N204" s="6">
        <f>H204*0.7%</f>
        <v>510.936901987878</v>
      </c>
      <c r="O204" s="11">
        <f t="shared" si="98"/>
        <v>128.75609930094527</v>
      </c>
      <c r="P204" s="6">
        <f t="shared" si="99"/>
        <v>73119.742097569237</v>
      </c>
      <c r="R204" s="6">
        <f t="shared" si="100"/>
        <v>238.95185414899669</v>
      </c>
    </row>
    <row r="205" spans="1:18" x14ac:dyDescent="0.35">
      <c r="A205" t="s">
        <v>208</v>
      </c>
      <c r="B205" t="s">
        <v>6</v>
      </c>
      <c r="C205">
        <v>403</v>
      </c>
      <c r="E205">
        <f t="shared" si="101"/>
        <v>73119.742097569237</v>
      </c>
      <c r="F205" s="8">
        <f t="shared" ref="F205:F208" si="104">E205*0.6%</f>
        <v>438.71845258541543</v>
      </c>
      <c r="G205" s="9">
        <f t="shared" si="96"/>
        <v>110.55705005152468</v>
      </c>
      <c r="H205">
        <f t="shared" si="97"/>
        <v>73230.299147620768</v>
      </c>
      <c r="K205" t="s">
        <v>12</v>
      </c>
      <c r="L205">
        <v>404</v>
      </c>
      <c r="N205" s="6">
        <f t="shared" ref="N205:N208" si="105">H205*0.7%</f>
        <v>512.61209403334533</v>
      </c>
      <c r="O205" s="11">
        <f t="shared" si="98"/>
        <v>129.17824769640302</v>
      </c>
      <c r="P205">
        <f t="shared" si="99"/>
        <v>73359.477395317168</v>
      </c>
      <c r="R205">
        <f t="shared" si="100"/>
        <v>239.73529774792769</v>
      </c>
    </row>
    <row r="206" spans="1:18" x14ac:dyDescent="0.35">
      <c r="A206" t="s">
        <v>209</v>
      </c>
      <c r="B206" t="s">
        <v>6</v>
      </c>
      <c r="C206">
        <v>405</v>
      </c>
      <c r="E206">
        <f t="shared" si="101"/>
        <v>73359.477395317168</v>
      </c>
      <c r="F206" s="8">
        <f t="shared" si="104"/>
        <v>440.156864371903</v>
      </c>
      <c r="G206" s="9">
        <f t="shared" si="96"/>
        <v>110.91952982171955</v>
      </c>
      <c r="H206">
        <f t="shared" si="97"/>
        <v>73470.396925138892</v>
      </c>
      <c r="K206" t="s">
        <v>12</v>
      </c>
      <c r="L206">
        <v>406</v>
      </c>
      <c r="N206" s="6">
        <f t="shared" si="105"/>
        <v>514.29277847597223</v>
      </c>
      <c r="O206" s="11">
        <f t="shared" si="98"/>
        <v>129.60178017594501</v>
      </c>
      <c r="P206">
        <f t="shared" si="99"/>
        <v>73599.998705314836</v>
      </c>
      <c r="R206">
        <f t="shared" si="100"/>
        <v>240.52130999766456</v>
      </c>
    </row>
    <row r="207" spans="1:18" x14ac:dyDescent="0.35">
      <c r="A207" t="s">
        <v>210</v>
      </c>
      <c r="B207" t="s">
        <v>6</v>
      </c>
      <c r="C207">
        <v>407</v>
      </c>
      <c r="E207">
        <f t="shared" si="101"/>
        <v>73599.998705314836</v>
      </c>
      <c r="F207" s="8">
        <f t="shared" si="104"/>
        <v>441.59999223188902</v>
      </c>
      <c r="G207" s="9">
        <f t="shared" si="96"/>
        <v>111.28319804243603</v>
      </c>
      <c r="H207">
        <f t="shared" si="97"/>
        <v>73711.281903357274</v>
      </c>
      <c r="K207" t="s">
        <v>12</v>
      </c>
      <c r="L207">
        <v>408</v>
      </c>
      <c r="N207" s="6">
        <f t="shared" si="105"/>
        <v>515.9789733235009</v>
      </c>
      <c r="O207" s="11">
        <f t="shared" si="98"/>
        <v>130.02670127752222</v>
      </c>
      <c r="P207">
        <f t="shared" si="99"/>
        <v>73841.308604634803</v>
      </c>
      <c r="R207">
        <f t="shared" si="100"/>
        <v>241.30989931995825</v>
      </c>
    </row>
    <row r="208" spans="1:18" x14ac:dyDescent="0.35">
      <c r="A208" t="s">
        <v>211</v>
      </c>
      <c r="B208" t="s">
        <v>6</v>
      </c>
      <c r="C208">
        <v>409</v>
      </c>
      <c r="E208">
        <f t="shared" si="101"/>
        <v>73841.308604634803</v>
      </c>
      <c r="F208" s="8">
        <f t="shared" si="104"/>
        <v>443.04785162780883</v>
      </c>
      <c r="G208" s="9">
        <f t="shared" si="96"/>
        <v>111.64805861020783</v>
      </c>
      <c r="H208">
        <f t="shared" si="97"/>
        <v>73952.956663245015</v>
      </c>
      <c r="K208" t="s">
        <v>12</v>
      </c>
      <c r="L208">
        <v>410</v>
      </c>
      <c r="N208" s="6">
        <f t="shared" si="105"/>
        <v>517.67069664271503</v>
      </c>
      <c r="O208" s="11">
        <f t="shared" si="98"/>
        <v>130.45301555396418</v>
      </c>
      <c r="P208">
        <f t="shared" si="99"/>
        <v>74083.409678798984</v>
      </c>
      <c r="R208">
        <f t="shared" si="100"/>
        <v>242.10107416417202</v>
      </c>
    </row>
    <row r="209" spans="1:18" s="6" customFormat="1" x14ac:dyDescent="0.35">
      <c r="A209" s="6" t="s">
        <v>212</v>
      </c>
      <c r="B209" s="6" t="s">
        <v>6</v>
      </c>
      <c r="C209" s="6">
        <v>411</v>
      </c>
      <c r="D209" s="7">
        <v>6.4999999999999399E-3</v>
      </c>
      <c r="E209" s="6">
        <f t="shared" si="101"/>
        <v>74083.409678798984</v>
      </c>
      <c r="F209" s="8">
        <f>E209*0.65%</f>
        <v>481.54216291219342</v>
      </c>
      <c r="G209" s="9">
        <f t="shared" si="96"/>
        <v>121.34862505387274</v>
      </c>
      <c r="H209" s="6">
        <f t="shared" si="97"/>
        <v>74204.758303852854</v>
      </c>
      <c r="K209" s="6" t="s">
        <v>6</v>
      </c>
      <c r="L209" s="6">
        <v>412</v>
      </c>
      <c r="M209" s="7">
        <v>6.0000000000001797E-3</v>
      </c>
      <c r="N209" s="6">
        <f>H209*0.6%</f>
        <v>445.22854982311713</v>
      </c>
      <c r="O209" s="11">
        <f t="shared" si="98"/>
        <v>112.19759455542552</v>
      </c>
      <c r="P209" s="6">
        <f t="shared" si="99"/>
        <v>74316.955898408283</v>
      </c>
      <c r="R209" s="6">
        <f t="shared" si="100"/>
        <v>233.54621960929825</v>
      </c>
    </row>
    <row r="210" spans="1:18" x14ac:dyDescent="0.35">
      <c r="A210" t="s">
        <v>213</v>
      </c>
      <c r="B210" t="s">
        <v>6</v>
      </c>
      <c r="C210">
        <v>413</v>
      </c>
      <c r="E210">
        <f t="shared" si="101"/>
        <v>74316.955898408283</v>
      </c>
      <c r="F210" s="8">
        <f t="shared" ref="F210:F213" si="106">E210*0.65%</f>
        <v>483.0602133396539</v>
      </c>
      <c r="G210" s="9">
        <f t="shared" si="96"/>
        <v>121.73117376159279</v>
      </c>
      <c r="H210">
        <f t="shared" si="97"/>
        <v>74438.68707216988</v>
      </c>
      <c r="K210" t="s">
        <v>6</v>
      </c>
      <c r="L210">
        <v>414</v>
      </c>
      <c r="N210" s="6">
        <f t="shared" ref="N210:N213" si="107">H210*0.6%</f>
        <v>446.63212243301928</v>
      </c>
      <c r="O210" s="11">
        <f t="shared" si="98"/>
        <v>112.55129485312087</v>
      </c>
      <c r="P210">
        <f t="shared" si="99"/>
        <v>74551.238367023005</v>
      </c>
      <c r="R210">
        <f t="shared" si="100"/>
        <v>234.28246861471365</v>
      </c>
    </row>
    <row r="211" spans="1:18" x14ac:dyDescent="0.35">
      <c r="A211" t="s">
        <v>214</v>
      </c>
      <c r="B211" t="s">
        <v>6</v>
      </c>
      <c r="C211">
        <v>415</v>
      </c>
      <c r="E211">
        <f t="shared" si="101"/>
        <v>74551.238367023005</v>
      </c>
      <c r="F211" s="8">
        <f t="shared" si="106"/>
        <v>484.58304938564959</v>
      </c>
      <c r="G211" s="9">
        <f t="shared" si="96"/>
        <v>122.11492844518369</v>
      </c>
      <c r="H211">
        <f t="shared" si="97"/>
        <v>74673.353295468187</v>
      </c>
      <c r="K211" t="s">
        <v>6</v>
      </c>
      <c r="L211">
        <v>416</v>
      </c>
      <c r="N211" s="6">
        <f t="shared" si="107"/>
        <v>448.04011977280913</v>
      </c>
      <c r="O211" s="11">
        <f t="shared" si="98"/>
        <v>112.90611018274791</v>
      </c>
      <c r="P211">
        <f t="shared" si="99"/>
        <v>74786.259405650941</v>
      </c>
      <c r="R211">
        <f t="shared" si="100"/>
        <v>235.0210386279316</v>
      </c>
    </row>
    <row r="212" spans="1:18" x14ac:dyDescent="0.35">
      <c r="A212" t="s">
        <v>215</v>
      </c>
      <c r="B212" t="s">
        <v>6</v>
      </c>
      <c r="C212">
        <v>417</v>
      </c>
      <c r="E212">
        <f t="shared" si="101"/>
        <v>74786.259405650941</v>
      </c>
      <c r="F212" s="8">
        <f t="shared" si="106"/>
        <v>486.11068613673115</v>
      </c>
      <c r="G212" s="9">
        <f t="shared" si="96"/>
        <v>122.49989290645625</v>
      </c>
      <c r="H212">
        <f t="shared" si="97"/>
        <v>74908.759298557401</v>
      </c>
      <c r="K212" t="s">
        <v>6</v>
      </c>
      <c r="L212">
        <v>418</v>
      </c>
      <c r="N212" s="6">
        <f t="shared" si="107"/>
        <v>449.45255579134442</v>
      </c>
      <c r="O212" s="11">
        <f t="shared" si="98"/>
        <v>113.2620440594188</v>
      </c>
      <c r="P212">
        <f t="shared" si="99"/>
        <v>75022.021342616819</v>
      </c>
      <c r="R212">
        <f t="shared" si="100"/>
        <v>235.76193696587507</v>
      </c>
    </row>
    <row r="213" spans="1:18" s="13" customFormat="1" x14ac:dyDescent="0.35">
      <c r="A213" s="13" t="s">
        <v>216</v>
      </c>
      <c r="B213" s="13" t="s">
        <v>6</v>
      </c>
      <c r="C213" s="13">
        <v>419</v>
      </c>
      <c r="E213" s="13">
        <f t="shared" si="101"/>
        <v>75022.021342616819</v>
      </c>
      <c r="F213" s="14">
        <f t="shared" si="106"/>
        <v>487.64313872700939</v>
      </c>
      <c r="G213" s="9">
        <f t="shared" si="96"/>
        <v>122.88607095920636</v>
      </c>
      <c r="H213" s="13">
        <f t="shared" si="97"/>
        <v>75144.907413576031</v>
      </c>
      <c r="K213" s="13" t="s">
        <v>6</v>
      </c>
      <c r="L213" s="13">
        <v>420</v>
      </c>
      <c r="N213" s="13">
        <f t="shared" si="107"/>
        <v>450.86944448145618</v>
      </c>
      <c r="O213" s="11">
        <f t="shared" si="98"/>
        <v>113.61910000932696</v>
      </c>
      <c r="P213" s="13">
        <f t="shared" si="99"/>
        <v>75258.526513585355</v>
      </c>
      <c r="R213" s="13">
        <f t="shared" si="100"/>
        <v>236.50517096853332</v>
      </c>
    </row>
    <row r="214" spans="1:18" s="6" customFormat="1" x14ac:dyDescent="0.35">
      <c r="A214" s="6" t="s">
        <v>217</v>
      </c>
      <c r="B214" s="6" t="s">
        <v>5</v>
      </c>
      <c r="C214" s="6">
        <v>421</v>
      </c>
      <c r="D214" s="7">
        <v>6.9999999999999299E-3</v>
      </c>
      <c r="E214" s="6">
        <f t="shared" si="101"/>
        <v>75258.526513585355</v>
      </c>
      <c r="F214" s="8">
        <f>E214*0.7%</f>
        <v>526.80968559509745</v>
      </c>
      <c r="G214" s="9">
        <f t="shared" si="96"/>
        <v>132.75604076996456</v>
      </c>
      <c r="H214" s="6">
        <f t="shared" si="97"/>
        <v>75391.282554355319</v>
      </c>
      <c r="K214" s="6" t="s">
        <v>6</v>
      </c>
      <c r="L214" s="6">
        <v>422</v>
      </c>
      <c r="M214" s="7">
        <v>5.0000000000002699E-3</v>
      </c>
      <c r="N214" s="6">
        <f>H214*0.5%</f>
        <v>376.95641277177663</v>
      </c>
      <c r="O214" s="11">
        <f t="shared" si="98"/>
        <v>94.993016018487708</v>
      </c>
      <c r="P214" s="6">
        <f t="shared" si="99"/>
        <v>75486.275570373808</v>
      </c>
      <c r="R214" s="6">
        <f t="shared" si="100"/>
        <v>227.74905678845226</v>
      </c>
    </row>
    <row r="215" spans="1:18" x14ac:dyDescent="0.35">
      <c r="A215" t="s">
        <v>218</v>
      </c>
      <c r="B215" t="s">
        <v>5</v>
      </c>
      <c r="C215">
        <v>423</v>
      </c>
      <c r="E215">
        <f t="shared" si="101"/>
        <v>75486.275570373808</v>
      </c>
      <c r="F215" s="8">
        <f t="shared" ref="F215:F218" si="108">E215*0.7%</f>
        <v>528.40392899261656</v>
      </c>
      <c r="G215" s="9">
        <f t="shared" si="96"/>
        <v>133.15779010613937</v>
      </c>
      <c r="H215">
        <f t="shared" si="97"/>
        <v>75619.433360479947</v>
      </c>
      <c r="K215" t="s">
        <v>6</v>
      </c>
      <c r="L215">
        <v>424</v>
      </c>
      <c r="N215" s="6">
        <f t="shared" ref="N215:N218" si="109">H215*0.5%</f>
        <v>378.09716680239973</v>
      </c>
      <c r="O215" s="11">
        <f t="shared" si="98"/>
        <v>95.280486034204728</v>
      </c>
      <c r="P215">
        <f t="shared" si="99"/>
        <v>75714.713846514147</v>
      </c>
      <c r="R215">
        <f t="shared" si="100"/>
        <v>228.4382761403441</v>
      </c>
    </row>
    <row r="216" spans="1:18" x14ac:dyDescent="0.35">
      <c r="A216" t="s">
        <v>219</v>
      </c>
      <c r="B216" t="s">
        <v>5</v>
      </c>
      <c r="C216">
        <v>425</v>
      </c>
      <c r="E216">
        <f t="shared" si="101"/>
        <v>75714.713846514147</v>
      </c>
      <c r="F216" s="8">
        <f t="shared" si="108"/>
        <v>530.00299692559895</v>
      </c>
      <c r="G216" s="9">
        <f t="shared" si="96"/>
        <v>133.56075522525094</v>
      </c>
      <c r="H216">
        <f t="shared" si="97"/>
        <v>75848.274601739395</v>
      </c>
      <c r="K216" t="s">
        <v>6</v>
      </c>
      <c r="L216">
        <v>426</v>
      </c>
      <c r="N216" s="6">
        <f t="shared" si="109"/>
        <v>379.241373008697</v>
      </c>
      <c r="O216" s="11">
        <f t="shared" si="98"/>
        <v>95.568825998191642</v>
      </c>
      <c r="P216">
        <f t="shared" si="99"/>
        <v>75943.843427737593</v>
      </c>
      <c r="R216">
        <f t="shared" si="100"/>
        <v>229.12958122344259</v>
      </c>
    </row>
    <row r="217" spans="1:18" x14ac:dyDescent="0.35">
      <c r="A217" t="s">
        <v>220</v>
      </c>
      <c r="B217" t="s">
        <v>5</v>
      </c>
      <c r="C217">
        <v>427</v>
      </c>
      <c r="E217">
        <f t="shared" si="101"/>
        <v>75943.843427737593</v>
      </c>
      <c r="F217" s="8">
        <f t="shared" si="108"/>
        <v>531.60690399416308</v>
      </c>
      <c r="G217" s="9">
        <f t="shared" si="96"/>
        <v>133.96493980652909</v>
      </c>
      <c r="H217">
        <f t="shared" si="97"/>
        <v>76077.808367544116</v>
      </c>
      <c r="K217" t="s">
        <v>6</v>
      </c>
      <c r="L217">
        <v>428</v>
      </c>
      <c r="N217" s="6">
        <f t="shared" si="109"/>
        <v>380.38904183772058</v>
      </c>
      <c r="O217" s="11">
        <f t="shared" si="98"/>
        <v>95.858038543105593</v>
      </c>
      <c r="P217">
        <f t="shared" si="99"/>
        <v>76173.666406087228</v>
      </c>
      <c r="R217">
        <f t="shared" si="100"/>
        <v>229.8229783496347</v>
      </c>
    </row>
    <row r="218" spans="1:18" x14ac:dyDescent="0.35">
      <c r="A218" t="s">
        <v>221</v>
      </c>
      <c r="B218" t="s">
        <v>5</v>
      </c>
      <c r="C218">
        <v>429</v>
      </c>
      <c r="E218">
        <f t="shared" si="101"/>
        <v>76173.666406087228</v>
      </c>
      <c r="F218" s="8">
        <f t="shared" si="108"/>
        <v>533.21566484261052</v>
      </c>
      <c r="G218" s="9">
        <f t="shared" si="96"/>
        <v>134.37034754033786</v>
      </c>
      <c r="H218">
        <f t="shared" si="97"/>
        <v>76308.036753627559</v>
      </c>
      <c r="K218" t="s">
        <v>6</v>
      </c>
      <c r="L218">
        <v>430</v>
      </c>
      <c r="N218" s="6">
        <f t="shared" si="109"/>
        <v>381.54018376813781</v>
      </c>
      <c r="O218" s="11">
        <f t="shared" si="98"/>
        <v>96.148126309570728</v>
      </c>
      <c r="P218">
        <f t="shared" si="99"/>
        <v>76404.184879937136</v>
      </c>
      <c r="R218">
        <f t="shared" si="100"/>
        <v>230.51847384990859</v>
      </c>
    </row>
    <row r="219" spans="1:18" s="6" customFormat="1" x14ac:dyDescent="0.35">
      <c r="A219" s="6" t="s">
        <v>222</v>
      </c>
      <c r="B219" s="6" t="s">
        <v>5</v>
      </c>
      <c r="C219" s="6">
        <v>431</v>
      </c>
      <c r="D219" s="7">
        <v>6.0000000000000001E-3</v>
      </c>
      <c r="E219" s="6">
        <f t="shared" si="101"/>
        <v>76404.184879937136</v>
      </c>
      <c r="F219" s="8">
        <f>E219*0.6%</f>
        <v>458.4251092796228</v>
      </c>
      <c r="G219" s="9">
        <f t="shared" si="96"/>
        <v>115.52312753846495</v>
      </c>
      <c r="H219" s="6">
        <f t="shared" si="97"/>
        <v>76519.708007475609</v>
      </c>
      <c r="K219" s="6" t="s">
        <v>6</v>
      </c>
      <c r="L219" s="6">
        <v>432</v>
      </c>
      <c r="M219" s="7">
        <v>4.00000000000036E-3</v>
      </c>
      <c r="N219" s="6">
        <f>H219*0.4%</f>
        <v>306.07883202990246</v>
      </c>
      <c r="O219" s="11">
        <f t="shared" si="98"/>
        <v>77.131865671535422</v>
      </c>
      <c r="P219" s="6">
        <f t="shared" si="99"/>
        <v>76596.839873147139</v>
      </c>
      <c r="R219" s="6">
        <f t="shared" si="100"/>
        <v>192.65499321000038</v>
      </c>
    </row>
    <row r="220" spans="1:18" x14ac:dyDescent="0.35">
      <c r="A220" t="s">
        <v>223</v>
      </c>
      <c r="B220" t="s">
        <v>5</v>
      </c>
      <c r="C220">
        <v>433</v>
      </c>
      <c r="E220">
        <f t="shared" si="101"/>
        <v>76596.839873147139</v>
      </c>
      <c r="F220" s="8">
        <f t="shared" ref="F220:F223" si="110">E220*0.6%</f>
        <v>459.58103923888285</v>
      </c>
      <c r="G220" s="9">
        <f t="shared" si="96"/>
        <v>115.81442188819848</v>
      </c>
      <c r="H220">
        <f t="shared" si="97"/>
        <v>76712.654295035332</v>
      </c>
      <c r="K220" t="s">
        <v>6</v>
      </c>
      <c r="L220">
        <v>434</v>
      </c>
      <c r="N220" s="6">
        <f t="shared" ref="N220:N223" si="111">H220*0.4%</f>
        <v>306.85061718014134</v>
      </c>
      <c r="O220" s="11">
        <f t="shared" si="98"/>
        <v>77.326355529395613</v>
      </c>
      <c r="P220">
        <f t="shared" si="99"/>
        <v>76789.980650564728</v>
      </c>
      <c r="R220">
        <f t="shared" si="100"/>
        <v>193.14077741759411</v>
      </c>
    </row>
    <row r="221" spans="1:18" x14ac:dyDescent="0.35">
      <c r="A221" t="s">
        <v>224</v>
      </c>
      <c r="B221" t="s">
        <v>5</v>
      </c>
      <c r="C221">
        <v>435</v>
      </c>
      <c r="E221">
        <f t="shared" si="101"/>
        <v>76789.980650564728</v>
      </c>
      <c r="F221" s="8">
        <f t="shared" si="110"/>
        <v>460.73988390338837</v>
      </c>
      <c r="G221" s="9">
        <f t="shared" si="96"/>
        <v>116.10645074365387</v>
      </c>
      <c r="H221">
        <f t="shared" si="97"/>
        <v>76906.087101308382</v>
      </c>
      <c r="K221" t="s">
        <v>6</v>
      </c>
      <c r="L221">
        <v>436</v>
      </c>
      <c r="N221" s="6">
        <f t="shared" si="111"/>
        <v>307.62434840523355</v>
      </c>
      <c r="O221" s="11">
        <f t="shared" si="98"/>
        <v>77.521335798118855</v>
      </c>
      <c r="P221">
        <f t="shared" si="99"/>
        <v>76983.608437106494</v>
      </c>
      <c r="R221">
        <f t="shared" si="100"/>
        <v>193.62778654177271</v>
      </c>
    </row>
    <row r="222" spans="1:18" x14ac:dyDescent="0.35">
      <c r="A222" t="s">
        <v>225</v>
      </c>
      <c r="B222" t="s">
        <v>5</v>
      </c>
      <c r="C222">
        <v>437</v>
      </c>
      <c r="E222">
        <f t="shared" si="101"/>
        <v>76983.608437106494</v>
      </c>
      <c r="F222" s="8">
        <f t="shared" si="110"/>
        <v>461.90165062263895</v>
      </c>
      <c r="G222" s="9">
        <f t="shared" si="96"/>
        <v>116.39921595690501</v>
      </c>
      <c r="H222">
        <f t="shared" si="97"/>
        <v>77100.007653063396</v>
      </c>
      <c r="K222" t="s">
        <v>6</v>
      </c>
      <c r="L222">
        <v>438</v>
      </c>
      <c r="N222" s="6">
        <f t="shared" si="111"/>
        <v>308.4000306122536</v>
      </c>
      <c r="O222" s="11">
        <f t="shared" si="98"/>
        <v>77.71680771428791</v>
      </c>
      <c r="P222">
        <f t="shared" si="99"/>
        <v>77177.724460777681</v>
      </c>
      <c r="R222">
        <f t="shared" si="100"/>
        <v>194.11602367119292</v>
      </c>
    </row>
    <row r="223" spans="1:18" x14ac:dyDescent="0.35">
      <c r="A223" t="s">
        <v>226</v>
      </c>
      <c r="B223" t="s">
        <v>5</v>
      </c>
      <c r="C223">
        <v>439</v>
      </c>
      <c r="E223">
        <f t="shared" si="101"/>
        <v>77177.724460777681</v>
      </c>
      <c r="F223" s="8">
        <f t="shared" si="110"/>
        <v>463.06634676466609</v>
      </c>
      <c r="G223" s="9">
        <f t="shared" si="96"/>
        <v>116.69271938469586</v>
      </c>
      <c r="H223">
        <f t="shared" si="97"/>
        <v>77294.417180162374</v>
      </c>
      <c r="K223" t="s">
        <v>6</v>
      </c>
      <c r="L223">
        <v>440</v>
      </c>
      <c r="N223" s="6">
        <f t="shared" si="111"/>
        <v>309.17766872064948</v>
      </c>
      <c r="O223" s="11">
        <f t="shared" si="98"/>
        <v>77.912772517603671</v>
      </c>
      <c r="P223">
        <f t="shared" si="99"/>
        <v>77372.329952679982</v>
      </c>
      <c r="R223">
        <f t="shared" si="100"/>
        <v>194.60549190229955</v>
      </c>
    </row>
    <row r="224" spans="1:18" s="6" customFormat="1" x14ac:dyDescent="0.35">
      <c r="A224" s="6" t="s">
        <v>227</v>
      </c>
      <c r="B224" s="6" t="s">
        <v>5</v>
      </c>
      <c r="C224" s="6">
        <v>441</v>
      </c>
      <c r="D224" s="7">
        <v>5.0000000000000704E-3</v>
      </c>
      <c r="E224" s="6">
        <f t="shared" si="101"/>
        <v>77372.329952679982</v>
      </c>
      <c r="F224" s="8">
        <f>E224*0.5%</f>
        <v>386.8616497633999</v>
      </c>
      <c r="G224" s="9">
        <f t="shared" si="96"/>
        <v>97.489135740376781</v>
      </c>
      <c r="H224" s="6">
        <f t="shared" si="97"/>
        <v>77469.819088420365</v>
      </c>
      <c r="K224" s="6" t="s">
        <v>6</v>
      </c>
      <c r="L224" s="6">
        <v>442</v>
      </c>
      <c r="M224" s="7">
        <v>3.0000000000004498E-3</v>
      </c>
      <c r="N224" s="6">
        <f>H224*0.3%</f>
        <v>232.4094572652611</v>
      </c>
      <c r="O224" s="11">
        <f t="shared" si="98"/>
        <v>58.567183230845799</v>
      </c>
      <c r="P224" s="6">
        <f t="shared" si="99"/>
        <v>77528.386271651209</v>
      </c>
      <c r="R224" s="6">
        <f t="shared" si="100"/>
        <v>156.05631897122259</v>
      </c>
    </row>
    <row r="225" spans="1:18" x14ac:dyDescent="0.35">
      <c r="A225" t="s">
        <v>228</v>
      </c>
      <c r="B225" t="s">
        <v>5</v>
      </c>
      <c r="C225">
        <v>443</v>
      </c>
      <c r="E225">
        <f t="shared" si="101"/>
        <v>77528.386271651209</v>
      </c>
      <c r="F225" s="8">
        <f t="shared" ref="F225:F228" si="112">E225*0.5%</f>
        <v>387.64193135825604</v>
      </c>
      <c r="G225" s="9">
        <f t="shared" si="96"/>
        <v>97.685766702280517</v>
      </c>
      <c r="H225">
        <f t="shared" si="97"/>
        <v>77626.072038353494</v>
      </c>
      <c r="K225" t="s">
        <v>6</v>
      </c>
      <c r="L225">
        <v>444</v>
      </c>
      <c r="N225" s="6">
        <f t="shared" ref="N225:N228" si="113">H225*0.3%</f>
        <v>232.8782161150605</v>
      </c>
      <c r="O225" s="11">
        <f t="shared" si="98"/>
        <v>58.685310460995247</v>
      </c>
      <c r="P225">
        <f t="shared" si="99"/>
        <v>77684.757348814484</v>
      </c>
      <c r="R225">
        <f t="shared" si="100"/>
        <v>156.37107716327577</v>
      </c>
    </row>
    <row r="226" spans="1:18" x14ac:dyDescent="0.35">
      <c r="A226" t="s">
        <v>229</v>
      </c>
      <c r="B226" t="s">
        <v>5</v>
      </c>
      <c r="C226">
        <v>445</v>
      </c>
      <c r="E226">
        <f t="shared" si="101"/>
        <v>77684.757348814484</v>
      </c>
      <c r="F226" s="8">
        <f t="shared" si="112"/>
        <v>388.42378674407246</v>
      </c>
      <c r="G226" s="9">
        <f t="shared" si="96"/>
        <v>97.882794259506255</v>
      </c>
      <c r="H226">
        <f t="shared" si="97"/>
        <v>77782.640143073993</v>
      </c>
      <c r="K226" t="s">
        <v>6</v>
      </c>
      <c r="L226">
        <v>446</v>
      </c>
      <c r="N226" s="6">
        <f t="shared" si="113"/>
        <v>233.34792042922197</v>
      </c>
      <c r="O226" s="11">
        <f t="shared" si="98"/>
        <v>58.803675948163935</v>
      </c>
      <c r="P226">
        <f t="shared" si="99"/>
        <v>77841.443819022155</v>
      </c>
      <c r="R226">
        <f t="shared" si="100"/>
        <v>156.6864702076702</v>
      </c>
    </row>
    <row r="227" spans="1:18" x14ac:dyDescent="0.35">
      <c r="A227" t="s">
        <v>230</v>
      </c>
      <c r="B227" t="s">
        <v>5</v>
      </c>
      <c r="C227">
        <v>447</v>
      </c>
      <c r="E227">
        <f t="shared" si="101"/>
        <v>77841.443819022155</v>
      </c>
      <c r="F227" s="8">
        <f t="shared" si="112"/>
        <v>389.20721909511076</v>
      </c>
      <c r="G227" s="9">
        <f t="shared" si="96"/>
        <v>98.080219211967915</v>
      </c>
      <c r="H227">
        <f t="shared" si="97"/>
        <v>77939.524038234129</v>
      </c>
      <c r="K227" t="s">
        <v>6</v>
      </c>
      <c r="L227">
        <v>448</v>
      </c>
      <c r="N227" s="6">
        <f t="shared" si="113"/>
        <v>233.81857211470239</v>
      </c>
      <c r="O227" s="11">
        <f t="shared" si="98"/>
        <v>58.922280172905005</v>
      </c>
      <c r="P227">
        <f t="shared" si="99"/>
        <v>77998.446318407034</v>
      </c>
      <c r="R227">
        <f t="shared" si="100"/>
        <v>157.00249938487292</v>
      </c>
    </row>
    <row r="228" spans="1:18" x14ac:dyDescent="0.35">
      <c r="A228" t="s">
        <v>231</v>
      </c>
      <c r="B228" t="s">
        <v>5</v>
      </c>
      <c r="C228">
        <v>449</v>
      </c>
      <c r="E228">
        <f t="shared" si="101"/>
        <v>77998.446318407034</v>
      </c>
      <c r="F228" s="8">
        <f t="shared" si="112"/>
        <v>389.99223159203518</v>
      </c>
      <c r="G228" s="9">
        <f t="shared" si="96"/>
        <v>98.27804236119286</v>
      </c>
      <c r="H228">
        <f t="shared" si="97"/>
        <v>78096.724360768232</v>
      </c>
      <c r="K228" t="s">
        <v>6</v>
      </c>
      <c r="L228">
        <v>450</v>
      </c>
      <c r="N228" s="6">
        <f t="shared" si="113"/>
        <v>234.2901730823047</v>
      </c>
      <c r="O228" s="11">
        <f t="shared" si="98"/>
        <v>59.041123616740784</v>
      </c>
      <c r="P228">
        <f t="shared" si="99"/>
        <v>78155.765484384974</v>
      </c>
      <c r="R228">
        <f t="shared" si="100"/>
        <v>157.31916597793364</v>
      </c>
    </row>
    <row r="229" spans="1:18" s="6" customFormat="1" x14ac:dyDescent="0.35">
      <c r="A229" s="6" t="s">
        <v>232</v>
      </c>
      <c r="B229" s="6" t="s">
        <v>5</v>
      </c>
      <c r="C229" s="6">
        <v>451</v>
      </c>
      <c r="D229" s="7">
        <v>4.0000000000001397E-3</v>
      </c>
      <c r="E229" s="6">
        <f t="shared" si="101"/>
        <v>78155.765484384974</v>
      </c>
      <c r="F229" s="8">
        <f>E229*0.4%</f>
        <v>312.62306193753989</v>
      </c>
      <c r="G229" s="9">
        <f t="shared" si="96"/>
        <v>78.781011608260059</v>
      </c>
      <c r="H229" s="6">
        <f t="shared" si="97"/>
        <v>78234.546495993229</v>
      </c>
      <c r="K229" s="6" t="s">
        <v>6</v>
      </c>
      <c r="L229" s="6">
        <v>452</v>
      </c>
      <c r="M229" s="7">
        <v>2.00000000000054E-3</v>
      </c>
      <c r="N229" s="6">
        <f>H229*0.2%</f>
        <v>156.46909299198646</v>
      </c>
      <c r="O229" s="11">
        <f t="shared" si="98"/>
        <v>39.430211433980588</v>
      </c>
      <c r="P229" s="6">
        <f t="shared" si="99"/>
        <v>78273.976707427209</v>
      </c>
      <c r="R229" s="6">
        <f t="shared" si="100"/>
        <v>118.21122304224065</v>
      </c>
    </row>
    <row r="230" spans="1:18" x14ac:dyDescent="0.35">
      <c r="A230" t="s">
        <v>233</v>
      </c>
      <c r="B230" t="s">
        <v>5</v>
      </c>
      <c r="C230">
        <v>453</v>
      </c>
      <c r="E230">
        <f t="shared" si="101"/>
        <v>78273.976707427209</v>
      </c>
      <c r="F230" s="8">
        <f t="shared" ref="F230:F233" si="114">E230*0.4%</f>
        <v>313.09590682970884</v>
      </c>
      <c r="G230" s="9">
        <f t="shared" si="96"/>
        <v>78.900168521086627</v>
      </c>
      <c r="H230">
        <f t="shared" si="97"/>
        <v>78352.876875948292</v>
      </c>
      <c r="K230" t="s">
        <v>6</v>
      </c>
      <c r="L230">
        <v>454</v>
      </c>
      <c r="N230" s="6">
        <f t="shared" ref="N230:N233" si="115">H230*0.2%</f>
        <v>156.70575375189659</v>
      </c>
      <c r="O230" s="11">
        <f t="shared" si="98"/>
        <v>39.489849945477943</v>
      </c>
      <c r="P230">
        <f t="shared" si="99"/>
        <v>78392.366725893764</v>
      </c>
      <c r="R230">
        <f t="shared" si="100"/>
        <v>118.39001846656457</v>
      </c>
    </row>
    <row r="231" spans="1:18" x14ac:dyDescent="0.35">
      <c r="A231" t="s">
        <v>234</v>
      </c>
      <c r="B231" t="s">
        <v>5</v>
      </c>
      <c r="C231">
        <v>455</v>
      </c>
      <c r="E231">
        <f t="shared" si="101"/>
        <v>78392.366725893764</v>
      </c>
      <c r="F231" s="8">
        <f t="shared" si="114"/>
        <v>313.56946690357506</v>
      </c>
      <c r="G231" s="9">
        <f t="shared" si="96"/>
        <v>79.019505659700911</v>
      </c>
      <c r="H231">
        <f t="shared" si="97"/>
        <v>78471.386231553464</v>
      </c>
      <c r="K231" t="s">
        <v>6</v>
      </c>
      <c r="L231">
        <v>456</v>
      </c>
      <c r="N231" s="6">
        <f t="shared" si="115"/>
        <v>156.94277246310693</v>
      </c>
      <c r="O231" s="11">
        <f t="shared" si="98"/>
        <v>39.549578660702949</v>
      </c>
      <c r="P231">
        <f t="shared" si="99"/>
        <v>78510.93581021417</v>
      </c>
      <c r="R231">
        <f t="shared" si="100"/>
        <v>118.56908432040386</v>
      </c>
    </row>
    <row r="232" spans="1:18" x14ac:dyDescent="0.35">
      <c r="A232" t="s">
        <v>235</v>
      </c>
      <c r="B232" t="s">
        <v>5</v>
      </c>
      <c r="C232">
        <v>457</v>
      </c>
      <c r="E232">
        <f t="shared" si="101"/>
        <v>78510.93581021417</v>
      </c>
      <c r="F232" s="8">
        <f t="shared" si="114"/>
        <v>314.04374324085671</v>
      </c>
      <c r="G232" s="9">
        <f t="shared" si="96"/>
        <v>79.139023296695896</v>
      </c>
      <c r="H232">
        <f t="shared" si="97"/>
        <v>78590.074833510866</v>
      </c>
      <c r="K232" t="s">
        <v>6</v>
      </c>
      <c r="L232">
        <v>458</v>
      </c>
      <c r="N232" s="6">
        <f t="shared" si="115"/>
        <v>157.18014966702174</v>
      </c>
      <c r="O232" s="11">
        <f t="shared" si="98"/>
        <v>39.609397716089475</v>
      </c>
      <c r="P232">
        <f t="shared" si="99"/>
        <v>78629.684231226958</v>
      </c>
      <c r="R232">
        <f t="shared" si="100"/>
        <v>118.74842101278537</v>
      </c>
    </row>
    <row r="233" spans="1:18" x14ac:dyDescent="0.35">
      <c r="A233" t="s">
        <v>236</v>
      </c>
      <c r="B233" t="s">
        <v>5</v>
      </c>
      <c r="C233">
        <v>459</v>
      </c>
      <c r="E233">
        <f t="shared" si="101"/>
        <v>78629.684231226958</v>
      </c>
      <c r="F233" s="8">
        <f t="shared" si="114"/>
        <v>314.51873692490784</v>
      </c>
      <c r="G233" s="9">
        <f t="shared" si="96"/>
        <v>79.25872170507678</v>
      </c>
      <c r="H233">
        <f t="shared" si="97"/>
        <v>78708.942952932033</v>
      </c>
      <c r="K233" t="s">
        <v>6</v>
      </c>
      <c r="L233">
        <v>460</v>
      </c>
      <c r="N233" s="6">
        <f t="shared" si="115"/>
        <v>157.41788590586407</v>
      </c>
      <c r="O233" s="11">
        <f t="shared" si="98"/>
        <v>39.669307248277747</v>
      </c>
      <c r="P233">
        <f t="shared" si="99"/>
        <v>78748.612260180307</v>
      </c>
      <c r="R233">
        <f t="shared" si="100"/>
        <v>118.92802895335453</v>
      </c>
    </row>
    <row r="234" spans="1:18" s="6" customFormat="1" x14ac:dyDescent="0.35">
      <c r="A234" s="6" t="s">
        <v>237</v>
      </c>
      <c r="B234" s="6" t="s">
        <v>5</v>
      </c>
      <c r="C234" s="6">
        <v>461</v>
      </c>
      <c r="D234" s="7">
        <v>3.00000000000021E-3</v>
      </c>
      <c r="E234" s="6">
        <f t="shared" si="101"/>
        <v>78748.612260180307</v>
      </c>
      <c r="F234" s="8">
        <f>E234*0.3%</f>
        <v>236.24583678054091</v>
      </c>
      <c r="G234" s="9">
        <f t="shared" si="96"/>
        <v>59.533950868696309</v>
      </c>
      <c r="H234" s="6">
        <f t="shared" si="97"/>
        <v>78808.14621104901</v>
      </c>
      <c r="K234" s="6" t="s">
        <v>12</v>
      </c>
      <c r="L234" s="6">
        <v>462</v>
      </c>
      <c r="M234" s="7">
        <v>3.5000000000000001E-3</v>
      </c>
      <c r="N234" s="6">
        <f>H234*0.35%</f>
        <v>275.82851173867152</v>
      </c>
      <c r="O234" s="11">
        <f t="shared" si="98"/>
        <v>69.508784958145228</v>
      </c>
      <c r="P234" s="6">
        <f t="shared" si="99"/>
        <v>78877.654996007157</v>
      </c>
      <c r="R234" s="6">
        <f t="shared" si="100"/>
        <v>129.04273582684152</v>
      </c>
    </row>
    <row r="235" spans="1:18" x14ac:dyDescent="0.35">
      <c r="A235" t="s">
        <v>238</v>
      </c>
      <c r="B235" t="s">
        <v>5</v>
      </c>
      <c r="C235">
        <v>463</v>
      </c>
      <c r="E235">
        <f t="shared" si="101"/>
        <v>78877.654996007157</v>
      </c>
      <c r="F235" s="8">
        <f t="shared" ref="F235:F238" si="116">E235*0.3%</f>
        <v>236.63296498802148</v>
      </c>
      <c r="G235" s="9">
        <f t="shared" si="96"/>
        <v>59.631507176981415</v>
      </c>
      <c r="H235">
        <f t="shared" si="97"/>
        <v>78937.286503184136</v>
      </c>
      <c r="K235" t="s">
        <v>12</v>
      </c>
      <c r="L235">
        <v>464</v>
      </c>
      <c r="N235" s="6">
        <f t="shared" ref="N235:N238" si="117">H235*0.35%</f>
        <v>276.28050276114442</v>
      </c>
      <c r="O235" s="11">
        <f t="shared" si="98"/>
        <v>69.622686695808397</v>
      </c>
      <c r="P235">
        <f t="shared" si="99"/>
        <v>79006.909189879938</v>
      </c>
      <c r="R235">
        <f t="shared" si="100"/>
        <v>129.25419387278981</v>
      </c>
    </row>
    <row r="236" spans="1:18" x14ac:dyDescent="0.35">
      <c r="A236" t="s">
        <v>239</v>
      </c>
      <c r="B236" t="s">
        <v>5</v>
      </c>
      <c r="C236">
        <v>465</v>
      </c>
      <c r="E236">
        <f t="shared" si="101"/>
        <v>79006.909189879938</v>
      </c>
      <c r="F236" s="8">
        <f t="shared" si="116"/>
        <v>237.02072756963983</v>
      </c>
      <c r="G236" s="9">
        <f t="shared" si="96"/>
        <v>59.729223347549237</v>
      </c>
      <c r="H236">
        <f t="shared" si="97"/>
        <v>79066.638413227483</v>
      </c>
      <c r="K236" t="s">
        <v>12</v>
      </c>
      <c r="L236">
        <v>466</v>
      </c>
      <c r="N236" s="6">
        <f t="shared" si="117"/>
        <v>276.73323444629614</v>
      </c>
      <c r="O236" s="11">
        <f t="shared" si="98"/>
        <v>69.736775080466629</v>
      </c>
      <c r="P236">
        <f t="shared" si="99"/>
        <v>79136.375188307953</v>
      </c>
      <c r="R236">
        <f t="shared" si="100"/>
        <v>129.46599842801587</v>
      </c>
    </row>
    <row r="237" spans="1:18" x14ac:dyDescent="0.35">
      <c r="A237" t="s">
        <v>240</v>
      </c>
      <c r="B237" t="s">
        <v>5</v>
      </c>
      <c r="C237">
        <v>467</v>
      </c>
      <c r="E237">
        <f t="shared" si="101"/>
        <v>79136.375188307953</v>
      </c>
      <c r="F237" s="8">
        <f t="shared" si="116"/>
        <v>237.40912556492387</v>
      </c>
      <c r="G237" s="9">
        <f t="shared" si="96"/>
        <v>59.827099642360814</v>
      </c>
      <c r="H237">
        <f t="shared" si="97"/>
        <v>79196.20228795032</v>
      </c>
      <c r="K237" t="s">
        <v>12</v>
      </c>
      <c r="L237">
        <v>468</v>
      </c>
      <c r="N237" s="6">
        <f t="shared" si="117"/>
        <v>277.1867080078261</v>
      </c>
      <c r="O237" s="11">
        <f t="shared" si="98"/>
        <v>69.851050417972175</v>
      </c>
      <c r="P237">
        <f t="shared" si="99"/>
        <v>79266.053338368292</v>
      </c>
      <c r="R237">
        <f t="shared" si="100"/>
        <v>129.678150060333</v>
      </c>
    </row>
    <row r="238" spans="1:18" x14ac:dyDescent="0.35">
      <c r="A238" t="s">
        <v>241</v>
      </c>
      <c r="B238" t="s">
        <v>5</v>
      </c>
      <c r="C238">
        <v>469</v>
      </c>
      <c r="E238">
        <f t="shared" si="101"/>
        <v>79266.053338368292</v>
      </c>
      <c r="F238" s="8">
        <f t="shared" si="116"/>
        <v>237.79816001510488</v>
      </c>
      <c r="G238" s="9">
        <f t="shared" si="96"/>
        <v>59.925136323806434</v>
      </c>
      <c r="H238">
        <f t="shared" si="97"/>
        <v>79325.978474692092</v>
      </c>
      <c r="K238" t="s">
        <v>12</v>
      </c>
      <c r="L238">
        <v>470</v>
      </c>
      <c r="N238" s="6">
        <f t="shared" si="117"/>
        <v>277.64092466142228</v>
      </c>
      <c r="O238" s="11">
        <f t="shared" si="98"/>
        <v>69.965513014678407</v>
      </c>
      <c r="P238">
        <f t="shared" si="99"/>
        <v>79395.943987706763</v>
      </c>
      <c r="R238">
        <f t="shared" si="100"/>
        <v>129.89064933848485</v>
      </c>
    </row>
    <row r="239" spans="1:18" s="6" customFormat="1" x14ac:dyDescent="0.35">
      <c r="A239" s="6" t="s">
        <v>242</v>
      </c>
      <c r="B239" s="6" t="s">
        <v>6</v>
      </c>
      <c r="C239" s="6">
        <v>471</v>
      </c>
      <c r="D239" s="7">
        <v>2.0000000000002802E-3</v>
      </c>
      <c r="E239" s="6">
        <f t="shared" si="101"/>
        <v>79395.943987706763</v>
      </c>
      <c r="F239" s="8">
        <f>E239*0.2%</f>
        <v>158.79188797541352</v>
      </c>
      <c r="G239" s="9">
        <f t="shared" si="96"/>
        <v>40.015555769804209</v>
      </c>
      <c r="H239" s="6">
        <f t="shared" si="97"/>
        <v>79435.959543476565</v>
      </c>
      <c r="K239" s="6" t="s">
        <v>12</v>
      </c>
      <c r="L239" s="6">
        <v>472</v>
      </c>
      <c r="M239" s="7">
        <v>5.0000000000000001E-3</v>
      </c>
      <c r="N239" s="6">
        <f>H239*0.5%</f>
        <v>397.17979771738283</v>
      </c>
      <c r="O239" s="11">
        <f t="shared" si="98"/>
        <v>100.08930902478048</v>
      </c>
      <c r="P239" s="6">
        <f t="shared" si="99"/>
        <v>79536.04885250135</v>
      </c>
      <c r="R239" s="6">
        <f t="shared" si="100"/>
        <v>140.10486479458467</v>
      </c>
    </row>
    <row r="240" spans="1:18" x14ac:dyDescent="0.35">
      <c r="A240" t="s">
        <v>243</v>
      </c>
      <c r="B240" t="s">
        <v>6</v>
      </c>
      <c r="C240">
        <v>473</v>
      </c>
      <c r="E240">
        <f t="shared" si="101"/>
        <v>79536.04885250135</v>
      </c>
      <c r="F240" s="8">
        <f t="shared" ref="F240:F243" si="118">E240*0.2%</f>
        <v>159.0720977050027</v>
      </c>
      <c r="G240" s="9">
        <f t="shared" si="96"/>
        <v>40.086168621660683</v>
      </c>
      <c r="H240">
        <f t="shared" si="97"/>
        <v>79576.135021123016</v>
      </c>
      <c r="K240" t="s">
        <v>12</v>
      </c>
      <c r="L240">
        <v>474</v>
      </c>
      <c r="N240" s="6">
        <f t="shared" ref="N240:N243" si="119">H240*0.5%</f>
        <v>397.88067510561507</v>
      </c>
      <c r="O240" s="11">
        <f t="shared" si="98"/>
        <v>100.265930126615</v>
      </c>
      <c r="P240">
        <f t="shared" si="99"/>
        <v>79676.400951249627</v>
      </c>
      <c r="R240">
        <f t="shared" si="100"/>
        <v>140.35209874827569</v>
      </c>
    </row>
    <row r="241" spans="1:18" x14ac:dyDescent="0.35">
      <c r="A241" t="s">
        <v>244</v>
      </c>
      <c r="B241" t="s">
        <v>6</v>
      </c>
      <c r="C241">
        <v>475</v>
      </c>
      <c r="E241">
        <f t="shared" si="101"/>
        <v>79676.400951249627</v>
      </c>
      <c r="F241" s="8">
        <f t="shared" si="118"/>
        <v>159.35280190249927</v>
      </c>
      <c r="G241" s="9">
        <f t="shared" si="96"/>
        <v>40.156906079429817</v>
      </c>
      <c r="H241">
        <f t="shared" si="97"/>
        <v>79716.557857329055</v>
      </c>
      <c r="K241" t="s">
        <v>12</v>
      </c>
      <c r="L241">
        <v>476</v>
      </c>
      <c r="N241" s="6">
        <f t="shared" si="119"/>
        <v>398.58278928664527</v>
      </c>
      <c r="O241" s="11">
        <f t="shared" si="98"/>
        <v>100.4428629002346</v>
      </c>
      <c r="P241">
        <f t="shared" si="99"/>
        <v>79817.000720229291</v>
      </c>
      <c r="R241">
        <f t="shared" si="100"/>
        <v>140.59976897966442</v>
      </c>
    </row>
    <row r="242" spans="1:18" x14ac:dyDescent="0.35">
      <c r="A242" t="s">
        <v>245</v>
      </c>
      <c r="B242" t="s">
        <v>6</v>
      </c>
      <c r="C242">
        <v>477</v>
      </c>
      <c r="E242">
        <f t="shared" si="101"/>
        <v>79817.000720229291</v>
      </c>
      <c r="F242" s="8">
        <f t="shared" si="118"/>
        <v>159.63400144045858</v>
      </c>
      <c r="G242" s="9">
        <f t="shared" si="96"/>
        <v>40.227768362995562</v>
      </c>
      <c r="H242">
        <f t="shared" si="97"/>
        <v>79857.228488592285</v>
      </c>
      <c r="K242" t="s">
        <v>12</v>
      </c>
      <c r="L242">
        <v>478</v>
      </c>
      <c r="N242" s="6">
        <f t="shared" si="119"/>
        <v>399.28614244296142</v>
      </c>
      <c r="O242" s="11">
        <f t="shared" si="98"/>
        <v>100.62010789562628</v>
      </c>
      <c r="P242">
        <f t="shared" si="99"/>
        <v>79957.848596487907</v>
      </c>
      <c r="R242">
        <f t="shared" si="100"/>
        <v>140.84787625862185</v>
      </c>
    </row>
    <row r="243" spans="1:18" s="13" customFormat="1" x14ac:dyDescent="0.35">
      <c r="A243" s="13" t="s">
        <v>246</v>
      </c>
      <c r="B243" s="13" t="s">
        <v>6</v>
      </c>
      <c r="C243" s="13">
        <v>479</v>
      </c>
      <c r="E243" s="13">
        <f t="shared" si="101"/>
        <v>79957.848596487907</v>
      </c>
      <c r="F243" s="14">
        <f t="shared" si="118"/>
        <v>159.91569719297581</v>
      </c>
      <c r="G243" s="9">
        <f t="shared" si="96"/>
        <v>40.298755692629904</v>
      </c>
      <c r="H243" s="13">
        <f t="shared" si="97"/>
        <v>79998.147352180531</v>
      </c>
      <c r="K243" s="13" t="s">
        <v>12</v>
      </c>
      <c r="L243" s="13">
        <v>480</v>
      </c>
      <c r="N243" s="13">
        <f t="shared" si="119"/>
        <v>399.99073676090268</v>
      </c>
      <c r="O243" s="11">
        <f t="shared" si="98"/>
        <v>100.79766566374748</v>
      </c>
      <c r="P243" s="13">
        <f t="shared" si="99"/>
        <v>80098.945017844278</v>
      </c>
      <c r="R243" s="13">
        <f t="shared" si="100"/>
        <v>141.09642135637739</v>
      </c>
    </row>
    <row r="244" spans="1:18" s="6" customFormat="1" x14ac:dyDescent="0.35">
      <c r="A244" s="6" t="s">
        <v>247</v>
      </c>
      <c r="B244" s="6" t="s">
        <v>6</v>
      </c>
      <c r="C244" s="6">
        <v>481</v>
      </c>
      <c r="D244" s="7">
        <v>4.0000000000000001E-3</v>
      </c>
      <c r="E244" s="6">
        <f t="shared" si="101"/>
        <v>80098.945017844278</v>
      </c>
      <c r="F244" s="8">
        <f>E244*0.4%</f>
        <v>320.39578007137715</v>
      </c>
      <c r="G244" s="9">
        <f t="shared" si="96"/>
        <v>80.739736577987046</v>
      </c>
      <c r="H244" s="6">
        <f t="shared" si="97"/>
        <v>80179.684754422269</v>
      </c>
      <c r="K244" s="6" t="s">
        <v>12</v>
      </c>
      <c r="L244" s="6">
        <v>482</v>
      </c>
      <c r="M244" s="7">
        <v>6.4999999999989198E-3</v>
      </c>
      <c r="N244" s="6">
        <f>H244*0.65%</f>
        <v>521.16795090374478</v>
      </c>
      <c r="O244" s="11">
        <f t="shared" si="98"/>
        <v>131.33432362774369</v>
      </c>
      <c r="P244" s="6">
        <f t="shared" si="99"/>
        <v>80311.019078050012</v>
      </c>
      <c r="R244" s="6">
        <f t="shared" si="100"/>
        <v>212.07406020573075</v>
      </c>
    </row>
    <row r="245" spans="1:18" x14ac:dyDescent="0.35">
      <c r="A245" t="s">
        <v>248</v>
      </c>
      <c r="B245" t="s">
        <v>6</v>
      </c>
      <c r="C245">
        <v>483</v>
      </c>
      <c r="E245">
        <f t="shared" si="101"/>
        <v>80311.019078050012</v>
      </c>
      <c r="F245" s="8">
        <f t="shared" ref="F245:F248" si="120">E245*0.4%</f>
        <v>321.24407631220004</v>
      </c>
      <c r="G245" s="9">
        <f t="shared" si="96"/>
        <v>80.953507230674404</v>
      </c>
      <c r="H245">
        <f t="shared" si="97"/>
        <v>80391.972585280688</v>
      </c>
      <c r="K245" t="s">
        <v>12</v>
      </c>
      <c r="L245">
        <v>484</v>
      </c>
      <c r="N245" s="6">
        <f t="shared" ref="N245:N248" si="121">H245*0.65%</f>
        <v>522.54782180432449</v>
      </c>
      <c r="O245" s="11">
        <f t="shared" si="98"/>
        <v>131.68205109468977</v>
      </c>
      <c r="P245">
        <f t="shared" si="99"/>
        <v>80523.654636375373</v>
      </c>
      <c r="R245">
        <f t="shared" si="100"/>
        <v>212.63555832536417</v>
      </c>
    </row>
    <row r="246" spans="1:18" x14ac:dyDescent="0.35">
      <c r="A246" t="s">
        <v>249</v>
      </c>
      <c r="B246" t="s">
        <v>6</v>
      </c>
      <c r="C246">
        <v>485</v>
      </c>
      <c r="E246">
        <f t="shared" si="101"/>
        <v>80523.654636375373</v>
      </c>
      <c r="F246" s="8">
        <f t="shared" si="120"/>
        <v>322.09461854550148</v>
      </c>
      <c r="G246" s="9">
        <f t="shared" si="96"/>
        <v>81.167843873466367</v>
      </c>
      <c r="H246">
        <f t="shared" si="97"/>
        <v>80604.82248024884</v>
      </c>
      <c r="K246" t="s">
        <v>12</v>
      </c>
      <c r="L246">
        <v>486</v>
      </c>
      <c r="N246" s="6">
        <f t="shared" si="121"/>
        <v>523.93134612161748</v>
      </c>
      <c r="O246" s="11">
        <f t="shared" si="98"/>
        <v>132.0306992226476</v>
      </c>
      <c r="P246">
        <f t="shared" si="99"/>
        <v>80736.853179471495</v>
      </c>
      <c r="R246">
        <f t="shared" si="100"/>
        <v>213.19854309611395</v>
      </c>
    </row>
    <row r="247" spans="1:18" x14ac:dyDescent="0.35">
      <c r="A247" t="s">
        <v>250</v>
      </c>
      <c r="B247" t="s">
        <v>6</v>
      </c>
      <c r="C247">
        <v>487</v>
      </c>
      <c r="E247">
        <f t="shared" si="101"/>
        <v>80736.853179471495</v>
      </c>
      <c r="F247" s="8">
        <f t="shared" si="120"/>
        <v>322.94741271788598</v>
      </c>
      <c r="G247" s="9">
        <f t="shared" si="96"/>
        <v>81.38274800490727</v>
      </c>
      <c r="H247">
        <f t="shared" si="97"/>
        <v>80818.235927476402</v>
      </c>
      <c r="K247" t="s">
        <v>12</v>
      </c>
      <c r="L247">
        <v>488</v>
      </c>
      <c r="N247" s="6">
        <f t="shared" si="121"/>
        <v>525.31853352859662</v>
      </c>
      <c r="O247" s="11">
        <f t="shared" si="98"/>
        <v>132.38027044920634</v>
      </c>
      <c r="P247">
        <f t="shared" si="99"/>
        <v>80950.616197925614</v>
      </c>
      <c r="R247">
        <f t="shared" si="100"/>
        <v>213.76301845411359</v>
      </c>
    </row>
    <row r="248" spans="1:18" x14ac:dyDescent="0.35">
      <c r="A248" t="s">
        <v>251</v>
      </c>
      <c r="B248" t="s">
        <v>6</v>
      </c>
      <c r="C248">
        <v>489</v>
      </c>
      <c r="E248">
        <f t="shared" si="101"/>
        <v>80950.616197925614</v>
      </c>
      <c r="F248" s="8">
        <f t="shared" si="120"/>
        <v>323.80246479170245</v>
      </c>
      <c r="G248" s="9">
        <f t="shared" si="96"/>
        <v>81.598221127509021</v>
      </c>
      <c r="H248">
        <f t="shared" si="97"/>
        <v>81032.214419053125</v>
      </c>
      <c r="K248" t="s">
        <v>12</v>
      </c>
      <c r="L248">
        <v>490</v>
      </c>
      <c r="N248" s="6">
        <f t="shared" si="121"/>
        <v>526.70939372384532</v>
      </c>
      <c r="O248" s="11">
        <f t="shared" si="98"/>
        <v>132.73076721840903</v>
      </c>
      <c r="P248">
        <f t="shared" si="99"/>
        <v>81164.945186271536</v>
      </c>
      <c r="R248">
        <f t="shared" si="100"/>
        <v>214.32898834591805</v>
      </c>
    </row>
    <row r="249" spans="1:18" s="6" customFormat="1" x14ac:dyDescent="0.35">
      <c r="A249" s="6" t="s">
        <v>252</v>
      </c>
      <c r="B249" s="6" t="s">
        <v>6</v>
      </c>
      <c r="C249" s="6">
        <v>491</v>
      </c>
      <c r="D249" s="7">
        <v>5.99999999999972E-3</v>
      </c>
      <c r="E249" s="6">
        <f t="shared" si="101"/>
        <v>81164.945186271536</v>
      </c>
      <c r="F249" s="8">
        <f>E249*0.6%</f>
        <v>486.9896711176292</v>
      </c>
      <c r="G249" s="9">
        <f t="shared" si="96"/>
        <v>122.72139712164255</v>
      </c>
      <c r="H249" s="6">
        <f t="shared" si="97"/>
        <v>81287.666583393177</v>
      </c>
      <c r="K249" s="6" t="s">
        <v>12</v>
      </c>
      <c r="L249" s="6">
        <v>492</v>
      </c>
      <c r="M249" s="7">
        <v>7.9999999999983799E-3</v>
      </c>
      <c r="N249" s="6">
        <f>H249*0.8%</f>
        <v>650.3013326671454</v>
      </c>
      <c r="O249" s="11">
        <f t="shared" si="98"/>
        <v>163.87593583212063</v>
      </c>
      <c r="P249" s="6">
        <f t="shared" si="99"/>
        <v>81451.542519225302</v>
      </c>
      <c r="R249" s="6">
        <f t="shared" si="100"/>
        <v>286.59733295376316</v>
      </c>
    </row>
    <row r="250" spans="1:18" x14ac:dyDescent="0.35">
      <c r="A250" t="s">
        <v>253</v>
      </c>
      <c r="B250" t="s">
        <v>6</v>
      </c>
      <c r="C250">
        <v>493</v>
      </c>
      <c r="E250">
        <f t="shared" si="101"/>
        <v>81451.542519225302</v>
      </c>
      <c r="F250" s="8">
        <f t="shared" ref="F250:F253" si="122">E250*0.6%</f>
        <v>488.70925511535182</v>
      </c>
      <c r="G250" s="9">
        <f t="shared" si="96"/>
        <v>123.15473228906866</v>
      </c>
      <c r="H250">
        <f t="shared" si="97"/>
        <v>81574.697251514372</v>
      </c>
      <c r="K250" t="s">
        <v>12</v>
      </c>
      <c r="L250">
        <v>494</v>
      </c>
      <c r="N250" s="6">
        <f t="shared" ref="N250:N253" si="123">H250*0.8%</f>
        <v>652.59757801211504</v>
      </c>
      <c r="O250" s="11">
        <f t="shared" si="98"/>
        <v>164.454589659053</v>
      </c>
      <c r="P250">
        <f t="shared" si="99"/>
        <v>81739.151841173429</v>
      </c>
      <c r="R250">
        <f t="shared" si="100"/>
        <v>287.60932194812165</v>
      </c>
    </row>
    <row r="251" spans="1:18" x14ac:dyDescent="0.35">
      <c r="A251" t="s">
        <v>254</v>
      </c>
      <c r="B251" t="s">
        <v>6</v>
      </c>
      <c r="C251">
        <v>495</v>
      </c>
      <c r="E251">
        <f t="shared" si="101"/>
        <v>81739.151841173429</v>
      </c>
      <c r="F251" s="8">
        <f t="shared" si="122"/>
        <v>490.4349110470406</v>
      </c>
      <c r="G251" s="9">
        <f t="shared" si="96"/>
        <v>123.58959758385423</v>
      </c>
      <c r="H251">
        <f t="shared" si="97"/>
        <v>81862.741438757279</v>
      </c>
      <c r="K251" t="s">
        <v>12</v>
      </c>
      <c r="L251">
        <v>496</v>
      </c>
      <c r="N251" s="6">
        <f t="shared" si="123"/>
        <v>654.90193151005826</v>
      </c>
      <c r="O251" s="11">
        <f t="shared" si="98"/>
        <v>165.03528674053467</v>
      </c>
      <c r="P251">
        <f t="shared" si="99"/>
        <v>82027.77672549781</v>
      </c>
      <c r="R251">
        <f t="shared" si="100"/>
        <v>288.62488432438892</v>
      </c>
    </row>
    <row r="252" spans="1:18" x14ac:dyDescent="0.35">
      <c r="A252" t="s">
        <v>255</v>
      </c>
      <c r="B252" t="s">
        <v>6</v>
      </c>
      <c r="C252">
        <v>497</v>
      </c>
      <c r="E252">
        <f t="shared" si="101"/>
        <v>82027.77672549781</v>
      </c>
      <c r="F252" s="8">
        <f t="shared" si="122"/>
        <v>492.16666035298687</v>
      </c>
      <c r="G252" s="9">
        <f t="shared" si="96"/>
        <v>124.02599840895269</v>
      </c>
      <c r="H252">
        <f t="shared" si="97"/>
        <v>82151.80272390676</v>
      </c>
      <c r="K252" t="s">
        <v>12</v>
      </c>
      <c r="L252">
        <v>498</v>
      </c>
      <c r="N252" s="6">
        <f t="shared" si="123"/>
        <v>657.21442179125404</v>
      </c>
      <c r="O252" s="11">
        <f t="shared" si="98"/>
        <v>165.61803429139601</v>
      </c>
      <c r="P252">
        <f t="shared" si="99"/>
        <v>82317.420758198161</v>
      </c>
      <c r="R252">
        <f t="shared" si="100"/>
        <v>289.6440327003487</v>
      </c>
    </row>
    <row r="253" spans="1:18" x14ac:dyDescent="0.35">
      <c r="A253" t="s">
        <v>256</v>
      </c>
      <c r="B253" t="s">
        <v>6</v>
      </c>
      <c r="C253">
        <v>499</v>
      </c>
      <c r="D253" s="15"/>
      <c r="E253">
        <f t="shared" si="101"/>
        <v>82317.420758198161</v>
      </c>
      <c r="F253" s="8">
        <f t="shared" si="122"/>
        <v>493.90452454918898</v>
      </c>
      <c r="G253" s="9">
        <f t="shared" si="96"/>
        <v>124.46394018639562</v>
      </c>
      <c r="H253">
        <f t="shared" si="97"/>
        <v>82441.884698384558</v>
      </c>
      <c r="K253" t="s">
        <v>12</v>
      </c>
      <c r="L253">
        <v>500</v>
      </c>
      <c r="N253" s="6">
        <f t="shared" si="123"/>
        <v>659.53507758707644</v>
      </c>
      <c r="O253" s="11">
        <f t="shared" si="98"/>
        <v>166.20283955194327</v>
      </c>
      <c r="P253">
        <f t="shared" si="99"/>
        <v>82608.087537936502</v>
      </c>
      <c r="R253">
        <f t="shared" si="100"/>
        <v>290.6667797383389</v>
      </c>
    </row>
    <row r="254" spans="1:18" s="6" customFormat="1" x14ac:dyDescent="0.35">
      <c r="A254" s="6" t="s">
        <v>257</v>
      </c>
      <c r="B254" s="6" t="s">
        <v>5</v>
      </c>
      <c r="C254" s="6">
        <v>501</v>
      </c>
      <c r="D254" s="7">
        <v>7.9999999999994399E-3</v>
      </c>
      <c r="E254" s="6">
        <f t="shared" si="101"/>
        <v>82608.087537936502</v>
      </c>
      <c r="F254" s="8">
        <f>E254*0.8%</f>
        <v>660.86470030349199</v>
      </c>
      <c r="G254" s="9">
        <f t="shared" si="96"/>
        <v>166.53790447647998</v>
      </c>
      <c r="H254" s="6">
        <f t="shared" si="97"/>
        <v>82774.625442412987</v>
      </c>
      <c r="K254" s="6" t="s">
        <v>6</v>
      </c>
      <c r="L254" s="6">
        <v>502</v>
      </c>
      <c r="M254" s="7">
        <v>4.0000000000000001E-3</v>
      </c>
      <c r="N254" s="6">
        <f>H254*0.4%</f>
        <v>331.09850176965193</v>
      </c>
      <c r="O254" s="11">
        <f t="shared" si="98"/>
        <v>83.436822445952288</v>
      </c>
      <c r="P254" s="6">
        <f t="shared" si="99"/>
        <v>82858.062264858934</v>
      </c>
      <c r="R254" s="6">
        <f t="shared" si="100"/>
        <v>249.97472692243227</v>
      </c>
    </row>
    <row r="255" spans="1:18" x14ac:dyDescent="0.35">
      <c r="A255" t="s">
        <v>258</v>
      </c>
      <c r="B255" t="s">
        <v>5</v>
      </c>
      <c r="C255">
        <v>503</v>
      </c>
      <c r="E255">
        <f t="shared" si="101"/>
        <v>82858.062264858934</v>
      </c>
      <c r="F255" s="8">
        <f t="shared" ref="F255:F258" si="124">E255*0.8%</f>
        <v>662.86449811887144</v>
      </c>
      <c r="G255" s="9">
        <f t="shared" si="96"/>
        <v>167.04185352595562</v>
      </c>
      <c r="H255">
        <f t="shared" si="97"/>
        <v>83025.104118384887</v>
      </c>
      <c r="I255" s="16"/>
      <c r="J255" s="16"/>
      <c r="K255" s="16" t="s">
        <v>6</v>
      </c>
      <c r="L255">
        <v>504</v>
      </c>
      <c r="N255" s="6">
        <f t="shared" ref="N255:N258" si="125">H255*0.4%</f>
        <v>332.10041647353955</v>
      </c>
      <c r="O255" s="11">
        <f t="shared" si="98"/>
        <v>83.689304951331962</v>
      </c>
      <c r="P255">
        <f t="shared" si="99"/>
        <v>83108.793423336218</v>
      </c>
      <c r="R255">
        <f t="shared" si="100"/>
        <v>250.73115847728758</v>
      </c>
    </row>
    <row r="256" spans="1:18" x14ac:dyDescent="0.35">
      <c r="A256" t="s">
        <v>259</v>
      </c>
      <c r="B256" t="s">
        <v>5</v>
      </c>
      <c r="C256">
        <v>505</v>
      </c>
      <c r="E256">
        <f t="shared" si="101"/>
        <v>83108.793423336218</v>
      </c>
      <c r="F256" s="8">
        <f t="shared" si="124"/>
        <v>664.87034738668979</v>
      </c>
      <c r="G256" s="9">
        <f t="shared" si="96"/>
        <v>167.54732754144584</v>
      </c>
      <c r="H256">
        <f t="shared" si="97"/>
        <v>83276.340750877658</v>
      </c>
      <c r="K256" t="s">
        <v>6</v>
      </c>
      <c r="L256">
        <v>506</v>
      </c>
      <c r="N256" s="6">
        <f t="shared" si="125"/>
        <v>333.10536300351066</v>
      </c>
      <c r="O256" s="11">
        <f t="shared" si="98"/>
        <v>83.942551476884688</v>
      </c>
      <c r="P256">
        <f t="shared" si="99"/>
        <v>83360.283302354539</v>
      </c>
      <c r="R256">
        <f t="shared" si="100"/>
        <v>251.48987901833053</v>
      </c>
    </row>
    <row r="257" spans="1:18" x14ac:dyDescent="0.35">
      <c r="A257" t="s">
        <v>260</v>
      </c>
      <c r="B257" t="s">
        <v>5</v>
      </c>
      <c r="C257">
        <v>507</v>
      </c>
      <c r="E257">
        <f t="shared" si="101"/>
        <v>83360.283302354539</v>
      </c>
      <c r="F257" s="8">
        <f t="shared" si="124"/>
        <v>666.88226641883637</v>
      </c>
      <c r="G257" s="9">
        <f t="shared" si="96"/>
        <v>168.05433113754677</v>
      </c>
      <c r="H257">
        <f t="shared" si="97"/>
        <v>83528.33763349209</v>
      </c>
      <c r="K257" t="s">
        <v>6</v>
      </c>
      <c r="L257">
        <v>508</v>
      </c>
      <c r="N257" s="6">
        <f t="shared" si="125"/>
        <v>334.11335053396834</v>
      </c>
      <c r="O257" s="11">
        <f t="shared" si="98"/>
        <v>84.196564334560023</v>
      </c>
      <c r="P257">
        <f t="shared" si="99"/>
        <v>83612.534197826652</v>
      </c>
      <c r="R257">
        <f t="shared" si="100"/>
        <v>252.25089547210678</v>
      </c>
    </row>
    <row r="258" spans="1:18" x14ac:dyDescent="0.35">
      <c r="A258" t="s">
        <v>261</v>
      </c>
      <c r="B258" t="s">
        <v>5</v>
      </c>
      <c r="C258">
        <v>509</v>
      </c>
      <c r="E258">
        <f t="shared" si="101"/>
        <v>83612.534197826652</v>
      </c>
      <c r="F258" s="8">
        <f t="shared" si="124"/>
        <v>668.90027358261318</v>
      </c>
      <c r="G258" s="9">
        <f t="shared" si="96"/>
        <v>168.56286894281851</v>
      </c>
      <c r="H258">
        <f t="shared" si="97"/>
        <v>83781.097066769464</v>
      </c>
      <c r="K258" t="s">
        <v>6</v>
      </c>
      <c r="L258">
        <v>510</v>
      </c>
      <c r="N258" s="6">
        <f t="shared" si="125"/>
        <v>335.12438826707785</v>
      </c>
      <c r="O258" s="11">
        <f t="shared" si="98"/>
        <v>84.451345843303613</v>
      </c>
      <c r="P258">
        <f t="shared" si="99"/>
        <v>83865.54841261277</v>
      </c>
      <c r="R258">
        <f t="shared" si="100"/>
        <v>253.01421478612212</v>
      </c>
    </row>
    <row r="259" spans="1:18" s="6" customFormat="1" x14ac:dyDescent="0.35">
      <c r="A259" s="6" t="s">
        <v>262</v>
      </c>
      <c r="B259" s="6" t="s">
        <v>6</v>
      </c>
      <c r="C259" s="6">
        <v>511</v>
      </c>
      <c r="D259" s="7">
        <v>4.0000000000000001E-3</v>
      </c>
      <c r="E259" s="6">
        <f t="shared" si="101"/>
        <v>83865.54841261277</v>
      </c>
      <c r="F259" s="8">
        <f>E259*0.4%</f>
        <v>335.46219365045107</v>
      </c>
      <c r="G259" s="9">
        <f t="shared" si="96"/>
        <v>84.536472799913668</v>
      </c>
      <c r="H259" s="6">
        <f t="shared" si="97"/>
        <v>83950.084885412682</v>
      </c>
      <c r="K259" s="6" t="s">
        <v>12</v>
      </c>
      <c r="L259" s="6">
        <v>512</v>
      </c>
      <c r="M259" s="7">
        <v>8.5000000000000006E-3</v>
      </c>
      <c r="N259" s="6">
        <f>H259*0.85%</f>
        <v>713.5757215260079</v>
      </c>
      <c r="O259" s="11">
        <f t="shared" si="98"/>
        <v>179.821081824554</v>
      </c>
      <c r="P259" s="6">
        <f t="shared" si="99"/>
        <v>84129.905967237239</v>
      </c>
      <c r="R259" s="6">
        <f t="shared" si="100"/>
        <v>264.35755462446764</v>
      </c>
    </row>
    <row r="260" spans="1:18" x14ac:dyDescent="0.35">
      <c r="A260" t="s">
        <v>263</v>
      </c>
      <c r="B260" t="s">
        <v>6</v>
      </c>
      <c r="C260">
        <v>513</v>
      </c>
      <c r="E260">
        <f t="shared" si="101"/>
        <v>84129.905967237239</v>
      </c>
      <c r="F260" s="8">
        <f t="shared" ref="F260:F263" si="126">E260*0.4%</f>
        <v>336.51962386894894</v>
      </c>
      <c r="G260" s="9">
        <f t="shared" si="96"/>
        <v>84.802945214975139</v>
      </c>
      <c r="H260">
        <f t="shared" si="97"/>
        <v>84214.708912452217</v>
      </c>
      <c r="K260" t="s">
        <v>12</v>
      </c>
      <c r="L260">
        <v>514</v>
      </c>
      <c r="N260" s="6">
        <f t="shared" ref="N260:N263" si="127">H260*0.85%</f>
        <v>715.82502575584385</v>
      </c>
      <c r="O260" s="11">
        <f t="shared" si="98"/>
        <v>180.38790649047266</v>
      </c>
      <c r="P260">
        <f t="shared" si="99"/>
        <v>84395.096818942693</v>
      </c>
      <c r="R260">
        <f t="shared" si="100"/>
        <v>265.19085170544781</v>
      </c>
    </row>
    <row r="261" spans="1:18" x14ac:dyDescent="0.35">
      <c r="A261" t="s">
        <v>264</v>
      </c>
      <c r="B261" t="s">
        <v>6</v>
      </c>
      <c r="C261">
        <v>515</v>
      </c>
      <c r="E261">
        <f t="shared" si="101"/>
        <v>84395.096818942693</v>
      </c>
      <c r="F261" s="8">
        <f t="shared" si="126"/>
        <v>337.58038727577076</v>
      </c>
      <c r="G261" s="9">
        <f t="shared" ref="G261:G294" si="128">F261*25.2%</f>
        <v>85.070257593494233</v>
      </c>
      <c r="H261">
        <f t="shared" ref="H261:H294" si="129">G261+E261</f>
        <v>84480.167076536192</v>
      </c>
      <c r="K261" t="s">
        <v>12</v>
      </c>
      <c r="L261">
        <v>516</v>
      </c>
      <c r="N261" s="6">
        <f t="shared" si="127"/>
        <v>718.08142015055773</v>
      </c>
      <c r="O261" s="11">
        <f t="shared" ref="O261:O294" si="130">N261*25.2%</f>
        <v>180.95651787794054</v>
      </c>
      <c r="P261">
        <f t="shared" ref="P261:P294" si="131">O261+H261</f>
        <v>84661.123594414137</v>
      </c>
      <c r="R261">
        <f t="shared" ref="R261:R294" si="132">O261+G261</f>
        <v>266.0267754714348</v>
      </c>
    </row>
    <row r="262" spans="1:18" x14ac:dyDescent="0.35">
      <c r="A262" t="s">
        <v>265</v>
      </c>
      <c r="B262" t="s">
        <v>6</v>
      </c>
      <c r="C262">
        <v>517</v>
      </c>
      <c r="E262">
        <f t="shared" ref="E262:E294" si="133">P261</f>
        <v>84661.123594414137</v>
      </c>
      <c r="F262" s="8">
        <f t="shared" si="126"/>
        <v>338.64449437765654</v>
      </c>
      <c r="G262" s="9">
        <f t="shared" si="128"/>
        <v>85.338412583169443</v>
      </c>
      <c r="H262">
        <f t="shared" si="129"/>
        <v>84746.462006997303</v>
      </c>
      <c r="K262" t="s">
        <v>12</v>
      </c>
      <c r="L262">
        <v>518</v>
      </c>
      <c r="N262" s="6">
        <f t="shared" si="127"/>
        <v>720.34492705947707</v>
      </c>
      <c r="O262" s="11">
        <f t="shared" si="130"/>
        <v>181.52692161898821</v>
      </c>
      <c r="P262">
        <f t="shared" si="131"/>
        <v>84927.988928616294</v>
      </c>
      <c r="R262">
        <f t="shared" si="132"/>
        <v>266.86533420215767</v>
      </c>
    </row>
    <row r="263" spans="1:18" x14ac:dyDescent="0.35">
      <c r="A263" t="s">
        <v>266</v>
      </c>
      <c r="B263" t="s">
        <v>6</v>
      </c>
      <c r="C263">
        <v>519</v>
      </c>
      <c r="D263" s="15"/>
      <c r="E263">
        <f t="shared" si="133"/>
        <v>84927.988928616294</v>
      </c>
      <c r="F263" s="8">
        <f t="shared" si="126"/>
        <v>339.7119557144652</v>
      </c>
      <c r="G263" s="9">
        <f t="shared" si="128"/>
        <v>85.607412840045228</v>
      </c>
      <c r="H263">
        <f t="shared" si="129"/>
        <v>85013.596341456345</v>
      </c>
      <c r="K263" t="s">
        <v>12</v>
      </c>
      <c r="L263">
        <v>520</v>
      </c>
      <c r="N263" s="6">
        <f t="shared" si="127"/>
        <v>722.61556890237898</v>
      </c>
      <c r="O263" s="11">
        <f t="shared" si="130"/>
        <v>182.09912336339951</v>
      </c>
      <c r="P263">
        <f t="shared" si="131"/>
        <v>85195.695464819742</v>
      </c>
      <c r="R263">
        <f t="shared" si="132"/>
        <v>267.70653620344473</v>
      </c>
    </row>
    <row r="264" spans="1:18" s="6" customFormat="1" x14ac:dyDescent="0.35">
      <c r="A264" s="6" t="s">
        <v>267</v>
      </c>
      <c r="B264" s="6" t="s">
        <v>6</v>
      </c>
      <c r="C264" s="6">
        <v>521</v>
      </c>
      <c r="D264" s="7">
        <v>7.0000000000000001E-3</v>
      </c>
      <c r="E264" s="6">
        <f t="shared" si="133"/>
        <v>85195.695464819742</v>
      </c>
      <c r="F264" s="8">
        <f>E264*0.7%</f>
        <v>596.3698682537381</v>
      </c>
      <c r="G264" s="9">
        <f t="shared" si="128"/>
        <v>150.28520679994202</v>
      </c>
      <c r="H264" s="6">
        <f t="shared" si="129"/>
        <v>85345.980671619691</v>
      </c>
      <c r="K264" s="6" t="s">
        <v>6</v>
      </c>
      <c r="L264" s="6">
        <v>522</v>
      </c>
      <c r="M264" s="7">
        <v>3.5000000000000001E-3</v>
      </c>
      <c r="N264" s="6">
        <f>H264*0.35%</f>
        <v>298.71093235066888</v>
      </c>
      <c r="O264" s="11">
        <f t="shared" si="130"/>
        <v>75.275154952368553</v>
      </c>
      <c r="P264" s="6">
        <f t="shared" si="131"/>
        <v>85421.255826572058</v>
      </c>
      <c r="R264" s="6">
        <f t="shared" si="132"/>
        <v>225.56036175231057</v>
      </c>
    </row>
    <row r="265" spans="1:18" x14ac:dyDescent="0.35">
      <c r="A265" t="s">
        <v>268</v>
      </c>
      <c r="B265" t="s">
        <v>6</v>
      </c>
      <c r="C265">
        <v>523</v>
      </c>
      <c r="E265">
        <f t="shared" si="133"/>
        <v>85421.255826572058</v>
      </c>
      <c r="F265" s="8">
        <f t="shared" ref="F265:F268" si="134">E265*0.7%</f>
        <v>597.94879078600434</v>
      </c>
      <c r="G265" s="9">
        <f t="shared" si="128"/>
        <v>150.6830952780731</v>
      </c>
      <c r="H265">
        <f t="shared" si="129"/>
        <v>85571.938921850131</v>
      </c>
      <c r="K265" t="s">
        <v>6</v>
      </c>
      <c r="L265">
        <v>524</v>
      </c>
      <c r="N265" s="6">
        <f t="shared" ref="N265:N268" si="135">H265*0.35%</f>
        <v>299.50178622647542</v>
      </c>
      <c r="O265" s="11">
        <f t="shared" si="130"/>
        <v>75.474450129071812</v>
      </c>
      <c r="P265">
        <f t="shared" si="131"/>
        <v>85647.413371979201</v>
      </c>
      <c r="R265">
        <f t="shared" si="132"/>
        <v>226.15754540714491</v>
      </c>
    </row>
    <row r="266" spans="1:18" x14ac:dyDescent="0.35">
      <c r="A266" t="s">
        <v>269</v>
      </c>
      <c r="B266" t="s">
        <v>6</v>
      </c>
      <c r="C266">
        <v>525</v>
      </c>
      <c r="E266">
        <f t="shared" si="133"/>
        <v>85647.413371979201</v>
      </c>
      <c r="F266" s="8">
        <f t="shared" si="134"/>
        <v>599.53189360385431</v>
      </c>
      <c r="G266" s="9">
        <f t="shared" si="128"/>
        <v>151.08203718817128</v>
      </c>
      <c r="H266">
        <f t="shared" si="129"/>
        <v>85798.495409167372</v>
      </c>
      <c r="K266" t="s">
        <v>6</v>
      </c>
      <c r="L266">
        <v>526</v>
      </c>
      <c r="N266" s="6">
        <f t="shared" si="135"/>
        <v>300.29473393208576</v>
      </c>
      <c r="O266" s="11">
        <f t="shared" si="130"/>
        <v>75.674272950885609</v>
      </c>
      <c r="P266">
        <f t="shared" si="131"/>
        <v>85874.169682118256</v>
      </c>
      <c r="R266">
        <f t="shared" si="132"/>
        <v>226.75631013905689</v>
      </c>
    </row>
    <row r="267" spans="1:18" x14ac:dyDescent="0.35">
      <c r="A267" t="s">
        <v>270</v>
      </c>
      <c r="B267" t="s">
        <v>6</v>
      </c>
      <c r="C267">
        <v>527</v>
      </c>
      <c r="E267">
        <f t="shared" si="133"/>
        <v>85874.169682118256</v>
      </c>
      <c r="F267" s="8">
        <f t="shared" si="134"/>
        <v>601.11918777482776</v>
      </c>
      <c r="G267" s="9">
        <f t="shared" si="128"/>
        <v>151.4820353192566</v>
      </c>
      <c r="H267">
        <f t="shared" si="129"/>
        <v>86025.651717437519</v>
      </c>
      <c r="K267" t="s">
        <v>6</v>
      </c>
      <c r="L267">
        <v>528</v>
      </c>
      <c r="N267" s="6">
        <f t="shared" si="135"/>
        <v>301.08978101103128</v>
      </c>
      <c r="O267" s="11">
        <f t="shared" si="130"/>
        <v>75.874624814779878</v>
      </c>
      <c r="P267">
        <f t="shared" si="131"/>
        <v>86101.526342252298</v>
      </c>
      <c r="R267">
        <f t="shared" si="132"/>
        <v>227.35666013403647</v>
      </c>
    </row>
    <row r="268" spans="1:18" x14ac:dyDescent="0.35">
      <c r="A268" t="s">
        <v>271</v>
      </c>
      <c r="B268" t="s">
        <v>6</v>
      </c>
      <c r="C268">
        <v>529</v>
      </c>
      <c r="E268">
        <f t="shared" si="133"/>
        <v>86101.526342252298</v>
      </c>
      <c r="F268" s="8">
        <f t="shared" si="134"/>
        <v>602.71068439576607</v>
      </c>
      <c r="G268" s="9">
        <f t="shared" si="128"/>
        <v>151.88309246773304</v>
      </c>
      <c r="H268">
        <f t="shared" si="129"/>
        <v>86253.40943472003</v>
      </c>
      <c r="K268" t="s">
        <v>6</v>
      </c>
      <c r="L268">
        <v>530</v>
      </c>
      <c r="N268" s="6">
        <f t="shared" si="135"/>
        <v>301.88693302152006</v>
      </c>
      <c r="O268" s="11">
        <f t="shared" si="130"/>
        <v>76.075507121423058</v>
      </c>
      <c r="P268">
        <f t="shared" si="131"/>
        <v>86329.484941841452</v>
      </c>
      <c r="R268">
        <f t="shared" si="132"/>
        <v>227.95859958915611</v>
      </c>
    </row>
    <row r="269" spans="1:18" s="6" customFormat="1" x14ac:dyDescent="0.35">
      <c r="A269" s="6" t="s">
        <v>272</v>
      </c>
      <c r="B269" s="6" t="s">
        <v>5</v>
      </c>
      <c r="C269" s="6">
        <v>531</v>
      </c>
      <c r="D269" s="7">
        <v>8.0000000000000002E-3</v>
      </c>
      <c r="E269" s="6">
        <f t="shared" si="133"/>
        <v>86329.484941841452</v>
      </c>
      <c r="F269" s="8">
        <f>E269*0.8%</f>
        <v>690.63587953473166</v>
      </c>
      <c r="G269" s="9">
        <f t="shared" si="128"/>
        <v>174.04024164275239</v>
      </c>
      <c r="H269" s="6">
        <f t="shared" si="129"/>
        <v>86503.525183484206</v>
      </c>
      <c r="K269" s="6" t="s">
        <v>6</v>
      </c>
      <c r="L269" s="6">
        <v>532</v>
      </c>
      <c r="M269" s="7">
        <v>4.4999999999999997E-3</v>
      </c>
      <c r="N269" s="6">
        <f>H269*0.45%</f>
        <v>389.26586332567899</v>
      </c>
      <c r="O269" s="11">
        <f t="shared" si="130"/>
        <v>98.0949975580711</v>
      </c>
      <c r="P269" s="6">
        <f t="shared" si="131"/>
        <v>86601.620181042279</v>
      </c>
      <c r="R269" s="6">
        <f t="shared" si="132"/>
        <v>272.13523920082349</v>
      </c>
    </row>
    <row r="270" spans="1:18" x14ac:dyDescent="0.35">
      <c r="A270" t="s">
        <v>273</v>
      </c>
      <c r="B270" t="s">
        <v>5</v>
      </c>
      <c r="C270">
        <v>533</v>
      </c>
      <c r="E270">
        <f t="shared" si="133"/>
        <v>86601.620181042279</v>
      </c>
      <c r="F270" s="8">
        <f t="shared" ref="F270:F273" si="136">E270*0.8%</f>
        <v>692.81296144833823</v>
      </c>
      <c r="G270" s="9">
        <f t="shared" si="128"/>
        <v>174.58886628498124</v>
      </c>
      <c r="H270">
        <f t="shared" si="129"/>
        <v>86776.209047327255</v>
      </c>
      <c r="K270" t="s">
        <v>6</v>
      </c>
      <c r="L270">
        <v>534</v>
      </c>
      <c r="N270" s="6">
        <f t="shared" ref="N270:N273" si="137">H270*0.45%</f>
        <v>390.49294071297271</v>
      </c>
      <c r="O270" s="11">
        <f t="shared" si="130"/>
        <v>98.404221059669126</v>
      </c>
      <c r="P270">
        <f t="shared" si="131"/>
        <v>86874.613268386922</v>
      </c>
      <c r="R270">
        <f t="shared" si="132"/>
        <v>272.99308734465035</v>
      </c>
    </row>
    <row r="271" spans="1:18" x14ac:dyDescent="0.35">
      <c r="A271" t="s">
        <v>274</v>
      </c>
      <c r="B271" t="s">
        <v>5</v>
      </c>
      <c r="C271">
        <v>535</v>
      </c>
      <c r="E271">
        <f t="shared" si="133"/>
        <v>86874.613268386922</v>
      </c>
      <c r="F271" s="8">
        <f t="shared" si="136"/>
        <v>694.99690614709539</v>
      </c>
      <c r="G271" s="9">
        <f t="shared" si="128"/>
        <v>175.13922034906804</v>
      </c>
      <c r="H271">
        <f t="shared" si="129"/>
        <v>87049.75248873599</v>
      </c>
      <c r="K271" t="s">
        <v>6</v>
      </c>
      <c r="L271">
        <v>536</v>
      </c>
      <c r="N271" s="6">
        <f t="shared" si="137"/>
        <v>391.72388619931201</v>
      </c>
      <c r="O271" s="11">
        <f t="shared" si="130"/>
        <v>98.714419322226632</v>
      </c>
      <c r="P271">
        <f t="shared" si="131"/>
        <v>87148.466908058224</v>
      </c>
      <c r="R271">
        <f t="shared" si="132"/>
        <v>273.85363967129467</v>
      </c>
    </row>
    <row r="272" spans="1:18" x14ac:dyDescent="0.35">
      <c r="A272" t="s">
        <v>275</v>
      </c>
      <c r="B272" t="s">
        <v>5</v>
      </c>
      <c r="C272">
        <v>537</v>
      </c>
      <c r="E272">
        <f t="shared" si="133"/>
        <v>87148.466908058224</v>
      </c>
      <c r="F272" s="8">
        <f t="shared" si="136"/>
        <v>697.1877352644658</v>
      </c>
      <c r="G272" s="9">
        <f t="shared" si="128"/>
        <v>175.69130928664538</v>
      </c>
      <c r="H272">
        <f t="shared" si="129"/>
        <v>87324.15821734487</v>
      </c>
      <c r="K272" t="s">
        <v>6</v>
      </c>
      <c r="L272">
        <v>538</v>
      </c>
      <c r="N272" s="6">
        <f t="shared" si="137"/>
        <v>392.95871197805195</v>
      </c>
      <c r="O272" s="11">
        <f t="shared" si="130"/>
        <v>99.025595418469095</v>
      </c>
      <c r="P272">
        <f t="shared" si="131"/>
        <v>87423.183812763338</v>
      </c>
      <c r="Q272" t="s">
        <v>0</v>
      </c>
      <c r="R272">
        <f t="shared" si="132"/>
        <v>274.71690470511447</v>
      </c>
    </row>
    <row r="273" spans="1:18" s="17" customFormat="1" x14ac:dyDescent="0.35">
      <c r="A273" s="17" t="s">
        <v>276</v>
      </c>
      <c r="B273" s="17" t="s">
        <v>5</v>
      </c>
      <c r="C273" s="17">
        <v>539</v>
      </c>
      <c r="E273" s="17">
        <f t="shared" si="133"/>
        <v>87423.183812763338</v>
      </c>
      <c r="F273" s="8">
        <f t="shared" si="136"/>
        <v>699.38547050210673</v>
      </c>
      <c r="G273" s="9">
        <f t="shared" si="128"/>
        <v>176.2451385665309</v>
      </c>
      <c r="H273" s="17">
        <f t="shared" si="129"/>
        <v>87599.428951329872</v>
      </c>
      <c r="K273" s="17" t="s">
        <v>6</v>
      </c>
      <c r="L273" s="17">
        <v>540</v>
      </c>
      <c r="M273"/>
      <c r="N273" s="6">
        <f t="shared" si="137"/>
        <v>394.19743028098446</v>
      </c>
      <c r="O273" s="11">
        <f t="shared" si="130"/>
        <v>99.337752430808081</v>
      </c>
      <c r="P273" s="17">
        <f t="shared" si="131"/>
        <v>87698.766703760673</v>
      </c>
      <c r="R273" s="17">
        <f t="shared" si="132"/>
        <v>275.58289099733895</v>
      </c>
    </row>
    <row r="274" spans="1:18" s="9" customFormat="1" x14ac:dyDescent="0.35">
      <c r="A274" s="9" t="s">
        <v>277</v>
      </c>
      <c r="B274" s="9" t="s">
        <v>5</v>
      </c>
      <c r="C274" s="9">
        <v>541</v>
      </c>
      <c r="D274" s="18">
        <v>8.9999999999999993E-3</v>
      </c>
      <c r="E274" s="9">
        <f t="shared" si="133"/>
        <v>87698.766703760673</v>
      </c>
      <c r="F274" s="19">
        <f t="shared" ref="F274:F278" si="138">E274*0.9%</f>
        <v>789.28890033384619</v>
      </c>
      <c r="G274" s="9">
        <f t="shared" si="128"/>
        <v>198.90080288412923</v>
      </c>
      <c r="H274" s="9">
        <f t="shared" si="129"/>
        <v>87897.667506644808</v>
      </c>
      <c r="K274" s="9" t="s">
        <v>6</v>
      </c>
      <c r="L274" s="9">
        <v>542</v>
      </c>
      <c r="M274" s="7">
        <v>5.5000000000064797E-3</v>
      </c>
      <c r="N274" s="9">
        <f>H274*0.55%</f>
        <v>483.43717128654652</v>
      </c>
      <c r="O274" s="11">
        <f t="shared" si="130"/>
        <v>121.82616716420972</v>
      </c>
      <c r="P274" s="9">
        <f t="shared" si="131"/>
        <v>88019.493673809018</v>
      </c>
      <c r="R274" s="9">
        <f t="shared" si="132"/>
        <v>320.72697004833896</v>
      </c>
    </row>
    <row r="275" spans="1:18" x14ac:dyDescent="0.35">
      <c r="A275" t="s">
        <v>278</v>
      </c>
      <c r="B275" t="s">
        <v>5</v>
      </c>
      <c r="C275">
        <v>543</v>
      </c>
      <c r="E275">
        <f t="shared" si="133"/>
        <v>88019.493673809018</v>
      </c>
      <c r="F275" s="19">
        <f t="shared" si="138"/>
        <v>792.17544306428124</v>
      </c>
      <c r="G275" s="9">
        <f t="shared" si="128"/>
        <v>199.62821165219887</v>
      </c>
      <c r="H275">
        <f t="shared" si="129"/>
        <v>88219.121885461223</v>
      </c>
      <c r="K275" t="s">
        <v>6</v>
      </c>
      <c r="L275">
        <v>544</v>
      </c>
      <c r="N275" s="9">
        <f t="shared" ref="N275:N278" si="139">H275*0.55%</f>
        <v>485.2051703700368</v>
      </c>
      <c r="O275" s="11">
        <f t="shared" si="130"/>
        <v>122.27170293324927</v>
      </c>
      <c r="P275">
        <f t="shared" si="131"/>
        <v>88341.39358839448</v>
      </c>
      <c r="R275">
        <f t="shared" si="132"/>
        <v>321.89991458544813</v>
      </c>
    </row>
    <row r="276" spans="1:18" x14ac:dyDescent="0.35">
      <c r="A276" t="s">
        <v>279</v>
      </c>
      <c r="B276" t="s">
        <v>5</v>
      </c>
      <c r="C276">
        <v>545</v>
      </c>
      <c r="E276">
        <f t="shared" si="133"/>
        <v>88341.39358839448</v>
      </c>
      <c r="F276" s="19">
        <f t="shared" si="138"/>
        <v>795.07254229555042</v>
      </c>
      <c r="G276" s="9">
        <f t="shared" si="128"/>
        <v>200.35828065847872</v>
      </c>
      <c r="H276">
        <f t="shared" si="129"/>
        <v>88541.751869052954</v>
      </c>
      <c r="K276" t="s">
        <v>6</v>
      </c>
      <c r="L276">
        <v>546</v>
      </c>
      <c r="N276" s="9">
        <f t="shared" si="139"/>
        <v>486.9796352797913</v>
      </c>
      <c r="O276" s="11">
        <f t="shared" si="130"/>
        <v>122.71886809050741</v>
      </c>
      <c r="P276">
        <f t="shared" si="131"/>
        <v>88664.470737143463</v>
      </c>
      <c r="Q276" t="s">
        <v>0</v>
      </c>
      <c r="R276">
        <f t="shared" si="132"/>
        <v>323.07714874898613</v>
      </c>
    </row>
    <row r="277" spans="1:18" x14ac:dyDescent="0.35">
      <c r="A277" t="s">
        <v>280</v>
      </c>
      <c r="B277" t="s">
        <v>5</v>
      </c>
      <c r="C277">
        <v>546</v>
      </c>
      <c r="E277">
        <f t="shared" si="133"/>
        <v>88664.470737143463</v>
      </c>
      <c r="F277" s="19">
        <f t="shared" si="138"/>
        <v>797.98023663429126</v>
      </c>
      <c r="G277" s="9">
        <f t="shared" si="128"/>
        <v>201.09101963184139</v>
      </c>
      <c r="H277">
        <f t="shared" si="129"/>
        <v>88865.561756775307</v>
      </c>
      <c r="K277" t="s">
        <v>6</v>
      </c>
      <c r="L277">
        <v>547</v>
      </c>
      <c r="N277" s="9">
        <f t="shared" si="139"/>
        <v>488.76058966226424</v>
      </c>
      <c r="O277" s="11">
        <f t="shared" si="130"/>
        <v>123.16766859489059</v>
      </c>
      <c r="P277">
        <f t="shared" si="131"/>
        <v>88988.729425370198</v>
      </c>
      <c r="Q277" t="s">
        <v>0</v>
      </c>
      <c r="R277">
        <f t="shared" si="132"/>
        <v>324.25868822673198</v>
      </c>
    </row>
    <row r="278" spans="1:18" x14ac:dyDescent="0.35">
      <c r="A278" t="s">
        <v>281</v>
      </c>
      <c r="B278" t="s">
        <v>5</v>
      </c>
      <c r="C278">
        <v>547</v>
      </c>
      <c r="E278">
        <f t="shared" si="133"/>
        <v>88988.729425370198</v>
      </c>
      <c r="F278" s="19">
        <f t="shared" si="138"/>
        <v>800.89856482833193</v>
      </c>
      <c r="G278" s="9">
        <f t="shared" si="128"/>
        <v>201.82643833673964</v>
      </c>
      <c r="H278">
        <f t="shared" si="129"/>
        <v>89190.555863706933</v>
      </c>
      <c r="K278" t="s">
        <v>6</v>
      </c>
      <c r="L278">
        <v>548</v>
      </c>
      <c r="N278" s="9">
        <f t="shared" si="139"/>
        <v>490.54805725038818</v>
      </c>
      <c r="O278" s="11">
        <f t="shared" si="130"/>
        <v>123.61811042709782</v>
      </c>
      <c r="P278">
        <f t="shared" si="131"/>
        <v>89314.173974134028</v>
      </c>
      <c r="Q278" t="s">
        <v>0</v>
      </c>
      <c r="R278">
        <f t="shared" si="132"/>
        <v>325.44454876383747</v>
      </c>
    </row>
    <row r="279" spans="1:18" s="6" customFormat="1" x14ac:dyDescent="0.35">
      <c r="A279" s="6" t="s">
        <v>282</v>
      </c>
      <c r="B279" s="6" t="s">
        <v>5</v>
      </c>
      <c r="C279" s="6">
        <v>548</v>
      </c>
      <c r="D279" s="7">
        <v>8.0000000000000002E-3</v>
      </c>
      <c r="E279" s="6">
        <f t="shared" si="133"/>
        <v>89314.173974134028</v>
      </c>
      <c r="F279" s="8">
        <f>E279*0.8%</f>
        <v>714.51339179307229</v>
      </c>
      <c r="G279" s="9">
        <f t="shared" si="128"/>
        <v>180.05737473185422</v>
      </c>
      <c r="H279" s="6">
        <f t="shared" si="129"/>
        <v>89494.231348865884</v>
      </c>
      <c r="K279" s="6" t="s">
        <v>6</v>
      </c>
      <c r="L279" s="6">
        <v>549</v>
      </c>
      <c r="M279" s="7">
        <v>4.5000000000086403E-3</v>
      </c>
      <c r="N279" s="6">
        <f>H279*0.45%</f>
        <v>402.72404106989654</v>
      </c>
      <c r="O279" s="11">
        <f t="shared" si="130"/>
        <v>101.48645834961393</v>
      </c>
      <c r="P279" s="6">
        <f t="shared" si="131"/>
        <v>89595.717807215493</v>
      </c>
      <c r="Q279" s="6" t="s">
        <v>0</v>
      </c>
      <c r="R279" s="6">
        <f t="shared" si="132"/>
        <v>281.54383308146816</v>
      </c>
    </row>
    <row r="280" spans="1:18" x14ac:dyDescent="0.35">
      <c r="A280" t="s">
        <v>283</v>
      </c>
      <c r="B280" t="s">
        <v>5</v>
      </c>
      <c r="C280">
        <v>549</v>
      </c>
      <c r="E280">
        <f t="shared" si="133"/>
        <v>89595.717807215493</v>
      </c>
      <c r="F280" s="8">
        <f t="shared" ref="F280:F283" si="140">E280*0.8%</f>
        <v>716.76574245772395</v>
      </c>
      <c r="G280" s="9">
        <f t="shared" si="128"/>
        <v>180.62496709934643</v>
      </c>
      <c r="H280">
        <f t="shared" si="129"/>
        <v>89776.342774314835</v>
      </c>
      <c r="K280" t="s">
        <v>6</v>
      </c>
      <c r="L280">
        <v>550</v>
      </c>
      <c r="N280" s="6">
        <f t="shared" ref="N280:N283" si="141">H280*0.45%</f>
        <v>403.99354248441682</v>
      </c>
      <c r="O280" s="11">
        <f t="shared" si="130"/>
        <v>101.80637270607303</v>
      </c>
      <c r="P280">
        <f t="shared" si="131"/>
        <v>89878.149147020915</v>
      </c>
      <c r="Q280" t="s">
        <v>0</v>
      </c>
      <c r="R280">
        <f t="shared" si="132"/>
        <v>282.4313398054195</v>
      </c>
    </row>
    <row r="281" spans="1:18" x14ac:dyDescent="0.35">
      <c r="A281" t="s">
        <v>284</v>
      </c>
      <c r="B281" t="s">
        <v>5</v>
      </c>
      <c r="C281">
        <v>550</v>
      </c>
      <c r="E281">
        <f t="shared" si="133"/>
        <v>89878.149147020915</v>
      </c>
      <c r="F281" s="8">
        <f t="shared" si="140"/>
        <v>719.02519317616736</v>
      </c>
      <c r="G281" s="9">
        <f t="shared" si="128"/>
        <v>181.19434868039417</v>
      </c>
      <c r="H281">
        <f t="shared" si="129"/>
        <v>90059.343495701309</v>
      </c>
      <c r="K281" t="s">
        <v>6</v>
      </c>
      <c r="L281">
        <v>551</v>
      </c>
      <c r="N281" s="6">
        <f t="shared" si="141"/>
        <v>405.26704573065592</v>
      </c>
      <c r="O281" s="11">
        <f t="shared" si="130"/>
        <v>102.12729552412529</v>
      </c>
      <c r="P281">
        <f t="shared" si="131"/>
        <v>90161.470791225438</v>
      </c>
      <c r="Q281" t="s">
        <v>0</v>
      </c>
      <c r="R281">
        <f t="shared" si="132"/>
        <v>283.32164420451943</v>
      </c>
    </row>
    <row r="282" spans="1:18" x14ac:dyDescent="0.35">
      <c r="A282" t="s">
        <v>285</v>
      </c>
      <c r="B282" t="s">
        <v>5</v>
      </c>
      <c r="C282">
        <v>551</v>
      </c>
      <c r="E282">
        <f t="shared" si="133"/>
        <v>90161.470791225438</v>
      </c>
      <c r="F282" s="8">
        <f t="shared" si="140"/>
        <v>721.29176632980352</v>
      </c>
      <c r="G282" s="9">
        <f t="shared" si="128"/>
        <v>181.76552511511048</v>
      </c>
      <c r="H282">
        <f t="shared" si="129"/>
        <v>90343.236316340553</v>
      </c>
      <c r="K282" t="s">
        <v>6</v>
      </c>
      <c r="L282">
        <v>552</v>
      </c>
      <c r="N282" s="6">
        <f t="shared" si="141"/>
        <v>406.54456342353257</v>
      </c>
      <c r="O282" s="11">
        <f t="shared" si="130"/>
        <v>102.4492299827302</v>
      </c>
      <c r="P282">
        <f t="shared" si="131"/>
        <v>90445.685546323279</v>
      </c>
      <c r="Q282" t="s">
        <v>0</v>
      </c>
      <c r="R282">
        <f t="shared" si="132"/>
        <v>284.21475509784068</v>
      </c>
    </row>
    <row r="283" spans="1:18" x14ac:dyDescent="0.35">
      <c r="A283" t="s">
        <v>286</v>
      </c>
      <c r="B283" t="s">
        <v>5</v>
      </c>
      <c r="C283">
        <v>552</v>
      </c>
      <c r="E283">
        <f t="shared" si="133"/>
        <v>90445.685546323279</v>
      </c>
      <c r="F283" s="8">
        <f t="shared" si="140"/>
        <v>723.5654843705862</v>
      </c>
      <c r="G283" s="9">
        <f t="shared" si="128"/>
        <v>182.33850206138771</v>
      </c>
      <c r="H283">
        <f t="shared" si="129"/>
        <v>90628.024048384672</v>
      </c>
      <c r="K283" t="s">
        <v>6</v>
      </c>
      <c r="L283">
        <v>553</v>
      </c>
      <c r="N283" s="6">
        <f t="shared" si="141"/>
        <v>407.82610821773108</v>
      </c>
      <c r="O283" s="11">
        <f t="shared" si="130"/>
        <v>102.77217927086824</v>
      </c>
      <c r="P283">
        <f t="shared" si="131"/>
        <v>90730.796227655534</v>
      </c>
      <c r="Q283" t="s">
        <v>0</v>
      </c>
      <c r="R283">
        <f t="shared" si="132"/>
        <v>285.11068133225592</v>
      </c>
    </row>
    <row r="284" spans="1:18" s="6" customFormat="1" x14ac:dyDescent="0.35">
      <c r="A284" s="6" t="s">
        <v>287</v>
      </c>
      <c r="B284" s="6" t="s">
        <v>5</v>
      </c>
      <c r="C284" s="6">
        <v>553</v>
      </c>
      <c r="D284" s="7">
        <v>7.0000000000000001E-3</v>
      </c>
      <c r="E284" s="6">
        <f t="shared" si="133"/>
        <v>90730.796227655534</v>
      </c>
      <c r="F284" s="8">
        <f>E284*0.7%</f>
        <v>635.11557359358869</v>
      </c>
      <c r="G284" s="9">
        <f t="shared" si="128"/>
        <v>160.04912454558436</v>
      </c>
      <c r="H284" s="6">
        <f t="shared" si="129"/>
        <v>90890.845352201111</v>
      </c>
      <c r="K284" s="6" t="s">
        <v>6</v>
      </c>
      <c r="L284" s="6">
        <v>554</v>
      </c>
      <c r="M284" s="7">
        <v>3.5000000000108E-3</v>
      </c>
      <c r="N284" s="6">
        <f>H284*0.35%</f>
        <v>318.11795873270387</v>
      </c>
      <c r="O284" s="11">
        <f t="shared" si="130"/>
        <v>80.16572560064138</v>
      </c>
      <c r="P284" s="6">
        <f t="shared" si="131"/>
        <v>90971.011077801755</v>
      </c>
      <c r="Q284" s="6" t="s">
        <v>0</v>
      </c>
      <c r="R284" s="6">
        <f t="shared" si="132"/>
        <v>240.21485014622573</v>
      </c>
    </row>
    <row r="285" spans="1:18" x14ac:dyDescent="0.35">
      <c r="A285" t="s">
        <v>288</v>
      </c>
      <c r="B285" t="s">
        <v>5</v>
      </c>
      <c r="C285">
        <v>554</v>
      </c>
      <c r="E285">
        <f t="shared" si="133"/>
        <v>90971.011077801755</v>
      </c>
      <c r="F285" s="8">
        <f t="shared" ref="F285:F288" si="142">E285*0.7%</f>
        <v>636.79707754461219</v>
      </c>
      <c r="G285" s="9">
        <f t="shared" si="128"/>
        <v>160.47286354124228</v>
      </c>
      <c r="H285">
        <f t="shared" si="129"/>
        <v>91131.483941343002</v>
      </c>
      <c r="K285" t="s">
        <v>6</v>
      </c>
      <c r="L285">
        <v>555</v>
      </c>
      <c r="N285" s="6">
        <f t="shared" ref="N285:N288" si="143">H285*0.35%</f>
        <v>318.9601937947005</v>
      </c>
      <c r="O285" s="11">
        <f t="shared" si="130"/>
        <v>80.377968836264529</v>
      </c>
      <c r="P285">
        <f t="shared" si="131"/>
        <v>91211.861910179272</v>
      </c>
      <c r="Q285" t="s">
        <v>0</v>
      </c>
      <c r="R285">
        <f t="shared" si="132"/>
        <v>240.8508323775068</v>
      </c>
    </row>
    <row r="286" spans="1:18" x14ac:dyDescent="0.35">
      <c r="A286" t="s">
        <v>289</v>
      </c>
      <c r="B286" t="s">
        <v>5</v>
      </c>
      <c r="C286">
        <v>555</v>
      </c>
      <c r="E286">
        <f t="shared" si="133"/>
        <v>91211.861910179272</v>
      </c>
      <c r="F286" s="8">
        <f t="shared" si="142"/>
        <v>638.48303337125481</v>
      </c>
      <c r="G286" s="9">
        <f t="shared" si="128"/>
        <v>160.89772440955622</v>
      </c>
      <c r="H286">
        <f t="shared" si="129"/>
        <v>91372.759634588831</v>
      </c>
      <c r="K286" t="s">
        <v>6</v>
      </c>
      <c r="L286">
        <v>556</v>
      </c>
      <c r="N286" s="6">
        <f t="shared" si="143"/>
        <v>319.80465872106089</v>
      </c>
      <c r="O286" s="11">
        <f t="shared" si="130"/>
        <v>80.590773997707345</v>
      </c>
      <c r="P286">
        <f t="shared" si="131"/>
        <v>91453.350408586542</v>
      </c>
      <c r="Q286" t="s">
        <v>0</v>
      </c>
      <c r="R286">
        <f t="shared" si="132"/>
        <v>241.48849840726356</v>
      </c>
    </row>
    <row r="287" spans="1:18" x14ac:dyDescent="0.35">
      <c r="A287" t="s">
        <v>290</v>
      </c>
      <c r="B287" t="s">
        <v>5</v>
      </c>
      <c r="C287">
        <v>556</v>
      </c>
      <c r="E287">
        <f t="shared" si="133"/>
        <v>91453.350408586542</v>
      </c>
      <c r="F287" s="8">
        <f t="shared" si="142"/>
        <v>640.17345286010573</v>
      </c>
      <c r="G287" s="9">
        <f t="shared" si="128"/>
        <v>161.32371012074665</v>
      </c>
      <c r="H287">
        <f t="shared" si="129"/>
        <v>91614.674118707291</v>
      </c>
      <c r="K287" t="s">
        <v>6</v>
      </c>
      <c r="L287">
        <v>557</v>
      </c>
      <c r="N287" s="6">
        <f t="shared" si="143"/>
        <v>320.6513594154755</v>
      </c>
      <c r="O287" s="11">
        <f t="shared" si="130"/>
        <v>80.804142572699831</v>
      </c>
      <c r="P287">
        <f t="shared" si="131"/>
        <v>91695.47826127999</v>
      </c>
      <c r="Q287" t="s">
        <v>0</v>
      </c>
      <c r="R287">
        <f t="shared" si="132"/>
        <v>242.12785269344647</v>
      </c>
    </row>
    <row r="288" spans="1:18" x14ac:dyDescent="0.35">
      <c r="A288" t="s">
        <v>291</v>
      </c>
      <c r="B288" t="s">
        <v>5</v>
      </c>
      <c r="C288">
        <v>557</v>
      </c>
      <c r="E288">
        <f t="shared" si="133"/>
        <v>91695.47826127999</v>
      </c>
      <c r="F288" s="8">
        <f t="shared" si="142"/>
        <v>641.86834782895983</v>
      </c>
      <c r="G288" s="9">
        <f t="shared" si="128"/>
        <v>161.75082365289788</v>
      </c>
      <c r="H288">
        <f t="shared" si="129"/>
        <v>91857.229084932886</v>
      </c>
      <c r="K288" t="s">
        <v>6</v>
      </c>
      <c r="L288">
        <v>558</v>
      </c>
      <c r="N288" s="6">
        <f t="shared" si="143"/>
        <v>321.50030179726508</v>
      </c>
      <c r="O288" s="11">
        <f t="shared" si="130"/>
        <v>81.0180760529108</v>
      </c>
      <c r="P288">
        <f t="shared" si="131"/>
        <v>91938.247160985789</v>
      </c>
      <c r="Q288" t="s">
        <v>0</v>
      </c>
      <c r="R288">
        <f t="shared" si="132"/>
        <v>242.76889970580868</v>
      </c>
    </row>
    <row r="289" spans="1:18" s="6" customFormat="1" x14ac:dyDescent="0.35">
      <c r="A289" s="6" t="s">
        <v>292</v>
      </c>
      <c r="B289" s="6" t="s">
        <v>5</v>
      </c>
      <c r="C289" s="6">
        <v>558</v>
      </c>
      <c r="D289" s="7">
        <v>6.0000000000000001E-3</v>
      </c>
      <c r="E289" s="6">
        <f t="shared" si="133"/>
        <v>91938.247160985789</v>
      </c>
      <c r="F289" s="8">
        <f>E289*0.6%</f>
        <v>551.6294829659148</v>
      </c>
      <c r="G289" s="9">
        <f t="shared" si="128"/>
        <v>139.01062970741054</v>
      </c>
      <c r="H289" s="6">
        <f t="shared" si="129"/>
        <v>92077.257790693198</v>
      </c>
      <c r="K289" s="6" t="s">
        <v>12</v>
      </c>
      <c r="L289" s="6">
        <v>559</v>
      </c>
      <c r="M289" s="7">
        <v>7.0000000000000001E-3</v>
      </c>
      <c r="N289" s="6">
        <f>H289*0.7%</f>
        <v>644.54080453485233</v>
      </c>
      <c r="O289" s="11">
        <f t="shared" si="130"/>
        <v>162.42428274278279</v>
      </c>
      <c r="P289" s="6">
        <f t="shared" si="131"/>
        <v>92239.682073435979</v>
      </c>
      <c r="Q289" s="6" t="s">
        <v>0</v>
      </c>
      <c r="R289" s="6">
        <f t="shared" si="132"/>
        <v>301.43491245019334</v>
      </c>
    </row>
    <row r="290" spans="1:18" x14ac:dyDescent="0.35">
      <c r="A290" t="s">
        <v>293</v>
      </c>
      <c r="B290" t="s">
        <v>5</v>
      </c>
      <c r="C290">
        <v>559</v>
      </c>
      <c r="E290">
        <f t="shared" si="133"/>
        <v>92239.682073435979</v>
      </c>
      <c r="F290" s="8">
        <f t="shared" ref="F290:F293" si="144">E290*0.6%</f>
        <v>553.43809244061583</v>
      </c>
      <c r="G290" s="9">
        <f t="shared" si="128"/>
        <v>139.46639929503519</v>
      </c>
      <c r="H290">
        <f t="shared" si="129"/>
        <v>92379.148472731016</v>
      </c>
      <c r="K290" t="s">
        <v>12</v>
      </c>
      <c r="L290">
        <v>560</v>
      </c>
      <c r="N290" s="6">
        <f t="shared" ref="N290:N293" si="145">H290*0.7%</f>
        <v>646.65403930911702</v>
      </c>
      <c r="O290" s="11">
        <f t="shared" si="130"/>
        <v>162.95681790589748</v>
      </c>
      <c r="P290">
        <f t="shared" si="131"/>
        <v>92542.105290636915</v>
      </c>
      <c r="Q290" t="s">
        <v>0</v>
      </c>
      <c r="R290">
        <f t="shared" si="132"/>
        <v>302.42321720093264</v>
      </c>
    </row>
    <row r="291" spans="1:18" x14ac:dyDescent="0.35">
      <c r="A291" t="s">
        <v>294</v>
      </c>
      <c r="B291" t="s">
        <v>5</v>
      </c>
      <c r="C291">
        <v>560</v>
      </c>
      <c r="E291">
        <f t="shared" si="133"/>
        <v>92542.105290636915</v>
      </c>
      <c r="F291" s="8">
        <f t="shared" si="144"/>
        <v>555.25263174382155</v>
      </c>
      <c r="G291" s="9">
        <f t="shared" si="128"/>
        <v>139.92366319944304</v>
      </c>
      <c r="H291">
        <f t="shared" si="129"/>
        <v>92682.028953836358</v>
      </c>
      <c r="K291" t="s">
        <v>12</v>
      </c>
      <c r="L291">
        <v>561</v>
      </c>
      <c r="N291" s="6">
        <f t="shared" si="145"/>
        <v>648.77420267685443</v>
      </c>
      <c r="O291" s="11">
        <f t="shared" si="130"/>
        <v>163.49109907456733</v>
      </c>
      <c r="P291">
        <f t="shared" si="131"/>
        <v>92845.520052910928</v>
      </c>
      <c r="Q291" t="s">
        <v>0</v>
      </c>
      <c r="R291">
        <f t="shared" si="132"/>
        <v>303.4147622740104</v>
      </c>
    </row>
    <row r="292" spans="1:18" x14ac:dyDescent="0.35">
      <c r="A292" t="s">
        <v>295</v>
      </c>
      <c r="B292" t="s">
        <v>5</v>
      </c>
      <c r="C292">
        <v>561</v>
      </c>
      <c r="E292">
        <f t="shared" si="133"/>
        <v>92845.520052910928</v>
      </c>
      <c r="F292" s="8">
        <f t="shared" si="144"/>
        <v>557.07312031746562</v>
      </c>
      <c r="G292" s="9">
        <f t="shared" si="128"/>
        <v>140.38242632000134</v>
      </c>
      <c r="H292">
        <f t="shared" si="129"/>
        <v>92985.902479230936</v>
      </c>
      <c r="K292" t="s">
        <v>12</v>
      </c>
      <c r="L292">
        <v>562</v>
      </c>
      <c r="N292" s="6">
        <f t="shared" si="145"/>
        <v>650.90131735461648</v>
      </c>
      <c r="O292" s="11">
        <f t="shared" si="130"/>
        <v>164.02713197336337</v>
      </c>
      <c r="P292">
        <f t="shared" si="131"/>
        <v>93149.929611204294</v>
      </c>
      <c r="Q292" t="s">
        <v>0</v>
      </c>
      <c r="R292">
        <f t="shared" si="132"/>
        <v>304.40955829336474</v>
      </c>
    </row>
    <row r="293" spans="1:18" x14ac:dyDescent="0.35">
      <c r="A293" t="s">
        <v>296</v>
      </c>
      <c r="B293" t="s">
        <v>5</v>
      </c>
      <c r="C293">
        <v>562</v>
      </c>
      <c r="E293">
        <f t="shared" si="133"/>
        <v>93149.929611204294</v>
      </c>
      <c r="F293" s="8">
        <f t="shared" si="144"/>
        <v>558.8995776672258</v>
      </c>
      <c r="G293" s="9">
        <f t="shared" si="128"/>
        <v>140.84269357214089</v>
      </c>
      <c r="H293">
        <f t="shared" si="129"/>
        <v>93290.77230477643</v>
      </c>
      <c r="K293" t="s">
        <v>12</v>
      </c>
      <c r="L293">
        <v>563</v>
      </c>
      <c r="N293" s="6">
        <f t="shared" si="145"/>
        <v>653.03540613343489</v>
      </c>
      <c r="O293" s="11">
        <f t="shared" si="130"/>
        <v>164.5649223456256</v>
      </c>
      <c r="P293">
        <f t="shared" si="131"/>
        <v>93455.337227122058</v>
      </c>
      <c r="Q293" t="s">
        <v>0</v>
      </c>
      <c r="R293">
        <f t="shared" si="132"/>
        <v>305.40761591776652</v>
      </c>
    </row>
    <row r="294" spans="1:18" s="6" customFormat="1" x14ac:dyDescent="0.35">
      <c r="A294" s="6" t="s">
        <v>297</v>
      </c>
      <c r="B294" s="6" t="s">
        <v>6</v>
      </c>
      <c r="C294" s="6">
        <v>563</v>
      </c>
      <c r="D294" s="7">
        <v>5.4999999999999997E-3</v>
      </c>
      <c r="E294" s="6">
        <f t="shared" si="133"/>
        <v>93455.337227122058</v>
      </c>
      <c r="F294" s="8">
        <f t="shared" ref="F294" si="146">E294*0.9%</f>
        <v>841.09803504409865</v>
      </c>
      <c r="G294" s="9">
        <f t="shared" si="128"/>
        <v>211.95670483111286</v>
      </c>
      <c r="H294" s="6">
        <f t="shared" si="129"/>
        <v>93667.293931953172</v>
      </c>
      <c r="K294" s="6" t="s">
        <v>12</v>
      </c>
      <c r="L294" s="6">
        <v>564</v>
      </c>
      <c r="M294" s="7">
        <v>6.0000000000000001E-3</v>
      </c>
      <c r="N294" s="6">
        <f t="shared" ref="N294" si="147">H294*1%</f>
        <v>936.67293931953179</v>
      </c>
      <c r="O294" s="11">
        <f t="shared" si="130"/>
        <v>236.04158070852202</v>
      </c>
      <c r="P294" s="6">
        <f t="shared" si="131"/>
        <v>93903.335512661695</v>
      </c>
      <c r="Q294" s="6" t="s">
        <v>0</v>
      </c>
      <c r="R294" s="6">
        <f t="shared" si="132"/>
        <v>447.99828553963488</v>
      </c>
    </row>
    <row r="295" spans="1:18" x14ac:dyDescent="0.35">
      <c r="A295" t="s">
        <v>298</v>
      </c>
    </row>
    <row r="296" spans="1:18" x14ac:dyDescent="0.35">
      <c r="A296" t="s">
        <v>299</v>
      </c>
    </row>
    <row r="297" spans="1:18" x14ac:dyDescent="0.35">
      <c r="A297" t="s">
        <v>300</v>
      </c>
    </row>
    <row r="298" spans="1:18" x14ac:dyDescent="0.35">
      <c r="A298" t="s">
        <v>301</v>
      </c>
    </row>
    <row r="299" spans="1:18" x14ac:dyDescent="0.35">
      <c r="A299" t="s">
        <v>302</v>
      </c>
    </row>
    <row r="300" spans="1:18" x14ac:dyDescent="0.35">
      <c r="A300" t="s">
        <v>303</v>
      </c>
    </row>
    <row r="301" spans="1:18" x14ac:dyDescent="0.35">
      <c r="A301" t="s">
        <v>304</v>
      </c>
    </row>
    <row r="302" spans="1:18" x14ac:dyDescent="0.35">
      <c r="A302" t="s">
        <v>305</v>
      </c>
    </row>
    <row r="303" spans="1:18" x14ac:dyDescent="0.35">
      <c r="A303" s="20" t="s">
        <v>306</v>
      </c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</row>
    <row r="304" spans="1:18" x14ac:dyDescent="0.35">
      <c r="A304" t="s">
        <v>307</v>
      </c>
    </row>
    <row r="305" spans="1:1" x14ac:dyDescent="0.35">
      <c r="A305" t="s">
        <v>308</v>
      </c>
    </row>
    <row r="306" spans="1:1" x14ac:dyDescent="0.35">
      <c r="A306" t="s">
        <v>309</v>
      </c>
    </row>
    <row r="307" spans="1:1" x14ac:dyDescent="0.35">
      <c r="A307" t="s">
        <v>310</v>
      </c>
    </row>
    <row r="308" spans="1:1" x14ac:dyDescent="0.35">
      <c r="A308" t="s">
        <v>311</v>
      </c>
    </row>
    <row r="309" spans="1:1" x14ac:dyDescent="0.35">
      <c r="A309" t="s">
        <v>312</v>
      </c>
    </row>
    <row r="310" spans="1:1" x14ac:dyDescent="0.35">
      <c r="A310" t="s">
        <v>313</v>
      </c>
    </row>
    <row r="311" spans="1:1" x14ac:dyDescent="0.35">
      <c r="A311" t="s">
        <v>314</v>
      </c>
    </row>
    <row r="312" spans="1:1" x14ac:dyDescent="0.35">
      <c r="A312" t="s">
        <v>315</v>
      </c>
    </row>
    <row r="313" spans="1:1" x14ac:dyDescent="0.35">
      <c r="A313" t="s">
        <v>316</v>
      </c>
    </row>
    <row r="314" spans="1:1" x14ac:dyDescent="0.35">
      <c r="A314" t="s">
        <v>317</v>
      </c>
    </row>
    <row r="315" spans="1:1" x14ac:dyDescent="0.35">
      <c r="A315" t="s">
        <v>318</v>
      </c>
    </row>
    <row r="316" spans="1:1" x14ac:dyDescent="0.35">
      <c r="A316" t="s">
        <v>319</v>
      </c>
    </row>
    <row r="317" spans="1:1" x14ac:dyDescent="0.35">
      <c r="A317" t="s">
        <v>320</v>
      </c>
    </row>
    <row r="318" spans="1:1" x14ac:dyDescent="0.35">
      <c r="A318" t="s">
        <v>321</v>
      </c>
    </row>
    <row r="319" spans="1:1" x14ac:dyDescent="0.35">
      <c r="A319" t="s">
        <v>322</v>
      </c>
    </row>
    <row r="320" spans="1:1" x14ac:dyDescent="0.35">
      <c r="A320" t="s">
        <v>323</v>
      </c>
    </row>
    <row r="321" spans="1:18" x14ac:dyDescent="0.35">
      <c r="A321" t="s">
        <v>324</v>
      </c>
    </row>
    <row r="322" spans="1:18" x14ac:dyDescent="0.35">
      <c r="A322" t="s">
        <v>325</v>
      </c>
    </row>
    <row r="323" spans="1:18" x14ac:dyDescent="0.35">
      <c r="A323" t="s">
        <v>326</v>
      </c>
    </row>
    <row r="324" spans="1:18" x14ac:dyDescent="0.35">
      <c r="A324" t="s">
        <v>327</v>
      </c>
    </row>
    <row r="325" spans="1:18" x14ac:dyDescent="0.35">
      <c r="A325" t="s">
        <v>328</v>
      </c>
    </row>
    <row r="326" spans="1:18" x14ac:dyDescent="0.35">
      <c r="A326" t="s">
        <v>329</v>
      </c>
    </row>
    <row r="327" spans="1:18" x14ac:dyDescent="0.35">
      <c r="A327" t="s">
        <v>330</v>
      </c>
    </row>
    <row r="328" spans="1:18" x14ac:dyDescent="0.35">
      <c r="A328" t="s">
        <v>331</v>
      </c>
    </row>
    <row r="329" spans="1:18" x14ac:dyDescent="0.35">
      <c r="A329" t="s">
        <v>332</v>
      </c>
    </row>
    <row r="330" spans="1:18" x14ac:dyDescent="0.35">
      <c r="A330" t="s">
        <v>333</v>
      </c>
    </row>
    <row r="331" spans="1:18" x14ac:dyDescent="0.35">
      <c r="A331" t="s">
        <v>334</v>
      </c>
    </row>
    <row r="332" spans="1:18" x14ac:dyDescent="0.35">
      <c r="A332" t="s">
        <v>335</v>
      </c>
    </row>
    <row r="333" spans="1:18" x14ac:dyDescent="0.35">
      <c r="A333" s="20" t="s">
        <v>336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</row>
    <row r="334" spans="1:18" x14ac:dyDescent="0.35">
      <c r="A334" t="s">
        <v>337</v>
      </c>
    </row>
    <row r="335" spans="1:18" x14ac:dyDescent="0.35">
      <c r="A335" t="s">
        <v>338</v>
      </c>
    </row>
    <row r="336" spans="1:18" x14ac:dyDescent="0.35">
      <c r="A336" t="s">
        <v>339</v>
      </c>
    </row>
    <row r="337" spans="1:1" x14ac:dyDescent="0.35">
      <c r="A337" t="s">
        <v>340</v>
      </c>
    </row>
    <row r="338" spans="1:1" x14ac:dyDescent="0.35">
      <c r="A338" t="s">
        <v>341</v>
      </c>
    </row>
    <row r="339" spans="1:1" x14ac:dyDescent="0.35">
      <c r="A339" t="s">
        <v>342</v>
      </c>
    </row>
    <row r="340" spans="1:1" x14ac:dyDescent="0.35">
      <c r="A340" t="s">
        <v>343</v>
      </c>
    </row>
    <row r="341" spans="1:1" x14ac:dyDescent="0.35">
      <c r="A341" t="s">
        <v>344</v>
      </c>
    </row>
    <row r="342" spans="1:1" x14ac:dyDescent="0.35">
      <c r="A342" t="s">
        <v>345</v>
      </c>
    </row>
    <row r="343" spans="1:1" x14ac:dyDescent="0.35">
      <c r="A343" t="s">
        <v>346</v>
      </c>
    </row>
    <row r="344" spans="1:1" x14ac:dyDescent="0.35">
      <c r="A344" t="s">
        <v>347</v>
      </c>
    </row>
    <row r="345" spans="1:1" x14ac:dyDescent="0.35">
      <c r="A345" t="s">
        <v>348</v>
      </c>
    </row>
    <row r="346" spans="1:1" x14ac:dyDescent="0.35">
      <c r="A346" t="s">
        <v>349</v>
      </c>
    </row>
    <row r="347" spans="1:1" x14ac:dyDescent="0.35">
      <c r="A347" t="s">
        <v>350</v>
      </c>
    </row>
    <row r="348" spans="1:1" x14ac:dyDescent="0.35">
      <c r="A348" t="s">
        <v>351</v>
      </c>
    </row>
    <row r="349" spans="1:1" x14ac:dyDescent="0.35">
      <c r="A349" t="s">
        <v>352</v>
      </c>
    </row>
    <row r="350" spans="1:1" x14ac:dyDescent="0.35">
      <c r="A350" t="s">
        <v>353</v>
      </c>
    </row>
    <row r="351" spans="1:1" x14ac:dyDescent="0.35">
      <c r="A351" t="s">
        <v>354</v>
      </c>
    </row>
    <row r="352" spans="1:1" x14ac:dyDescent="0.35">
      <c r="A352" t="s">
        <v>355</v>
      </c>
    </row>
    <row r="353" spans="1:18" x14ac:dyDescent="0.35">
      <c r="A353" t="s">
        <v>356</v>
      </c>
    </row>
    <row r="354" spans="1:18" x14ac:dyDescent="0.35">
      <c r="A354" t="s">
        <v>357</v>
      </c>
    </row>
    <row r="355" spans="1:18" x14ac:dyDescent="0.35">
      <c r="A355" t="s">
        <v>358</v>
      </c>
    </row>
    <row r="356" spans="1:18" x14ac:dyDescent="0.35">
      <c r="A356" t="s">
        <v>359</v>
      </c>
    </row>
    <row r="357" spans="1:18" x14ac:dyDescent="0.35">
      <c r="A357" t="s">
        <v>360</v>
      </c>
    </row>
    <row r="358" spans="1:18" x14ac:dyDescent="0.35">
      <c r="A358" t="s">
        <v>361</v>
      </c>
    </row>
    <row r="359" spans="1:18" x14ac:dyDescent="0.35">
      <c r="A359" t="s">
        <v>362</v>
      </c>
    </row>
    <row r="360" spans="1:18" x14ac:dyDescent="0.35">
      <c r="A360" t="s">
        <v>363</v>
      </c>
    </row>
    <row r="361" spans="1:18" x14ac:dyDescent="0.35">
      <c r="A361" t="s">
        <v>364</v>
      </c>
    </row>
    <row r="362" spans="1:18" x14ac:dyDescent="0.35">
      <c r="A362" t="s">
        <v>365</v>
      </c>
    </row>
    <row r="363" spans="1:18" x14ac:dyDescent="0.35">
      <c r="A363" s="20" t="s">
        <v>366</v>
      </c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</row>
    <row r="364" spans="1:18" x14ac:dyDescent="0.35">
      <c r="A364" t="s">
        <v>367</v>
      </c>
    </row>
    <row r="365" spans="1:18" x14ac:dyDescent="0.35">
      <c r="A365" t="s">
        <v>368</v>
      </c>
    </row>
    <row r="366" spans="1:18" x14ac:dyDescent="0.35">
      <c r="A366" t="s">
        <v>369</v>
      </c>
    </row>
    <row r="367" spans="1:18" x14ac:dyDescent="0.35">
      <c r="A367" t="s">
        <v>370</v>
      </c>
    </row>
    <row r="368" spans="1:18" x14ac:dyDescent="0.35">
      <c r="A368" t="s">
        <v>371</v>
      </c>
    </row>
    <row r="369" spans="1:1" x14ac:dyDescent="0.35">
      <c r="A369" t="s">
        <v>372</v>
      </c>
    </row>
    <row r="370" spans="1:1" x14ac:dyDescent="0.35">
      <c r="A370" t="s">
        <v>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70"/>
  <sheetViews>
    <sheetView tabSelected="1" workbookViewId="0">
      <selection activeCell="C12" sqref="C12"/>
    </sheetView>
  </sheetViews>
  <sheetFormatPr defaultRowHeight="14.5" x14ac:dyDescent="0.35"/>
  <cols>
    <col min="18" max="18" width="13.7265625" bestFit="1" customWidth="1"/>
  </cols>
  <sheetData>
    <row r="2" spans="1:18" x14ac:dyDescent="0.35">
      <c r="B2" t="s">
        <v>2379</v>
      </c>
      <c r="D2" s="1"/>
      <c r="E2" s="1" t="s">
        <v>2</v>
      </c>
      <c r="F2" s="1" t="s">
        <v>2376</v>
      </c>
      <c r="G2" s="2" t="s">
        <v>2377</v>
      </c>
      <c r="H2" s="1" t="s">
        <v>2378</v>
      </c>
      <c r="I2" s="1"/>
      <c r="J2" s="1"/>
      <c r="K2" s="1" t="s">
        <v>2381</v>
      </c>
      <c r="L2" s="1"/>
      <c r="M2" s="1"/>
      <c r="N2" s="1" t="s">
        <v>2376</v>
      </c>
      <c r="O2" s="2" t="s">
        <v>2377</v>
      </c>
      <c r="P2" s="1" t="s">
        <v>2378</v>
      </c>
      <c r="Q2" s="1"/>
      <c r="R2" s="1"/>
    </row>
    <row r="3" spans="1:18" x14ac:dyDescent="0.35">
      <c r="B3" t="s">
        <v>2380</v>
      </c>
      <c r="C3" s="3" t="s">
        <v>1</v>
      </c>
      <c r="E3" t="s">
        <v>0</v>
      </c>
      <c r="F3" s="4" t="s">
        <v>0</v>
      </c>
      <c r="G3" s="5">
        <v>0.25119999999999998</v>
      </c>
      <c r="K3" t="s">
        <v>2380</v>
      </c>
      <c r="L3" s="3" t="s">
        <v>1</v>
      </c>
      <c r="N3" s="4" t="s">
        <v>0</v>
      </c>
      <c r="O3" s="4">
        <v>0.25059999999999999</v>
      </c>
      <c r="R3" t="s">
        <v>3</v>
      </c>
    </row>
    <row r="4" spans="1:18" s="6" customFormat="1" x14ac:dyDescent="0.35">
      <c r="A4" s="6" t="s">
        <v>4</v>
      </c>
      <c r="B4" s="6" t="s">
        <v>5</v>
      </c>
      <c r="C4" s="6">
        <v>1</v>
      </c>
      <c r="D4" s="7">
        <v>1.5E-3</v>
      </c>
      <c r="E4" s="6">
        <v>55000</v>
      </c>
      <c r="F4" s="8">
        <f>E4*0.15%</f>
        <v>82.5</v>
      </c>
      <c r="G4" s="9">
        <f>F4*25.2%</f>
        <v>20.79</v>
      </c>
      <c r="H4" s="6">
        <f>G4+E4</f>
        <v>55020.79</v>
      </c>
      <c r="I4" s="10">
        <v>0.27</v>
      </c>
      <c r="J4" s="10"/>
      <c r="K4" s="10" t="s">
        <v>6</v>
      </c>
      <c r="L4" s="6">
        <v>2</v>
      </c>
      <c r="M4" s="7">
        <v>1E-3</v>
      </c>
      <c r="N4" s="6">
        <f>H4*0.1%</f>
        <v>55.020790000000005</v>
      </c>
      <c r="O4" s="11">
        <f>N4*25.2%</f>
        <v>13.865239080000002</v>
      </c>
      <c r="P4" s="6">
        <f>O4+H4</f>
        <v>55034.655239079999</v>
      </c>
      <c r="Q4" s="12">
        <v>0.35</v>
      </c>
      <c r="R4" s="6">
        <f>O4+G4</f>
        <v>34.655239080000001</v>
      </c>
    </row>
    <row r="5" spans="1:18" x14ac:dyDescent="0.35">
      <c r="A5" t="s">
        <v>7</v>
      </c>
      <c r="B5" t="s">
        <v>5</v>
      </c>
      <c r="C5">
        <v>3</v>
      </c>
      <c r="E5">
        <f>P4</f>
        <v>55034.655239079999</v>
      </c>
      <c r="F5" s="8">
        <f t="shared" ref="F5:F8" si="0">E5*0.15%</f>
        <v>82.551982858619994</v>
      </c>
      <c r="G5" s="9">
        <f t="shared" ref="G5:G68" si="1">F5*25.2%</f>
        <v>20.803099680372238</v>
      </c>
      <c r="H5">
        <f t="shared" ref="H5:H68" si="2">G5+E5</f>
        <v>55055.458338760371</v>
      </c>
      <c r="K5" t="s">
        <v>6</v>
      </c>
      <c r="L5">
        <v>4</v>
      </c>
      <c r="N5" s="6">
        <f t="shared" ref="N5:N8" si="3">H5*0.1%</f>
        <v>55.055458338760374</v>
      </c>
      <c r="O5" s="11">
        <f t="shared" ref="O5:O68" si="4">N5*25.2%</f>
        <v>13.873975501367614</v>
      </c>
      <c r="P5">
        <f t="shared" ref="P5:P68" si="5">O5+H5</f>
        <v>55069.332314261737</v>
      </c>
      <c r="R5">
        <f t="shared" ref="R5:R68" si="6">O5+G5</f>
        <v>34.677075181739852</v>
      </c>
    </row>
    <row r="6" spans="1:18" x14ac:dyDescent="0.35">
      <c r="A6" t="s">
        <v>8</v>
      </c>
      <c r="B6" t="s">
        <v>5</v>
      </c>
      <c r="C6">
        <v>5</v>
      </c>
      <c r="E6">
        <f t="shared" ref="E6:E69" si="7">P5</f>
        <v>55069.332314261737</v>
      </c>
      <c r="F6" s="8">
        <f t="shared" si="0"/>
        <v>82.603998471392615</v>
      </c>
      <c r="G6" s="9">
        <f t="shared" si="1"/>
        <v>20.81620761479094</v>
      </c>
      <c r="H6">
        <f t="shared" si="2"/>
        <v>55090.14852187653</v>
      </c>
      <c r="K6" t="s">
        <v>6</v>
      </c>
      <c r="L6">
        <v>6</v>
      </c>
      <c r="N6" s="6">
        <f t="shared" si="3"/>
        <v>55.090148521876529</v>
      </c>
      <c r="O6" s="11">
        <f t="shared" si="4"/>
        <v>13.882717427512885</v>
      </c>
      <c r="P6">
        <f t="shared" si="5"/>
        <v>55104.031239304044</v>
      </c>
      <c r="R6">
        <f t="shared" si="6"/>
        <v>34.698925042303827</v>
      </c>
    </row>
    <row r="7" spans="1:18" x14ac:dyDescent="0.35">
      <c r="A7" t="s">
        <v>9</v>
      </c>
      <c r="B7" t="s">
        <v>5</v>
      </c>
      <c r="C7">
        <v>7</v>
      </c>
      <c r="E7">
        <f t="shared" si="7"/>
        <v>55104.031239304044</v>
      </c>
      <c r="F7" s="8">
        <f t="shared" si="0"/>
        <v>82.656046858956074</v>
      </c>
      <c r="G7" s="9">
        <f t="shared" si="1"/>
        <v>20.82932380845693</v>
      </c>
      <c r="H7">
        <f t="shared" si="2"/>
        <v>55124.860563112503</v>
      </c>
      <c r="K7" t="s">
        <v>6</v>
      </c>
      <c r="L7">
        <v>8</v>
      </c>
      <c r="N7" s="6">
        <f t="shared" si="3"/>
        <v>55.124860563112506</v>
      </c>
      <c r="O7" s="11">
        <f t="shared" si="4"/>
        <v>13.891464861904351</v>
      </c>
      <c r="P7">
        <f t="shared" si="5"/>
        <v>55138.752027974406</v>
      </c>
      <c r="R7">
        <f t="shared" si="6"/>
        <v>34.72078867036128</v>
      </c>
    </row>
    <row r="8" spans="1:18" x14ac:dyDescent="0.35">
      <c r="A8" t="s">
        <v>10</v>
      </c>
      <c r="B8" t="s">
        <v>5</v>
      </c>
      <c r="C8">
        <v>9</v>
      </c>
      <c r="E8">
        <f t="shared" si="7"/>
        <v>55138.752027974406</v>
      </c>
      <c r="F8" s="8">
        <f t="shared" si="0"/>
        <v>82.708128041961615</v>
      </c>
      <c r="G8" s="9">
        <f t="shared" si="1"/>
        <v>20.842448266574326</v>
      </c>
      <c r="H8">
        <f t="shared" si="2"/>
        <v>55159.594476240978</v>
      </c>
      <c r="K8" t="s">
        <v>6</v>
      </c>
      <c r="L8">
        <v>10</v>
      </c>
      <c r="N8" s="6">
        <f t="shared" si="3"/>
        <v>55.159594476240976</v>
      </c>
      <c r="O8" s="11">
        <f t="shared" si="4"/>
        <v>13.900217808012727</v>
      </c>
      <c r="P8">
        <f t="shared" si="5"/>
        <v>55173.49469404899</v>
      </c>
      <c r="R8">
        <f t="shared" si="6"/>
        <v>34.742666074587049</v>
      </c>
    </row>
    <row r="9" spans="1:18" s="6" customFormat="1" x14ac:dyDescent="0.35">
      <c r="A9" s="6" t="s">
        <v>11</v>
      </c>
      <c r="B9" s="6" t="s">
        <v>6</v>
      </c>
      <c r="C9" s="6">
        <v>11</v>
      </c>
      <c r="D9" s="7">
        <v>5.0000000000000001E-4</v>
      </c>
      <c r="E9" s="6">
        <f t="shared" si="7"/>
        <v>55173.49469404899</v>
      </c>
      <c r="F9" s="8">
        <f>E9*0.05%</f>
        <v>27.586747347024495</v>
      </c>
      <c r="G9" s="9">
        <f t="shared" si="1"/>
        <v>6.951860331450173</v>
      </c>
      <c r="H9" s="6">
        <f t="shared" si="2"/>
        <v>55180.44655438044</v>
      </c>
      <c r="K9" s="6" t="s">
        <v>12</v>
      </c>
      <c r="L9" s="6">
        <v>12</v>
      </c>
      <c r="M9" s="7">
        <v>2E-3</v>
      </c>
      <c r="N9" s="6">
        <f>H9*0.2%</f>
        <v>110.36089310876088</v>
      </c>
      <c r="O9" s="11">
        <f t="shared" si="4"/>
        <v>27.81094506340774</v>
      </c>
      <c r="P9" s="6">
        <f t="shared" si="5"/>
        <v>55208.257499443847</v>
      </c>
      <c r="R9" s="6">
        <f t="shared" si="6"/>
        <v>34.762805394857914</v>
      </c>
    </row>
    <row r="10" spans="1:18" x14ac:dyDescent="0.35">
      <c r="A10" t="s">
        <v>13</v>
      </c>
      <c r="B10" t="s">
        <v>6</v>
      </c>
      <c r="C10">
        <v>13</v>
      </c>
      <c r="E10">
        <f t="shared" si="7"/>
        <v>55208.257499443847</v>
      </c>
      <c r="F10" s="8">
        <f t="shared" ref="F10:F13" si="8">E10*0.05%</f>
        <v>27.604128749721923</v>
      </c>
      <c r="G10" s="9">
        <f t="shared" si="1"/>
        <v>6.9562404449299242</v>
      </c>
      <c r="H10">
        <f t="shared" si="2"/>
        <v>55215.213739888779</v>
      </c>
      <c r="K10" t="s">
        <v>12</v>
      </c>
      <c r="L10">
        <v>14</v>
      </c>
      <c r="N10" s="6">
        <f t="shared" ref="N10:N13" si="9">H10*0.2%</f>
        <v>110.43042747977756</v>
      </c>
      <c r="O10" s="11">
        <f t="shared" si="4"/>
        <v>27.828467724903945</v>
      </c>
      <c r="P10">
        <f t="shared" si="5"/>
        <v>55243.042207613682</v>
      </c>
      <c r="R10">
        <f t="shared" si="6"/>
        <v>34.78470816983387</v>
      </c>
    </row>
    <row r="11" spans="1:18" x14ac:dyDescent="0.35">
      <c r="A11" t="s">
        <v>14</v>
      </c>
      <c r="B11" t="s">
        <v>6</v>
      </c>
      <c r="C11">
        <v>15</v>
      </c>
      <c r="E11">
        <f t="shared" si="7"/>
        <v>55243.042207613682</v>
      </c>
      <c r="F11" s="8">
        <f t="shared" si="8"/>
        <v>27.621521103806842</v>
      </c>
      <c r="G11" s="9">
        <f t="shared" si="1"/>
        <v>6.9606233181593238</v>
      </c>
      <c r="H11">
        <f t="shared" si="2"/>
        <v>55250.002830931844</v>
      </c>
      <c r="K11" t="s">
        <v>12</v>
      </c>
      <c r="L11">
        <v>16</v>
      </c>
      <c r="N11" s="6">
        <f t="shared" si="9"/>
        <v>110.5000056618637</v>
      </c>
      <c r="O11" s="11">
        <f t="shared" si="4"/>
        <v>27.846001426789652</v>
      </c>
      <c r="P11">
        <f t="shared" si="5"/>
        <v>55277.848832358635</v>
      </c>
      <c r="R11">
        <f t="shared" si="6"/>
        <v>34.806624744948977</v>
      </c>
    </row>
    <row r="12" spans="1:18" x14ac:dyDescent="0.35">
      <c r="A12" t="s">
        <v>15</v>
      </c>
      <c r="B12" t="s">
        <v>6</v>
      </c>
      <c r="C12">
        <v>17</v>
      </c>
      <c r="E12">
        <f t="shared" si="7"/>
        <v>55277.848832358635</v>
      </c>
      <c r="F12" s="8">
        <f t="shared" si="8"/>
        <v>27.638924416179318</v>
      </c>
      <c r="G12" s="9">
        <f t="shared" si="1"/>
        <v>6.9650089528771879</v>
      </c>
      <c r="H12">
        <f t="shared" si="2"/>
        <v>55284.813841311516</v>
      </c>
      <c r="K12" t="s">
        <v>12</v>
      </c>
      <c r="L12">
        <v>18</v>
      </c>
      <c r="N12" s="6">
        <f t="shared" si="9"/>
        <v>110.56962768262304</v>
      </c>
      <c r="O12" s="11">
        <f t="shared" si="4"/>
        <v>27.863546176021007</v>
      </c>
      <c r="P12">
        <f t="shared" si="5"/>
        <v>55312.677387487536</v>
      </c>
      <c r="R12">
        <f t="shared" si="6"/>
        <v>34.828555128898195</v>
      </c>
    </row>
    <row r="13" spans="1:18" x14ac:dyDescent="0.35">
      <c r="A13" t="s">
        <v>16</v>
      </c>
      <c r="B13" t="s">
        <v>6</v>
      </c>
      <c r="C13">
        <v>19</v>
      </c>
      <c r="E13">
        <f t="shared" si="7"/>
        <v>55312.677387487536</v>
      </c>
      <c r="F13" s="8">
        <f t="shared" si="8"/>
        <v>27.65633869374377</v>
      </c>
      <c r="G13" s="9">
        <f t="shared" si="1"/>
        <v>6.9693973508234297</v>
      </c>
      <c r="H13">
        <f t="shared" si="2"/>
        <v>55319.646784838362</v>
      </c>
      <c r="K13" t="s">
        <v>12</v>
      </c>
      <c r="L13">
        <v>20</v>
      </c>
      <c r="N13" s="6">
        <f t="shared" si="9"/>
        <v>110.63929356967672</v>
      </c>
      <c r="O13" s="11">
        <f t="shared" si="4"/>
        <v>27.881101979558533</v>
      </c>
      <c r="P13">
        <f t="shared" si="5"/>
        <v>55347.527886817923</v>
      </c>
      <c r="R13">
        <f t="shared" si="6"/>
        <v>34.850499330381965</v>
      </c>
    </row>
    <row r="14" spans="1:18" s="6" customFormat="1" x14ac:dyDescent="0.35">
      <c r="A14" s="6" t="s">
        <v>17</v>
      </c>
      <c r="B14" s="6" t="s">
        <v>6</v>
      </c>
      <c r="C14" s="6">
        <v>21</v>
      </c>
      <c r="D14" s="7">
        <v>1.5E-3</v>
      </c>
      <c r="E14" s="6">
        <f t="shared" si="7"/>
        <v>55347.527886817923</v>
      </c>
      <c r="F14" s="8">
        <f>E14*0.15%</f>
        <v>83.021291830226886</v>
      </c>
      <c r="G14" s="9">
        <f t="shared" si="1"/>
        <v>20.921365541217174</v>
      </c>
      <c r="H14" s="6">
        <f t="shared" si="2"/>
        <v>55368.44925235914</v>
      </c>
      <c r="K14" s="6" t="s">
        <v>6</v>
      </c>
      <c r="L14" s="6">
        <v>22</v>
      </c>
      <c r="M14" s="7">
        <v>1E-3</v>
      </c>
      <c r="N14" s="6">
        <f>H14*0.1%</f>
        <v>55.368449252359142</v>
      </c>
      <c r="O14" s="11">
        <f t="shared" si="4"/>
        <v>13.952849211594504</v>
      </c>
      <c r="P14" s="6">
        <f t="shared" si="5"/>
        <v>55382.402101570733</v>
      </c>
      <c r="R14" s="6">
        <f t="shared" si="6"/>
        <v>34.874214752811682</v>
      </c>
    </row>
    <row r="15" spans="1:18" x14ac:dyDescent="0.35">
      <c r="A15" t="s">
        <v>18</v>
      </c>
      <c r="B15" t="s">
        <v>6</v>
      </c>
      <c r="C15">
        <v>23</v>
      </c>
      <c r="E15">
        <f t="shared" si="7"/>
        <v>55382.402101570733</v>
      </c>
      <c r="F15" s="8">
        <f t="shared" ref="F15:F18" si="10">E15*0.15%</f>
        <v>83.0736031523561</v>
      </c>
      <c r="G15" s="9">
        <f t="shared" si="1"/>
        <v>20.934547994393736</v>
      </c>
      <c r="H15">
        <f t="shared" si="2"/>
        <v>55403.336649565128</v>
      </c>
      <c r="K15" t="s">
        <v>6</v>
      </c>
      <c r="L15">
        <v>24</v>
      </c>
      <c r="N15" s="6">
        <f t="shared" ref="N15:N18" si="11">H15*0.1%</f>
        <v>55.403336649565126</v>
      </c>
      <c r="O15" s="11">
        <f t="shared" si="4"/>
        <v>13.961640835690412</v>
      </c>
      <c r="P15">
        <f t="shared" si="5"/>
        <v>55417.298290400817</v>
      </c>
      <c r="R15">
        <f t="shared" si="6"/>
        <v>34.896188830084149</v>
      </c>
    </row>
    <row r="16" spans="1:18" x14ac:dyDescent="0.35">
      <c r="A16" t="s">
        <v>19</v>
      </c>
      <c r="B16" t="s">
        <v>6</v>
      </c>
      <c r="C16">
        <v>25</v>
      </c>
      <c r="E16">
        <f t="shared" si="7"/>
        <v>55417.298290400817</v>
      </c>
      <c r="F16" s="8">
        <f t="shared" si="10"/>
        <v>83.125947435601233</v>
      </c>
      <c r="G16" s="9">
        <f t="shared" si="1"/>
        <v>20.94773875377151</v>
      </c>
      <c r="H16">
        <f t="shared" si="2"/>
        <v>55438.246029154587</v>
      </c>
      <c r="K16" t="s">
        <v>6</v>
      </c>
      <c r="L16">
        <v>26</v>
      </c>
      <c r="N16" s="6">
        <f t="shared" si="11"/>
        <v>55.438246029154591</v>
      </c>
      <c r="O16" s="11">
        <f t="shared" si="4"/>
        <v>13.970437999346958</v>
      </c>
      <c r="P16">
        <f t="shared" si="5"/>
        <v>55452.216467153936</v>
      </c>
      <c r="R16">
        <f t="shared" si="6"/>
        <v>34.918176753118466</v>
      </c>
    </row>
    <row r="17" spans="1:18" x14ac:dyDescent="0.35">
      <c r="A17" t="s">
        <v>20</v>
      </c>
      <c r="B17" t="s">
        <v>6</v>
      </c>
      <c r="C17">
        <v>27</v>
      </c>
      <c r="E17">
        <f t="shared" si="7"/>
        <v>55452.216467153936</v>
      </c>
      <c r="F17" s="8">
        <f t="shared" si="10"/>
        <v>83.178324700730911</v>
      </c>
      <c r="G17" s="9">
        <f t="shared" si="1"/>
        <v>20.960937824584189</v>
      </c>
      <c r="H17">
        <f t="shared" si="2"/>
        <v>55473.177404978524</v>
      </c>
      <c r="K17" t="s">
        <v>6</v>
      </c>
      <c r="L17">
        <v>28</v>
      </c>
      <c r="N17" s="6">
        <f t="shared" si="11"/>
        <v>55.473177404978522</v>
      </c>
      <c r="O17" s="11">
        <f t="shared" si="4"/>
        <v>13.979240706054588</v>
      </c>
      <c r="P17">
        <f t="shared" si="5"/>
        <v>55487.156645684576</v>
      </c>
      <c r="R17">
        <f t="shared" si="6"/>
        <v>34.940178530638775</v>
      </c>
    </row>
    <row r="18" spans="1:18" x14ac:dyDescent="0.35">
      <c r="A18" t="s">
        <v>21</v>
      </c>
      <c r="B18" t="s">
        <v>6</v>
      </c>
      <c r="C18">
        <v>29</v>
      </c>
      <c r="E18">
        <f t="shared" si="7"/>
        <v>55487.156645684576</v>
      </c>
      <c r="F18" s="8">
        <f t="shared" si="10"/>
        <v>83.23073496852686</v>
      </c>
      <c r="G18" s="9">
        <f t="shared" si="1"/>
        <v>20.97414521206877</v>
      </c>
      <c r="H18">
        <f t="shared" si="2"/>
        <v>55508.130790896641</v>
      </c>
      <c r="K18" t="s">
        <v>6</v>
      </c>
      <c r="L18">
        <v>30</v>
      </c>
      <c r="N18" s="6">
        <f t="shared" si="11"/>
        <v>55.508130790896644</v>
      </c>
      <c r="O18" s="11">
        <f t="shared" si="4"/>
        <v>13.988048959305955</v>
      </c>
      <c r="P18">
        <f t="shared" si="5"/>
        <v>55522.118839855946</v>
      </c>
      <c r="R18">
        <f t="shared" si="6"/>
        <v>34.962194171374726</v>
      </c>
    </row>
    <row r="19" spans="1:18" s="6" customFormat="1" x14ac:dyDescent="0.35">
      <c r="A19" s="6" t="s">
        <v>22</v>
      </c>
      <c r="B19" s="6" t="s">
        <v>5</v>
      </c>
      <c r="C19" s="6">
        <v>31</v>
      </c>
      <c r="D19" s="7">
        <v>2E-3</v>
      </c>
      <c r="E19" s="6">
        <f t="shared" si="7"/>
        <v>55522.118839855946</v>
      </c>
      <c r="F19" s="8">
        <f>E19*0.2%</f>
        <v>111.0442376797119</v>
      </c>
      <c r="G19" s="9">
        <f t="shared" si="1"/>
        <v>27.983147895287399</v>
      </c>
      <c r="H19" s="6">
        <f t="shared" si="2"/>
        <v>55550.10198775123</v>
      </c>
      <c r="K19" s="6" t="s">
        <v>12</v>
      </c>
      <c r="L19" s="6">
        <v>32</v>
      </c>
      <c r="M19" s="7">
        <v>2.5000000000000001E-3</v>
      </c>
      <c r="N19" s="6">
        <f>H19*0.25%</f>
        <v>138.87525496937809</v>
      </c>
      <c r="O19" s="11">
        <f t="shared" si="4"/>
        <v>34.996564252283278</v>
      </c>
      <c r="P19" s="6">
        <f t="shared" si="5"/>
        <v>55585.09855200351</v>
      </c>
      <c r="R19" s="6">
        <f t="shared" si="6"/>
        <v>62.97971214757068</v>
      </c>
    </row>
    <row r="20" spans="1:18" x14ac:dyDescent="0.35">
      <c r="A20" t="s">
        <v>23</v>
      </c>
      <c r="B20" t="s">
        <v>5</v>
      </c>
      <c r="C20">
        <v>33</v>
      </c>
      <c r="E20">
        <f t="shared" si="7"/>
        <v>55585.09855200351</v>
      </c>
      <c r="F20" s="8">
        <f t="shared" ref="F20:F23" si="12">E20*0.2%</f>
        <v>111.17019710400702</v>
      </c>
      <c r="G20" s="9">
        <f t="shared" si="1"/>
        <v>28.014889670209769</v>
      </c>
      <c r="H20">
        <f t="shared" si="2"/>
        <v>55613.113441673719</v>
      </c>
      <c r="K20" t="s">
        <v>12</v>
      </c>
      <c r="L20">
        <v>34</v>
      </c>
      <c r="N20" s="6">
        <f t="shared" ref="N20:N23" si="13">H20*0.25%</f>
        <v>139.03278360418429</v>
      </c>
      <c r="O20" s="11">
        <f t="shared" si="4"/>
        <v>35.036261468254438</v>
      </c>
      <c r="P20">
        <f t="shared" si="5"/>
        <v>55648.149703141971</v>
      </c>
      <c r="R20">
        <f t="shared" si="6"/>
        <v>63.051151138464206</v>
      </c>
    </row>
    <row r="21" spans="1:18" x14ac:dyDescent="0.35">
      <c r="A21" t="s">
        <v>24</v>
      </c>
      <c r="B21" t="s">
        <v>5</v>
      </c>
      <c r="C21">
        <v>35</v>
      </c>
      <c r="E21">
        <f t="shared" si="7"/>
        <v>55648.149703141971</v>
      </c>
      <c r="F21" s="8">
        <f t="shared" si="12"/>
        <v>111.29629940628395</v>
      </c>
      <c r="G21" s="9">
        <f t="shared" si="1"/>
        <v>28.046667450383556</v>
      </c>
      <c r="H21">
        <f t="shared" si="2"/>
        <v>55676.196370592355</v>
      </c>
      <c r="K21" t="s">
        <v>12</v>
      </c>
      <c r="L21">
        <v>36</v>
      </c>
      <c r="N21" s="6">
        <f t="shared" si="13"/>
        <v>139.19049092648089</v>
      </c>
      <c r="O21" s="11">
        <f t="shared" si="4"/>
        <v>35.076003713473185</v>
      </c>
      <c r="P21">
        <f t="shared" si="5"/>
        <v>55711.27237430583</v>
      </c>
      <c r="R21">
        <f t="shared" si="6"/>
        <v>63.122671163856737</v>
      </c>
    </row>
    <row r="22" spans="1:18" x14ac:dyDescent="0.35">
      <c r="A22" t="s">
        <v>25</v>
      </c>
      <c r="B22" t="s">
        <v>5</v>
      </c>
      <c r="C22">
        <v>37</v>
      </c>
      <c r="E22">
        <f t="shared" si="7"/>
        <v>55711.27237430583</v>
      </c>
      <c r="F22" s="8">
        <f t="shared" si="12"/>
        <v>111.42254474861166</v>
      </c>
      <c r="G22" s="9">
        <f t="shared" si="1"/>
        <v>28.078481276650137</v>
      </c>
      <c r="H22">
        <f t="shared" si="2"/>
        <v>55739.350855582481</v>
      </c>
      <c r="K22" t="s">
        <v>12</v>
      </c>
      <c r="L22">
        <v>38</v>
      </c>
      <c r="N22" s="6">
        <f t="shared" si="13"/>
        <v>139.34837713895621</v>
      </c>
      <c r="O22" s="11">
        <f t="shared" si="4"/>
        <v>35.115791039016962</v>
      </c>
      <c r="P22">
        <f t="shared" si="5"/>
        <v>55774.466646621499</v>
      </c>
      <c r="R22">
        <f t="shared" si="6"/>
        <v>63.194272315667099</v>
      </c>
    </row>
    <row r="23" spans="1:18" x14ac:dyDescent="0.35">
      <c r="A23" t="s">
        <v>26</v>
      </c>
      <c r="B23" t="s">
        <v>5</v>
      </c>
      <c r="C23">
        <v>39</v>
      </c>
      <c r="E23">
        <f t="shared" si="7"/>
        <v>55774.466646621499</v>
      </c>
      <c r="F23" s="8">
        <f t="shared" si="12"/>
        <v>111.548933293243</v>
      </c>
      <c r="G23" s="9">
        <f t="shared" si="1"/>
        <v>28.110331189897234</v>
      </c>
      <c r="H23">
        <f t="shared" si="2"/>
        <v>55802.576977811397</v>
      </c>
      <c r="K23" t="s">
        <v>12</v>
      </c>
      <c r="L23">
        <v>40</v>
      </c>
      <c r="N23" s="6">
        <f t="shared" si="13"/>
        <v>139.50644244452849</v>
      </c>
      <c r="O23" s="11">
        <f t="shared" si="4"/>
        <v>35.155623496021178</v>
      </c>
      <c r="P23">
        <f t="shared" si="5"/>
        <v>55837.73260130742</v>
      </c>
      <c r="R23">
        <f t="shared" si="6"/>
        <v>63.265954685918416</v>
      </c>
    </row>
    <row r="24" spans="1:18" s="6" customFormat="1" x14ac:dyDescent="0.35">
      <c r="A24" s="6" t="s">
        <v>27</v>
      </c>
      <c r="B24" s="6" t="s">
        <v>5</v>
      </c>
      <c r="C24" s="6">
        <v>41</v>
      </c>
      <c r="D24" s="7">
        <v>2.5000000000000001E-3</v>
      </c>
      <c r="E24" s="6">
        <f t="shared" si="7"/>
        <v>55837.73260130742</v>
      </c>
      <c r="F24" s="8">
        <f>E24*0.25%</f>
        <v>139.59433150326856</v>
      </c>
      <c r="G24" s="9">
        <f t="shared" si="1"/>
        <v>35.177771538823677</v>
      </c>
      <c r="H24" s="6">
        <f t="shared" si="2"/>
        <v>55872.910372846243</v>
      </c>
      <c r="K24" s="6" t="s">
        <v>6</v>
      </c>
      <c r="L24" s="6">
        <v>42</v>
      </c>
      <c r="M24" s="7">
        <v>2E-3</v>
      </c>
      <c r="N24" s="6">
        <f>H24*0.2%</f>
        <v>111.74582074569248</v>
      </c>
      <c r="O24" s="11">
        <f t="shared" si="4"/>
        <v>28.159946827914506</v>
      </c>
      <c r="P24" s="6">
        <f t="shared" si="5"/>
        <v>55901.07031967416</v>
      </c>
      <c r="R24" s="6">
        <f t="shared" si="6"/>
        <v>63.337718366738187</v>
      </c>
    </row>
    <row r="25" spans="1:18" x14ac:dyDescent="0.35">
      <c r="A25" t="s">
        <v>28</v>
      </c>
      <c r="B25" t="s">
        <v>5</v>
      </c>
      <c r="C25">
        <v>43</v>
      </c>
      <c r="E25">
        <f t="shared" si="7"/>
        <v>55901.07031967416</v>
      </c>
      <c r="F25" s="8">
        <f t="shared" ref="F25:F28" si="14">E25*0.25%</f>
        <v>139.7526757991854</v>
      </c>
      <c r="G25" s="9">
        <f t="shared" si="1"/>
        <v>35.217674301394723</v>
      </c>
      <c r="H25">
        <f t="shared" si="2"/>
        <v>55936.287993975551</v>
      </c>
      <c r="K25" t="s">
        <v>6</v>
      </c>
      <c r="L25">
        <v>44</v>
      </c>
      <c r="N25" s="6">
        <f t="shared" ref="N25:N28" si="15">H25*0.2%</f>
        <v>111.87257598795111</v>
      </c>
      <c r="O25" s="11">
        <f t="shared" si="4"/>
        <v>28.191889148963678</v>
      </c>
      <c r="P25">
        <f t="shared" si="5"/>
        <v>55964.479883124513</v>
      </c>
      <c r="R25">
        <f t="shared" si="6"/>
        <v>63.409563450358405</v>
      </c>
    </row>
    <row r="26" spans="1:18" x14ac:dyDescent="0.35">
      <c r="A26" t="s">
        <v>29</v>
      </c>
      <c r="B26" t="s">
        <v>5</v>
      </c>
      <c r="C26">
        <v>45</v>
      </c>
      <c r="E26">
        <f t="shared" si="7"/>
        <v>55964.479883124513</v>
      </c>
      <c r="F26" s="8">
        <f t="shared" si="14"/>
        <v>139.91119970781128</v>
      </c>
      <c r="G26" s="9">
        <f t="shared" si="1"/>
        <v>35.257622326368441</v>
      </c>
      <c r="H26">
        <f t="shared" si="2"/>
        <v>55999.737505450881</v>
      </c>
      <c r="K26" t="s">
        <v>6</v>
      </c>
      <c r="L26">
        <v>46</v>
      </c>
      <c r="N26" s="6">
        <f t="shared" si="15"/>
        <v>111.99947501090176</v>
      </c>
      <c r="O26" s="11">
        <f t="shared" si="4"/>
        <v>28.223867702747246</v>
      </c>
      <c r="P26">
        <f t="shared" si="5"/>
        <v>56027.96137315363</v>
      </c>
      <c r="R26">
        <f t="shared" si="6"/>
        <v>63.48149002911569</v>
      </c>
    </row>
    <row r="27" spans="1:18" x14ac:dyDescent="0.35">
      <c r="A27" t="s">
        <v>30</v>
      </c>
      <c r="B27" t="s">
        <v>5</v>
      </c>
      <c r="C27">
        <v>47</v>
      </c>
      <c r="E27">
        <f t="shared" si="7"/>
        <v>56027.96137315363</v>
      </c>
      <c r="F27" s="8">
        <f t="shared" si="14"/>
        <v>140.06990343288408</v>
      </c>
      <c r="G27" s="9">
        <f t="shared" si="1"/>
        <v>35.297615665086788</v>
      </c>
      <c r="H27">
        <f t="shared" si="2"/>
        <v>56063.258988818714</v>
      </c>
      <c r="K27" t="s">
        <v>6</v>
      </c>
      <c r="L27">
        <v>48</v>
      </c>
      <c r="N27" s="6">
        <f t="shared" si="15"/>
        <v>112.12651797763743</v>
      </c>
      <c r="O27" s="11">
        <f t="shared" si="4"/>
        <v>28.255882530364634</v>
      </c>
      <c r="P27">
        <f t="shared" si="5"/>
        <v>56091.514871349078</v>
      </c>
      <c r="R27">
        <f t="shared" si="6"/>
        <v>63.553498195451425</v>
      </c>
    </row>
    <row r="28" spans="1:18" x14ac:dyDescent="0.35">
      <c r="A28" t="s">
        <v>31</v>
      </c>
      <c r="B28" t="s">
        <v>5</v>
      </c>
      <c r="C28">
        <v>49</v>
      </c>
      <c r="E28">
        <f t="shared" si="7"/>
        <v>56091.514871349078</v>
      </c>
      <c r="F28" s="8">
        <f t="shared" si="14"/>
        <v>140.2287871783727</v>
      </c>
      <c r="G28" s="9">
        <f t="shared" si="1"/>
        <v>35.33765436894992</v>
      </c>
      <c r="H28">
        <f t="shared" si="2"/>
        <v>56126.85252571803</v>
      </c>
      <c r="K28" t="s">
        <v>6</v>
      </c>
      <c r="L28">
        <v>50</v>
      </c>
      <c r="N28" s="6">
        <f t="shared" si="15"/>
        <v>112.25370505143606</v>
      </c>
      <c r="O28" s="11">
        <f t="shared" si="4"/>
        <v>28.287933672961888</v>
      </c>
      <c r="P28">
        <f t="shared" si="5"/>
        <v>56155.14045939099</v>
      </c>
      <c r="R28">
        <f t="shared" si="6"/>
        <v>63.625588041911811</v>
      </c>
    </row>
    <row r="29" spans="1:18" s="6" customFormat="1" x14ac:dyDescent="0.35">
      <c r="A29" s="6" t="s">
        <v>32</v>
      </c>
      <c r="B29" s="6" t="s">
        <v>5</v>
      </c>
      <c r="C29" s="6">
        <v>51</v>
      </c>
      <c r="D29" s="7">
        <v>3.0000000000000001E-3</v>
      </c>
      <c r="E29" s="6">
        <f t="shared" si="7"/>
        <v>56155.14045939099</v>
      </c>
      <c r="F29" s="8">
        <f>E29*0.3%</f>
        <v>168.46542137817298</v>
      </c>
      <c r="G29" s="9">
        <f t="shared" si="1"/>
        <v>42.453286187299589</v>
      </c>
      <c r="H29" s="6">
        <f t="shared" si="2"/>
        <v>56197.593745578291</v>
      </c>
      <c r="K29" s="6" t="s">
        <v>12</v>
      </c>
      <c r="L29" s="6">
        <v>52</v>
      </c>
      <c r="M29" s="7">
        <v>3.5000000000000001E-3</v>
      </c>
      <c r="N29" s="6">
        <f>H29*0.35%</f>
        <v>196.69157810952399</v>
      </c>
      <c r="O29" s="11">
        <f t="shared" si="4"/>
        <v>49.566277683600042</v>
      </c>
      <c r="P29" s="6">
        <f t="shared" si="5"/>
        <v>56247.160023261895</v>
      </c>
      <c r="R29" s="6">
        <f t="shared" si="6"/>
        <v>92.019563870899631</v>
      </c>
    </row>
    <row r="30" spans="1:18" x14ac:dyDescent="0.35">
      <c r="A30" t="s">
        <v>33</v>
      </c>
      <c r="B30" t="s">
        <v>5</v>
      </c>
      <c r="C30">
        <v>53</v>
      </c>
      <c r="E30">
        <f t="shared" si="7"/>
        <v>56247.160023261895</v>
      </c>
      <c r="F30" s="8">
        <f t="shared" ref="F30:F33" si="16">E30*0.3%</f>
        <v>168.74148006978569</v>
      </c>
      <c r="G30" s="9">
        <f t="shared" si="1"/>
        <v>42.522852977585998</v>
      </c>
      <c r="H30">
        <f t="shared" si="2"/>
        <v>56289.68287623948</v>
      </c>
      <c r="K30" t="s">
        <v>12</v>
      </c>
      <c r="L30">
        <v>54</v>
      </c>
      <c r="N30" s="6">
        <f t="shared" ref="N30:N33" si="17">H30*0.35%</f>
        <v>197.01389006683817</v>
      </c>
      <c r="O30" s="11">
        <f t="shared" si="4"/>
        <v>49.647500296843219</v>
      </c>
      <c r="P30">
        <f t="shared" si="5"/>
        <v>56339.330376536323</v>
      </c>
      <c r="R30">
        <f t="shared" si="6"/>
        <v>92.170353274429218</v>
      </c>
    </row>
    <row r="31" spans="1:18" x14ac:dyDescent="0.35">
      <c r="A31" t="s">
        <v>34</v>
      </c>
      <c r="B31" t="s">
        <v>5</v>
      </c>
      <c r="C31">
        <v>55</v>
      </c>
      <c r="E31">
        <f t="shared" si="7"/>
        <v>56339.330376536323</v>
      </c>
      <c r="F31" s="8">
        <f t="shared" si="16"/>
        <v>169.01799112960899</v>
      </c>
      <c r="G31" s="9">
        <f t="shared" si="1"/>
        <v>42.592533764661468</v>
      </c>
      <c r="H31">
        <f t="shared" si="2"/>
        <v>56381.922910300986</v>
      </c>
      <c r="K31" t="s">
        <v>12</v>
      </c>
      <c r="L31">
        <v>56</v>
      </c>
      <c r="N31" s="6">
        <f t="shared" si="17"/>
        <v>197.33673018605342</v>
      </c>
      <c r="O31" s="11">
        <f t="shared" si="4"/>
        <v>49.728856006885458</v>
      </c>
      <c r="P31">
        <f t="shared" si="5"/>
        <v>56431.65176630787</v>
      </c>
      <c r="R31">
        <f t="shared" si="6"/>
        <v>92.321389771546933</v>
      </c>
    </row>
    <row r="32" spans="1:18" x14ac:dyDescent="0.35">
      <c r="A32" t="s">
        <v>35</v>
      </c>
      <c r="B32" t="s">
        <v>5</v>
      </c>
      <c r="C32">
        <v>57</v>
      </c>
      <c r="E32">
        <f t="shared" si="7"/>
        <v>56431.65176630787</v>
      </c>
      <c r="F32" s="8">
        <f t="shared" si="16"/>
        <v>169.29495529892361</v>
      </c>
      <c r="G32" s="9">
        <f t="shared" si="1"/>
        <v>42.662328735328749</v>
      </c>
      <c r="H32">
        <f t="shared" si="2"/>
        <v>56474.314095043199</v>
      </c>
      <c r="K32" t="s">
        <v>12</v>
      </c>
      <c r="L32">
        <v>58</v>
      </c>
      <c r="N32" s="6">
        <f t="shared" si="17"/>
        <v>197.66009933265119</v>
      </c>
      <c r="O32" s="11">
        <f t="shared" si="4"/>
        <v>49.810345031828099</v>
      </c>
      <c r="P32">
        <f t="shared" si="5"/>
        <v>56524.124440075029</v>
      </c>
      <c r="R32">
        <f t="shared" si="6"/>
        <v>92.472673767156849</v>
      </c>
    </row>
    <row r="33" spans="1:18" s="13" customFormat="1" x14ac:dyDescent="0.35">
      <c r="A33" s="13" t="s">
        <v>36</v>
      </c>
      <c r="B33" s="13" t="s">
        <v>5</v>
      </c>
      <c r="C33" s="13">
        <v>59</v>
      </c>
      <c r="E33" s="13">
        <f t="shared" si="7"/>
        <v>56524.124440075029</v>
      </c>
      <c r="F33" s="14">
        <f t="shared" si="16"/>
        <v>169.5723733202251</v>
      </c>
      <c r="G33" s="9">
        <f t="shared" si="1"/>
        <v>42.732238076696724</v>
      </c>
      <c r="H33" s="13">
        <f t="shared" si="2"/>
        <v>56566.856678151729</v>
      </c>
      <c r="K33" s="13" t="s">
        <v>12</v>
      </c>
      <c r="L33" s="13">
        <v>60</v>
      </c>
      <c r="N33" s="13">
        <f t="shared" si="17"/>
        <v>197.98399837353102</v>
      </c>
      <c r="O33" s="11">
        <f t="shared" si="4"/>
        <v>49.891967590129816</v>
      </c>
      <c r="P33" s="13">
        <f t="shared" si="5"/>
        <v>56616.748645741856</v>
      </c>
      <c r="R33" s="13">
        <f t="shared" si="6"/>
        <v>92.624205666826541</v>
      </c>
    </row>
    <row r="34" spans="1:18" s="6" customFormat="1" x14ac:dyDescent="0.35">
      <c r="A34" s="6" t="s">
        <v>37</v>
      </c>
      <c r="B34" s="6" t="s">
        <v>6</v>
      </c>
      <c r="C34" s="6">
        <v>61</v>
      </c>
      <c r="D34" s="7">
        <v>2.5000000000000001E-3</v>
      </c>
      <c r="E34" s="6">
        <f t="shared" si="7"/>
        <v>56616.748645741856</v>
      </c>
      <c r="F34" s="8">
        <f>E34*0.25%</f>
        <v>141.54187161435465</v>
      </c>
      <c r="G34" s="9">
        <f t="shared" si="1"/>
        <v>35.66855164681737</v>
      </c>
      <c r="H34" s="6">
        <f t="shared" si="2"/>
        <v>56652.417197388677</v>
      </c>
      <c r="I34" s="12">
        <v>0.3</v>
      </c>
      <c r="J34" s="12"/>
      <c r="K34" s="12" t="s">
        <v>12</v>
      </c>
      <c r="L34" s="6">
        <v>62</v>
      </c>
      <c r="M34" s="7">
        <v>4.0000000000000001E-3</v>
      </c>
      <c r="N34" s="6">
        <f>H34*0.3%</f>
        <v>169.95725159216605</v>
      </c>
      <c r="O34" s="11">
        <f t="shared" si="4"/>
        <v>42.829227401225843</v>
      </c>
      <c r="P34" s="6">
        <f t="shared" si="5"/>
        <v>56695.246424789904</v>
      </c>
      <c r="Q34" s="10">
        <v>0.27</v>
      </c>
      <c r="R34" s="6">
        <f t="shared" si="6"/>
        <v>78.497779048043213</v>
      </c>
    </row>
    <row r="35" spans="1:18" x14ac:dyDescent="0.35">
      <c r="A35" t="s">
        <v>38</v>
      </c>
      <c r="B35" t="s">
        <v>6</v>
      </c>
      <c r="C35">
        <v>63</v>
      </c>
      <c r="E35">
        <f t="shared" si="7"/>
        <v>56695.246424789904</v>
      </c>
      <c r="F35" s="8">
        <f t="shared" ref="F35:F38" si="18">E35*0.25%</f>
        <v>141.73811606197475</v>
      </c>
      <c r="G35" s="9">
        <f t="shared" si="1"/>
        <v>35.71800524761764</v>
      </c>
      <c r="H35">
        <f t="shared" si="2"/>
        <v>56730.964430037522</v>
      </c>
      <c r="K35" t="s">
        <v>12</v>
      </c>
      <c r="L35">
        <v>64</v>
      </c>
      <c r="N35" s="6">
        <f t="shared" ref="N35:N38" si="19">H35*0.3%</f>
        <v>170.19289329011258</v>
      </c>
      <c r="O35" s="11">
        <f t="shared" si="4"/>
        <v>42.888609109108373</v>
      </c>
      <c r="P35">
        <f t="shared" si="5"/>
        <v>56773.853039146634</v>
      </c>
      <c r="R35">
        <f t="shared" si="6"/>
        <v>78.606614356726013</v>
      </c>
    </row>
    <row r="36" spans="1:18" x14ac:dyDescent="0.35">
      <c r="A36" t="s">
        <v>39</v>
      </c>
      <c r="B36" t="s">
        <v>6</v>
      </c>
      <c r="C36">
        <v>65</v>
      </c>
      <c r="E36">
        <f t="shared" si="7"/>
        <v>56773.853039146634</v>
      </c>
      <c r="F36" s="8">
        <f t="shared" si="18"/>
        <v>141.9346325978666</v>
      </c>
      <c r="G36" s="9">
        <f t="shared" si="1"/>
        <v>35.767527414662382</v>
      </c>
      <c r="H36">
        <f t="shared" si="2"/>
        <v>56809.620566561294</v>
      </c>
      <c r="K36" t="s">
        <v>12</v>
      </c>
      <c r="L36">
        <v>66</v>
      </c>
      <c r="N36" s="6">
        <f t="shared" si="19"/>
        <v>170.42886169968389</v>
      </c>
      <c r="O36" s="11">
        <f t="shared" si="4"/>
        <v>42.94807314832034</v>
      </c>
      <c r="P36">
        <f t="shared" si="5"/>
        <v>56852.568639709614</v>
      </c>
      <c r="R36">
        <f t="shared" si="6"/>
        <v>78.715600562982729</v>
      </c>
    </row>
    <row r="37" spans="1:18" x14ac:dyDescent="0.35">
      <c r="A37" t="s">
        <v>40</v>
      </c>
      <c r="B37" t="s">
        <v>6</v>
      </c>
      <c r="C37">
        <v>67</v>
      </c>
      <c r="E37">
        <f t="shared" si="7"/>
        <v>56852.568639709614</v>
      </c>
      <c r="F37" s="8">
        <f t="shared" si="18"/>
        <v>142.13142159927403</v>
      </c>
      <c r="G37" s="9">
        <f t="shared" si="1"/>
        <v>35.817118243017056</v>
      </c>
      <c r="H37">
        <f t="shared" si="2"/>
        <v>56888.38575795263</v>
      </c>
      <c r="K37" t="s">
        <v>12</v>
      </c>
      <c r="L37">
        <v>68</v>
      </c>
      <c r="N37" s="6">
        <f t="shared" si="19"/>
        <v>170.66515727385789</v>
      </c>
      <c r="O37" s="11">
        <f t="shared" si="4"/>
        <v>43.00761963301219</v>
      </c>
      <c r="P37">
        <f t="shared" si="5"/>
        <v>56931.393377585642</v>
      </c>
      <c r="R37">
        <f t="shared" si="6"/>
        <v>78.824737876029246</v>
      </c>
    </row>
    <row r="38" spans="1:18" x14ac:dyDescent="0.35">
      <c r="A38" t="s">
        <v>41</v>
      </c>
      <c r="B38" t="s">
        <v>6</v>
      </c>
      <c r="C38">
        <v>69</v>
      </c>
      <c r="E38">
        <f t="shared" si="7"/>
        <v>56931.393377585642</v>
      </c>
      <c r="F38" s="8">
        <f t="shared" si="18"/>
        <v>142.3284834439641</v>
      </c>
      <c r="G38" s="9">
        <f t="shared" si="1"/>
        <v>35.866777827878956</v>
      </c>
      <c r="H38">
        <f t="shared" si="2"/>
        <v>56967.260155413518</v>
      </c>
      <c r="K38" t="s">
        <v>12</v>
      </c>
      <c r="L38">
        <v>70</v>
      </c>
      <c r="N38" s="6">
        <f t="shared" si="19"/>
        <v>170.90178046624055</v>
      </c>
      <c r="O38" s="11">
        <f t="shared" si="4"/>
        <v>43.067248677492621</v>
      </c>
      <c r="P38">
        <f t="shared" si="5"/>
        <v>57010.327404091011</v>
      </c>
      <c r="R38">
        <f t="shared" si="6"/>
        <v>78.934026505371577</v>
      </c>
    </row>
    <row r="39" spans="1:18" s="6" customFormat="1" x14ac:dyDescent="0.35">
      <c r="A39" s="6" t="s">
        <v>42</v>
      </c>
      <c r="B39" s="6" t="s">
        <v>5</v>
      </c>
      <c r="C39" s="6">
        <v>71</v>
      </c>
      <c r="D39" s="7">
        <v>5.0000000000000001E-3</v>
      </c>
      <c r="E39" s="6">
        <f t="shared" si="7"/>
        <v>57010.327404091011</v>
      </c>
      <c r="F39" s="8">
        <f>E39*0.5%</f>
        <v>285.05163702045508</v>
      </c>
      <c r="G39" s="9">
        <f t="shared" si="1"/>
        <v>71.833012529154686</v>
      </c>
      <c r="H39" s="6">
        <f t="shared" si="2"/>
        <v>57082.160416620165</v>
      </c>
      <c r="K39" s="6" t="s">
        <v>6</v>
      </c>
      <c r="L39" s="6">
        <v>72</v>
      </c>
      <c r="M39" s="7">
        <v>4.4999999999999997E-3</v>
      </c>
      <c r="N39" s="6">
        <f>H39*0.45%</f>
        <v>256.8697218747908</v>
      </c>
      <c r="O39" s="11">
        <f t="shared" si="4"/>
        <v>64.731169912447285</v>
      </c>
      <c r="P39" s="6">
        <f t="shared" si="5"/>
        <v>57146.891586532613</v>
      </c>
      <c r="R39" s="6">
        <f t="shared" si="6"/>
        <v>136.56418244160199</v>
      </c>
    </row>
    <row r="40" spans="1:18" x14ac:dyDescent="0.35">
      <c r="A40" t="s">
        <v>43</v>
      </c>
      <c r="B40" t="s">
        <v>5</v>
      </c>
      <c r="C40">
        <v>73</v>
      </c>
      <c r="E40">
        <f t="shared" si="7"/>
        <v>57146.891586532613</v>
      </c>
      <c r="F40" s="8">
        <f t="shared" ref="F40:F43" si="20">E40*0.5%</f>
        <v>285.73445793266308</v>
      </c>
      <c r="G40" s="9">
        <f t="shared" si="1"/>
        <v>72.005083399031093</v>
      </c>
      <c r="H40">
        <f t="shared" si="2"/>
        <v>57218.896669931644</v>
      </c>
      <c r="K40" t="s">
        <v>6</v>
      </c>
      <c r="L40">
        <v>74</v>
      </c>
      <c r="N40" s="6">
        <f t="shared" ref="N40:N43" si="21">H40*0.45%</f>
        <v>257.48503501469241</v>
      </c>
      <c r="O40" s="11">
        <f t="shared" si="4"/>
        <v>64.886228823702496</v>
      </c>
      <c r="P40">
        <f t="shared" si="5"/>
        <v>57283.782898755344</v>
      </c>
      <c r="R40">
        <f t="shared" si="6"/>
        <v>136.89131222273357</v>
      </c>
    </row>
    <row r="41" spans="1:18" x14ac:dyDescent="0.35">
      <c r="A41" t="s">
        <v>44</v>
      </c>
      <c r="B41" t="s">
        <v>5</v>
      </c>
      <c r="C41">
        <v>75</v>
      </c>
      <c r="E41">
        <f t="shared" si="7"/>
        <v>57283.782898755344</v>
      </c>
      <c r="F41" s="8">
        <f t="shared" si="20"/>
        <v>286.41891449377675</v>
      </c>
      <c r="G41" s="9">
        <f t="shared" si="1"/>
        <v>72.177566452431748</v>
      </c>
      <c r="H41">
        <f t="shared" si="2"/>
        <v>57355.960465207776</v>
      </c>
      <c r="K41" t="s">
        <v>6</v>
      </c>
      <c r="L41">
        <v>76</v>
      </c>
      <c r="N41" s="6">
        <f t="shared" si="21"/>
        <v>258.10182209343503</v>
      </c>
      <c r="O41" s="11">
        <f t="shared" si="4"/>
        <v>65.041659167545632</v>
      </c>
      <c r="P41">
        <f t="shared" si="5"/>
        <v>57421.002124375322</v>
      </c>
      <c r="R41">
        <f t="shared" si="6"/>
        <v>137.21922561997738</v>
      </c>
    </row>
    <row r="42" spans="1:18" x14ac:dyDescent="0.35">
      <c r="A42" t="s">
        <v>45</v>
      </c>
      <c r="B42" t="s">
        <v>5</v>
      </c>
      <c r="C42">
        <v>77</v>
      </c>
      <c r="E42">
        <f t="shared" si="7"/>
        <v>57421.002124375322</v>
      </c>
      <c r="F42" s="8">
        <f t="shared" si="20"/>
        <v>287.1050106218766</v>
      </c>
      <c r="G42" s="9">
        <f t="shared" si="1"/>
        <v>72.350462676712908</v>
      </c>
      <c r="H42">
        <f t="shared" si="2"/>
        <v>57493.352587052032</v>
      </c>
      <c r="K42" t="s">
        <v>6</v>
      </c>
      <c r="L42">
        <v>78</v>
      </c>
      <c r="N42" s="6">
        <f t="shared" si="21"/>
        <v>258.72008664173416</v>
      </c>
      <c r="O42" s="11">
        <f t="shared" si="4"/>
        <v>65.197461833717014</v>
      </c>
      <c r="P42">
        <f t="shared" si="5"/>
        <v>57558.550048885751</v>
      </c>
      <c r="R42">
        <f t="shared" si="6"/>
        <v>137.54792451042994</v>
      </c>
    </row>
    <row r="43" spans="1:18" x14ac:dyDescent="0.35">
      <c r="A43" t="s">
        <v>46</v>
      </c>
      <c r="B43" t="s">
        <v>5</v>
      </c>
      <c r="C43">
        <v>79</v>
      </c>
      <c r="E43">
        <f t="shared" si="7"/>
        <v>57558.550048885751</v>
      </c>
      <c r="F43" s="8">
        <f t="shared" si="20"/>
        <v>287.79275024442876</v>
      </c>
      <c r="G43" s="9">
        <f t="shared" si="1"/>
        <v>72.523773061596046</v>
      </c>
      <c r="H43">
        <f t="shared" si="2"/>
        <v>57631.07382194735</v>
      </c>
      <c r="K43" t="s">
        <v>6</v>
      </c>
      <c r="L43">
        <v>80</v>
      </c>
      <c r="N43" s="6">
        <f t="shared" si="21"/>
        <v>259.33983219876308</v>
      </c>
      <c r="O43" s="11">
        <f t="shared" si="4"/>
        <v>65.353637714088293</v>
      </c>
      <c r="P43">
        <f t="shared" si="5"/>
        <v>57696.427459661441</v>
      </c>
      <c r="R43">
        <f t="shared" si="6"/>
        <v>137.87741077568433</v>
      </c>
    </row>
    <row r="44" spans="1:18" s="6" customFormat="1" x14ac:dyDescent="0.35">
      <c r="A44" s="6" t="s">
        <v>47</v>
      </c>
      <c r="B44" s="6" t="s">
        <v>6</v>
      </c>
      <c r="C44" s="6">
        <v>81</v>
      </c>
      <c r="D44" s="7">
        <v>4.4999999999999997E-3</v>
      </c>
      <c r="E44" s="6">
        <f t="shared" si="7"/>
        <v>57696.427459661441</v>
      </c>
      <c r="F44" s="8">
        <f>E44*0.45%</f>
        <v>259.63392356847652</v>
      </c>
      <c r="G44" s="9">
        <f t="shared" si="1"/>
        <v>65.427748739256089</v>
      </c>
      <c r="H44" s="6">
        <f t="shared" si="2"/>
        <v>57761.855208400695</v>
      </c>
      <c r="K44" s="6" t="s">
        <v>6</v>
      </c>
      <c r="L44" s="6">
        <v>82</v>
      </c>
      <c r="M44" s="7">
        <v>3.0000000000000001E-3</v>
      </c>
      <c r="N44" s="6">
        <f>H44*0.3%</f>
        <v>173.28556562520208</v>
      </c>
      <c r="O44" s="11">
        <f t="shared" si="4"/>
        <v>43.667962537550927</v>
      </c>
      <c r="P44" s="6">
        <f t="shared" si="5"/>
        <v>57805.52317093825</v>
      </c>
      <c r="R44" s="6">
        <f t="shared" si="6"/>
        <v>109.09571127680701</v>
      </c>
    </row>
    <row r="45" spans="1:18" x14ac:dyDescent="0.35">
      <c r="A45" t="s">
        <v>48</v>
      </c>
      <c r="B45" t="s">
        <v>6</v>
      </c>
      <c r="C45">
        <v>83</v>
      </c>
      <c r="E45">
        <f t="shared" si="7"/>
        <v>57805.52317093825</v>
      </c>
      <c r="F45" s="8">
        <f t="shared" ref="F45:F48" si="22">E45*0.45%</f>
        <v>260.12485426922217</v>
      </c>
      <c r="G45" s="9">
        <f t="shared" si="1"/>
        <v>65.551463275843986</v>
      </c>
      <c r="H45">
        <f t="shared" si="2"/>
        <v>57871.074634214092</v>
      </c>
      <c r="K45" t="s">
        <v>6</v>
      </c>
      <c r="L45">
        <v>84</v>
      </c>
      <c r="N45" s="6">
        <f t="shared" ref="N45:N48" si="23">H45*0.3%</f>
        <v>173.61322390264229</v>
      </c>
      <c r="O45" s="11">
        <f t="shared" si="4"/>
        <v>43.750532423465856</v>
      </c>
      <c r="P45">
        <f t="shared" si="5"/>
        <v>57914.825166637558</v>
      </c>
      <c r="R45">
        <f t="shared" si="6"/>
        <v>109.30199569930984</v>
      </c>
    </row>
    <row r="46" spans="1:18" x14ac:dyDescent="0.35">
      <c r="A46" t="s">
        <v>49</v>
      </c>
      <c r="B46" t="s">
        <v>6</v>
      </c>
      <c r="C46">
        <v>85</v>
      </c>
      <c r="E46">
        <f t="shared" si="7"/>
        <v>57914.825166637558</v>
      </c>
      <c r="F46" s="8">
        <f t="shared" si="22"/>
        <v>260.61671324986906</v>
      </c>
      <c r="G46" s="9">
        <f t="shared" si="1"/>
        <v>65.675411738967</v>
      </c>
      <c r="H46">
        <f t="shared" si="2"/>
        <v>57980.500578376523</v>
      </c>
      <c r="K46" t="s">
        <v>6</v>
      </c>
      <c r="L46">
        <v>86</v>
      </c>
      <c r="N46" s="6">
        <f t="shared" si="23"/>
        <v>173.94150173512958</v>
      </c>
      <c r="O46" s="11">
        <f t="shared" si="4"/>
        <v>43.833258437252653</v>
      </c>
      <c r="P46">
        <f t="shared" si="5"/>
        <v>58024.333836813777</v>
      </c>
      <c r="R46">
        <f t="shared" si="6"/>
        <v>109.50867017621965</v>
      </c>
    </row>
    <row r="47" spans="1:18" x14ac:dyDescent="0.35">
      <c r="A47" t="s">
        <v>50</v>
      </c>
      <c r="B47" t="s">
        <v>6</v>
      </c>
      <c r="C47">
        <v>87</v>
      </c>
      <c r="E47">
        <f t="shared" si="7"/>
        <v>58024.333836813777</v>
      </c>
      <c r="F47" s="8">
        <f t="shared" si="22"/>
        <v>261.109502265662</v>
      </c>
      <c r="G47" s="9">
        <f t="shared" si="1"/>
        <v>65.799594570946823</v>
      </c>
      <c r="H47">
        <f t="shared" si="2"/>
        <v>58090.133431384726</v>
      </c>
      <c r="K47" t="s">
        <v>6</v>
      </c>
      <c r="L47">
        <v>88</v>
      </c>
      <c r="N47" s="6">
        <f t="shared" si="23"/>
        <v>174.27040029415417</v>
      </c>
      <c r="O47" s="11">
        <f t="shared" si="4"/>
        <v>43.916140874126853</v>
      </c>
      <c r="P47">
        <f t="shared" si="5"/>
        <v>58134.049572258853</v>
      </c>
      <c r="R47">
        <f t="shared" si="6"/>
        <v>109.71573544507368</v>
      </c>
    </row>
    <row r="48" spans="1:18" x14ac:dyDescent="0.35">
      <c r="A48" t="s">
        <v>51</v>
      </c>
      <c r="B48" t="s">
        <v>6</v>
      </c>
      <c r="C48">
        <v>89</v>
      </c>
      <c r="E48">
        <f t="shared" si="7"/>
        <v>58134.049572258853</v>
      </c>
      <c r="F48" s="8">
        <f t="shared" si="22"/>
        <v>261.60322307516486</v>
      </c>
      <c r="G48" s="9">
        <f t="shared" si="1"/>
        <v>65.924012214941541</v>
      </c>
      <c r="H48">
        <f t="shared" si="2"/>
        <v>58199.973584473795</v>
      </c>
      <c r="K48" t="s">
        <v>6</v>
      </c>
      <c r="L48">
        <v>90</v>
      </c>
      <c r="N48" s="6">
        <f t="shared" si="23"/>
        <v>174.5999207534214</v>
      </c>
      <c r="O48" s="11">
        <f t="shared" si="4"/>
        <v>43.999180029862195</v>
      </c>
      <c r="P48">
        <f t="shared" si="5"/>
        <v>58243.972764503655</v>
      </c>
      <c r="R48">
        <f t="shared" si="6"/>
        <v>109.92319224480374</v>
      </c>
    </row>
    <row r="49" spans="1:18" s="6" customFormat="1" x14ac:dyDescent="0.35">
      <c r="A49" s="6" t="s">
        <v>52</v>
      </c>
      <c r="B49" s="6" t="s">
        <v>5</v>
      </c>
      <c r="C49" s="6">
        <v>91</v>
      </c>
      <c r="D49" s="7">
        <v>5.0000000000000001E-3</v>
      </c>
      <c r="E49" s="6">
        <f t="shared" si="7"/>
        <v>58243.972764503655</v>
      </c>
      <c r="F49" s="8">
        <f>E49*0.5%</f>
        <v>291.21986382251828</v>
      </c>
      <c r="G49" s="9">
        <f t="shared" si="1"/>
        <v>73.387405683274608</v>
      </c>
      <c r="H49" s="6">
        <f t="shared" si="2"/>
        <v>58317.360170186927</v>
      </c>
      <c r="K49" s="6" t="s">
        <v>6</v>
      </c>
      <c r="L49" s="6">
        <v>92</v>
      </c>
      <c r="M49" s="7">
        <v>4.4999999999999997E-3</v>
      </c>
      <c r="N49" s="6">
        <f>H49*0.45%</f>
        <v>262.42812076584119</v>
      </c>
      <c r="O49" s="11">
        <f t="shared" si="4"/>
        <v>66.131886432991976</v>
      </c>
      <c r="P49" s="6">
        <f t="shared" si="5"/>
        <v>58383.492056619922</v>
      </c>
      <c r="R49" s="6">
        <f t="shared" si="6"/>
        <v>139.51929211626657</v>
      </c>
    </row>
    <row r="50" spans="1:18" x14ac:dyDescent="0.35">
      <c r="A50" t="s">
        <v>53</v>
      </c>
      <c r="B50" t="s">
        <v>5</v>
      </c>
      <c r="C50">
        <v>93</v>
      </c>
      <c r="E50">
        <f t="shared" si="7"/>
        <v>58383.492056619922</v>
      </c>
      <c r="F50" s="8">
        <f t="shared" ref="F50:F53" si="24">E50*0.5%</f>
        <v>291.91746028309962</v>
      </c>
      <c r="G50" s="9">
        <f t="shared" si="1"/>
        <v>73.563199991341108</v>
      </c>
      <c r="H50">
        <f t="shared" si="2"/>
        <v>58457.05525661126</v>
      </c>
      <c r="K50" t="s">
        <v>6</v>
      </c>
      <c r="L50">
        <v>94</v>
      </c>
      <c r="N50" s="6">
        <f t="shared" ref="N50:N53" si="25">H50*0.45%</f>
        <v>263.05674865475072</v>
      </c>
      <c r="O50" s="11">
        <f t="shared" si="4"/>
        <v>66.290300660997175</v>
      </c>
      <c r="P50">
        <f t="shared" si="5"/>
        <v>58523.34555727226</v>
      </c>
      <c r="R50">
        <f t="shared" si="6"/>
        <v>139.85350065233828</v>
      </c>
    </row>
    <row r="51" spans="1:18" x14ac:dyDescent="0.35">
      <c r="A51" t="s">
        <v>54</v>
      </c>
      <c r="B51" t="s">
        <v>5</v>
      </c>
      <c r="C51">
        <v>95</v>
      </c>
      <c r="E51">
        <f t="shared" si="7"/>
        <v>58523.34555727226</v>
      </c>
      <c r="F51" s="8">
        <f t="shared" si="24"/>
        <v>292.61672778636131</v>
      </c>
      <c r="G51" s="9">
        <f t="shared" si="1"/>
        <v>73.739415402163047</v>
      </c>
      <c r="H51">
        <f t="shared" si="2"/>
        <v>58597.08497267442</v>
      </c>
      <c r="K51" t="s">
        <v>6</v>
      </c>
      <c r="L51">
        <v>96</v>
      </c>
      <c r="N51" s="6">
        <f t="shared" si="25"/>
        <v>263.68688237703492</v>
      </c>
      <c r="O51" s="11">
        <f t="shared" si="4"/>
        <v>66.449094359012804</v>
      </c>
      <c r="P51">
        <f t="shared" si="5"/>
        <v>58663.534067033434</v>
      </c>
      <c r="R51">
        <f t="shared" si="6"/>
        <v>140.18850976117585</v>
      </c>
    </row>
    <row r="52" spans="1:18" x14ac:dyDescent="0.35">
      <c r="A52" t="s">
        <v>55</v>
      </c>
      <c r="B52" t="s">
        <v>5</v>
      </c>
      <c r="C52">
        <v>97</v>
      </c>
      <c r="E52">
        <f t="shared" si="7"/>
        <v>58663.534067033434</v>
      </c>
      <c r="F52" s="8">
        <f t="shared" si="24"/>
        <v>293.31767033516718</v>
      </c>
      <c r="G52" s="9">
        <f t="shared" si="1"/>
        <v>73.916052924462136</v>
      </c>
      <c r="H52">
        <f t="shared" si="2"/>
        <v>58737.450119957895</v>
      </c>
      <c r="K52" t="s">
        <v>6</v>
      </c>
      <c r="L52">
        <v>98</v>
      </c>
      <c r="N52" s="6">
        <f t="shared" si="25"/>
        <v>264.31852553981054</v>
      </c>
      <c r="O52" s="11">
        <f t="shared" si="4"/>
        <v>66.608268436032262</v>
      </c>
      <c r="P52">
        <f t="shared" si="5"/>
        <v>58804.058388393925</v>
      </c>
      <c r="R52">
        <f t="shared" si="6"/>
        <v>140.52432136049441</v>
      </c>
    </row>
    <row r="53" spans="1:18" x14ac:dyDescent="0.35">
      <c r="A53" t="s">
        <v>56</v>
      </c>
      <c r="B53" t="s">
        <v>5</v>
      </c>
      <c r="C53">
        <v>99</v>
      </c>
      <c r="E53">
        <f t="shared" si="7"/>
        <v>58804.058388393925</v>
      </c>
      <c r="F53" s="8">
        <f t="shared" si="24"/>
        <v>294.02029194196962</v>
      </c>
      <c r="G53" s="9">
        <f t="shared" si="1"/>
        <v>74.093113569376342</v>
      </c>
      <c r="H53">
        <f t="shared" si="2"/>
        <v>58878.151501963301</v>
      </c>
      <c r="K53" t="s">
        <v>6</v>
      </c>
      <c r="L53">
        <v>100</v>
      </c>
      <c r="N53" s="6">
        <f t="shared" si="25"/>
        <v>264.95168175883487</v>
      </c>
      <c r="O53" s="11">
        <f t="shared" si="4"/>
        <v>66.767823803226392</v>
      </c>
      <c r="P53">
        <f t="shared" si="5"/>
        <v>58944.919325766525</v>
      </c>
      <c r="R53">
        <f t="shared" si="6"/>
        <v>140.86093737260273</v>
      </c>
    </row>
    <row r="54" spans="1:18" s="6" customFormat="1" x14ac:dyDescent="0.35">
      <c r="A54" s="6" t="s">
        <v>57</v>
      </c>
      <c r="B54" s="6" t="s">
        <v>6</v>
      </c>
      <c r="C54" s="6">
        <v>101</v>
      </c>
      <c r="D54" s="7">
        <v>4.4999999999999997E-3</v>
      </c>
      <c r="E54" s="6">
        <f t="shared" si="7"/>
        <v>58944.919325766525</v>
      </c>
      <c r="F54" s="8">
        <f>E54*0.45%</f>
        <v>265.25213696594938</v>
      </c>
      <c r="G54" s="9">
        <f t="shared" si="1"/>
        <v>66.84353851541924</v>
      </c>
      <c r="H54" s="6">
        <f t="shared" si="2"/>
        <v>59011.762864281947</v>
      </c>
      <c r="K54" s="6" t="s">
        <v>12</v>
      </c>
      <c r="L54" s="6">
        <v>102</v>
      </c>
      <c r="M54" s="7">
        <v>4.5999999999999999E-3</v>
      </c>
      <c r="N54" s="6">
        <f>H54*0.46%</f>
        <v>271.45410917569694</v>
      </c>
      <c r="O54" s="11">
        <f t="shared" si="4"/>
        <v>68.406435512275635</v>
      </c>
      <c r="P54" s="6">
        <f t="shared" si="5"/>
        <v>59080.169299794223</v>
      </c>
      <c r="R54" s="6">
        <f t="shared" si="6"/>
        <v>135.24997402769486</v>
      </c>
    </row>
    <row r="55" spans="1:18" x14ac:dyDescent="0.35">
      <c r="A55" t="s">
        <v>58</v>
      </c>
      <c r="B55" t="s">
        <v>6</v>
      </c>
      <c r="C55">
        <v>103</v>
      </c>
      <c r="E55">
        <f t="shared" si="7"/>
        <v>59080.169299794223</v>
      </c>
      <c r="F55" s="8">
        <f t="shared" ref="F55:F58" si="26">E55*0.45%</f>
        <v>265.86076184907404</v>
      </c>
      <c r="G55" s="9">
        <f t="shared" si="1"/>
        <v>66.996911985966662</v>
      </c>
      <c r="H55">
        <f t="shared" si="2"/>
        <v>59147.16621178019</v>
      </c>
      <c r="K55" t="s">
        <v>12</v>
      </c>
      <c r="L55">
        <v>104</v>
      </c>
      <c r="N55" s="6">
        <f t="shared" ref="N55:N57" si="27">H55*0.46%</f>
        <v>272.07696457418888</v>
      </c>
      <c r="O55" s="11">
        <f t="shared" si="4"/>
        <v>68.563395072695599</v>
      </c>
      <c r="P55">
        <f t="shared" si="5"/>
        <v>59215.729606852889</v>
      </c>
      <c r="R55">
        <f t="shared" si="6"/>
        <v>135.56030705866226</v>
      </c>
    </row>
    <row r="56" spans="1:18" x14ac:dyDescent="0.35">
      <c r="A56" t="s">
        <v>59</v>
      </c>
      <c r="B56" t="s">
        <v>6</v>
      </c>
      <c r="C56">
        <v>105</v>
      </c>
      <c r="E56">
        <f t="shared" si="7"/>
        <v>59215.729606852889</v>
      </c>
      <c r="F56" s="8">
        <f t="shared" si="26"/>
        <v>266.47078323083804</v>
      </c>
      <c r="G56" s="9">
        <f t="shared" si="1"/>
        <v>67.150637374171183</v>
      </c>
      <c r="H56">
        <f t="shared" si="2"/>
        <v>59282.880244227061</v>
      </c>
      <c r="K56" t="s">
        <v>12</v>
      </c>
      <c r="L56">
        <v>106</v>
      </c>
      <c r="N56" s="6">
        <f t="shared" si="27"/>
        <v>272.70124912344448</v>
      </c>
      <c r="O56" s="11">
        <f t="shared" si="4"/>
        <v>68.720714779108008</v>
      </c>
      <c r="P56">
        <f t="shared" si="5"/>
        <v>59351.600959006166</v>
      </c>
      <c r="R56">
        <f t="shared" si="6"/>
        <v>135.87135215327919</v>
      </c>
    </row>
    <row r="57" spans="1:18" x14ac:dyDescent="0.35">
      <c r="A57" t="s">
        <v>60</v>
      </c>
      <c r="B57" t="s">
        <v>6</v>
      </c>
      <c r="C57">
        <v>107</v>
      </c>
      <c r="E57">
        <f t="shared" si="7"/>
        <v>59351.600959006166</v>
      </c>
      <c r="F57" s="8">
        <f t="shared" si="26"/>
        <v>267.0822043155278</v>
      </c>
      <c r="G57" s="9">
        <f t="shared" si="1"/>
        <v>67.304715487513008</v>
      </c>
      <c r="H57">
        <f t="shared" si="2"/>
        <v>59418.905674493675</v>
      </c>
      <c r="K57" t="s">
        <v>12</v>
      </c>
      <c r="L57">
        <v>108</v>
      </c>
      <c r="N57" s="6">
        <f t="shared" si="27"/>
        <v>273.32696610267089</v>
      </c>
      <c r="O57" s="11">
        <f t="shared" si="4"/>
        <v>68.878395457873069</v>
      </c>
      <c r="P57">
        <f t="shared" si="5"/>
        <v>59487.784069951551</v>
      </c>
      <c r="R57">
        <f t="shared" si="6"/>
        <v>136.18311094538609</v>
      </c>
    </row>
    <row r="58" spans="1:18" x14ac:dyDescent="0.35">
      <c r="A58" t="s">
        <v>61</v>
      </c>
      <c r="B58" t="s">
        <v>6</v>
      </c>
      <c r="C58">
        <v>109</v>
      </c>
      <c r="E58">
        <f t="shared" si="7"/>
        <v>59487.784069951551</v>
      </c>
      <c r="F58" s="8">
        <f t="shared" si="26"/>
        <v>267.69502831478201</v>
      </c>
      <c r="G58" s="9">
        <f t="shared" si="1"/>
        <v>67.459147135325068</v>
      </c>
      <c r="H58">
        <f t="shared" si="2"/>
        <v>59555.243217086878</v>
      </c>
      <c r="K58" t="s">
        <v>12</v>
      </c>
      <c r="L58">
        <v>110</v>
      </c>
      <c r="N58" s="6">
        <f>H58*0.46%</f>
        <v>273.95411879859961</v>
      </c>
      <c r="O58" s="11">
        <f t="shared" si="4"/>
        <v>69.036437937247101</v>
      </c>
      <c r="P58">
        <f t="shared" si="5"/>
        <v>59624.279655024126</v>
      </c>
      <c r="R58">
        <f t="shared" si="6"/>
        <v>136.49558507257217</v>
      </c>
    </row>
    <row r="59" spans="1:18" s="6" customFormat="1" x14ac:dyDescent="0.35">
      <c r="A59" s="6" t="s">
        <v>62</v>
      </c>
      <c r="B59" s="6" t="s">
        <v>6</v>
      </c>
      <c r="C59" s="6">
        <v>111</v>
      </c>
      <c r="D59" s="7">
        <v>4.0000000000000001E-3</v>
      </c>
      <c r="E59" s="6">
        <f t="shared" si="7"/>
        <v>59624.279655024126</v>
      </c>
      <c r="F59" s="8">
        <f>E59*0.4%</f>
        <v>238.4971186200965</v>
      </c>
      <c r="G59" s="9">
        <f t="shared" si="1"/>
        <v>60.101273892264317</v>
      </c>
      <c r="H59" s="6">
        <f t="shared" si="2"/>
        <v>59684.380928916391</v>
      </c>
      <c r="K59" s="6" t="s">
        <v>6</v>
      </c>
      <c r="L59" s="6">
        <v>112</v>
      </c>
      <c r="M59" s="7">
        <v>3.5000000000000001E-3</v>
      </c>
      <c r="N59" s="6">
        <f>H59*0.35%</f>
        <v>208.89533325120735</v>
      </c>
      <c r="O59" s="11">
        <f t="shared" si="4"/>
        <v>52.641623979304249</v>
      </c>
      <c r="P59" s="6">
        <f t="shared" si="5"/>
        <v>59737.022552895694</v>
      </c>
      <c r="R59" s="6">
        <f t="shared" si="6"/>
        <v>112.74289787156857</v>
      </c>
    </row>
    <row r="60" spans="1:18" x14ac:dyDescent="0.35">
      <c r="A60" t="s">
        <v>63</v>
      </c>
      <c r="B60" t="s">
        <v>6</v>
      </c>
      <c r="C60">
        <v>113</v>
      </c>
      <c r="E60">
        <f t="shared" si="7"/>
        <v>59737.022552895694</v>
      </c>
      <c r="F60" s="8">
        <f t="shared" ref="F60:F63" si="28">E60*0.4%</f>
        <v>238.94809021158278</v>
      </c>
      <c r="G60" s="9">
        <f t="shared" si="1"/>
        <v>60.214918733318861</v>
      </c>
      <c r="H60">
        <f t="shared" si="2"/>
        <v>59797.237471629014</v>
      </c>
      <c r="K60" t="s">
        <v>6</v>
      </c>
      <c r="L60">
        <v>114</v>
      </c>
      <c r="N60" s="6">
        <f t="shared" ref="N60:N63" si="29">H60*0.35%</f>
        <v>209.29033115070152</v>
      </c>
      <c r="O60" s="11">
        <f t="shared" si="4"/>
        <v>52.741163449976781</v>
      </c>
      <c r="P60">
        <f t="shared" si="5"/>
        <v>59849.978635078995</v>
      </c>
      <c r="R60">
        <f t="shared" si="6"/>
        <v>112.95608218329565</v>
      </c>
    </row>
    <row r="61" spans="1:18" x14ac:dyDescent="0.35">
      <c r="A61" t="s">
        <v>64</v>
      </c>
      <c r="B61" t="s">
        <v>6</v>
      </c>
      <c r="C61">
        <v>115</v>
      </c>
      <c r="E61">
        <f t="shared" si="7"/>
        <v>59849.978635078995</v>
      </c>
      <c r="F61" s="8">
        <f t="shared" si="28"/>
        <v>239.39991454031599</v>
      </c>
      <c r="G61" s="9">
        <f t="shared" si="1"/>
        <v>60.328778464159633</v>
      </c>
      <c r="H61">
        <f t="shared" si="2"/>
        <v>59910.307413543153</v>
      </c>
      <c r="K61" t="s">
        <v>6</v>
      </c>
      <c r="L61">
        <v>116</v>
      </c>
      <c r="N61" s="6">
        <f t="shared" si="29"/>
        <v>209.68607594740101</v>
      </c>
      <c r="O61" s="11">
        <f t="shared" si="4"/>
        <v>52.840891138745057</v>
      </c>
      <c r="P61">
        <f t="shared" si="5"/>
        <v>59963.148304681898</v>
      </c>
      <c r="R61">
        <f t="shared" si="6"/>
        <v>113.16966960290469</v>
      </c>
    </row>
    <row r="62" spans="1:18" x14ac:dyDescent="0.35">
      <c r="A62" t="s">
        <v>65</v>
      </c>
      <c r="B62" t="s">
        <v>6</v>
      </c>
      <c r="C62">
        <v>117</v>
      </c>
      <c r="E62">
        <f t="shared" si="7"/>
        <v>59963.148304681898</v>
      </c>
      <c r="F62" s="8">
        <f t="shared" si="28"/>
        <v>239.85259321872761</v>
      </c>
      <c r="G62" s="9">
        <f t="shared" si="1"/>
        <v>60.442853491119358</v>
      </c>
      <c r="H62">
        <f t="shared" si="2"/>
        <v>60023.591158173018</v>
      </c>
      <c r="K62" t="s">
        <v>6</v>
      </c>
      <c r="L62">
        <v>118</v>
      </c>
      <c r="N62" s="6">
        <f t="shared" si="29"/>
        <v>210.08256905360554</v>
      </c>
      <c r="O62" s="11">
        <f t="shared" si="4"/>
        <v>52.940807401508593</v>
      </c>
      <c r="P62">
        <f t="shared" si="5"/>
        <v>60076.531965574526</v>
      </c>
      <c r="R62">
        <f t="shared" si="6"/>
        <v>113.38366089262794</v>
      </c>
    </row>
    <row r="63" spans="1:18" s="13" customFormat="1" x14ac:dyDescent="0.35">
      <c r="A63" s="13" t="s">
        <v>66</v>
      </c>
      <c r="B63" s="13" t="s">
        <v>6</v>
      </c>
      <c r="C63" s="13">
        <v>119</v>
      </c>
      <c r="E63" s="13">
        <f t="shared" si="7"/>
        <v>60076.531965574526</v>
      </c>
      <c r="F63" s="14">
        <f t="shared" si="28"/>
        <v>240.3061278622981</v>
      </c>
      <c r="G63" s="9">
        <f t="shared" si="1"/>
        <v>60.557144221299119</v>
      </c>
      <c r="H63" s="13">
        <f t="shared" si="2"/>
        <v>60137.089109795823</v>
      </c>
      <c r="K63" s="13" t="s">
        <v>6</v>
      </c>
      <c r="L63" s="13">
        <v>120</v>
      </c>
      <c r="N63" s="13">
        <f t="shared" si="29"/>
        <v>210.47981188428537</v>
      </c>
      <c r="O63" s="11">
        <f t="shared" si="4"/>
        <v>53.040912594839916</v>
      </c>
      <c r="P63" s="13">
        <f t="shared" si="5"/>
        <v>60190.130022390666</v>
      </c>
      <c r="R63" s="13">
        <f t="shared" si="6"/>
        <v>113.59805681613904</v>
      </c>
    </row>
    <row r="64" spans="1:18" s="6" customFormat="1" x14ac:dyDescent="0.35">
      <c r="A64" s="6" t="s">
        <v>67</v>
      </c>
      <c r="B64" s="6" t="s">
        <v>5</v>
      </c>
      <c r="C64" s="6">
        <v>121</v>
      </c>
      <c r="D64" s="7">
        <v>3.7000000000000002E-3</v>
      </c>
      <c r="E64" s="6">
        <f t="shared" si="7"/>
        <v>60190.130022390666</v>
      </c>
      <c r="F64" s="8">
        <f>E64*0.37%</f>
        <v>222.70348108284549</v>
      </c>
      <c r="G64" s="9">
        <f t="shared" si="1"/>
        <v>56.121277232877063</v>
      </c>
      <c r="H64" s="6">
        <f t="shared" si="2"/>
        <v>60246.251299623545</v>
      </c>
      <c r="I64" s="10">
        <v>0.35</v>
      </c>
      <c r="J64" s="10"/>
      <c r="K64" s="10" t="s">
        <v>6</v>
      </c>
      <c r="L64" s="6">
        <v>122</v>
      </c>
      <c r="M64" s="7">
        <v>3.0000000000000001E-3</v>
      </c>
      <c r="N64" s="6">
        <f>H64*0.3%</f>
        <v>180.73875389887064</v>
      </c>
      <c r="O64" s="11">
        <f t="shared" si="4"/>
        <v>45.546165982515404</v>
      </c>
      <c r="P64" s="6">
        <f t="shared" si="5"/>
        <v>60291.797465606061</v>
      </c>
      <c r="Q64" s="12">
        <v>0.4</v>
      </c>
      <c r="R64" s="6">
        <f t="shared" si="6"/>
        <v>101.66744321539247</v>
      </c>
    </row>
    <row r="65" spans="1:18" x14ac:dyDescent="0.35">
      <c r="A65" t="s">
        <v>68</v>
      </c>
      <c r="B65" t="s">
        <v>5</v>
      </c>
      <c r="C65">
        <v>123</v>
      </c>
      <c r="E65">
        <f t="shared" si="7"/>
        <v>60291.797465606061</v>
      </c>
      <c r="F65" s="8">
        <f t="shared" ref="F65:F68" si="30">E65*0.37%</f>
        <v>223.07965062274243</v>
      </c>
      <c r="G65" s="9">
        <f t="shared" si="1"/>
        <v>56.216071956931096</v>
      </c>
      <c r="H65">
        <f t="shared" si="2"/>
        <v>60348.013537562991</v>
      </c>
      <c r="K65" t="s">
        <v>6</v>
      </c>
      <c r="L65">
        <v>124</v>
      </c>
      <c r="N65" s="6">
        <f t="shared" ref="N65:N68" si="31">H65*0.3%</f>
        <v>181.04404061268897</v>
      </c>
      <c r="O65" s="11">
        <f t="shared" si="4"/>
        <v>45.623098234397624</v>
      </c>
      <c r="P65">
        <f t="shared" si="5"/>
        <v>60393.636635797389</v>
      </c>
      <c r="R65">
        <f t="shared" si="6"/>
        <v>101.83917019132872</v>
      </c>
    </row>
    <row r="66" spans="1:18" x14ac:dyDescent="0.35">
      <c r="A66" t="s">
        <v>69</v>
      </c>
      <c r="B66" t="s">
        <v>5</v>
      </c>
      <c r="C66">
        <v>125</v>
      </c>
      <c r="E66">
        <f t="shared" si="7"/>
        <v>60393.636635797389</v>
      </c>
      <c r="F66" s="8">
        <f t="shared" si="30"/>
        <v>223.45645555245034</v>
      </c>
      <c r="G66" s="9">
        <f t="shared" si="1"/>
        <v>56.311026799217487</v>
      </c>
      <c r="H66">
        <f t="shared" si="2"/>
        <v>60449.947662596605</v>
      </c>
      <c r="K66" t="s">
        <v>6</v>
      </c>
      <c r="L66">
        <v>126</v>
      </c>
      <c r="N66" s="6">
        <f t="shared" si="31"/>
        <v>181.34984298778983</v>
      </c>
      <c r="O66" s="11">
        <f t="shared" si="4"/>
        <v>45.700160432923035</v>
      </c>
      <c r="P66">
        <f t="shared" si="5"/>
        <v>60495.647823029525</v>
      </c>
      <c r="R66">
        <f t="shared" si="6"/>
        <v>102.01118723214051</v>
      </c>
    </row>
    <row r="67" spans="1:18" x14ac:dyDescent="0.35">
      <c r="A67" t="s">
        <v>70</v>
      </c>
      <c r="B67" t="s">
        <v>5</v>
      </c>
      <c r="C67">
        <v>127</v>
      </c>
      <c r="E67">
        <f t="shared" si="7"/>
        <v>60495.647823029525</v>
      </c>
      <c r="F67" s="8">
        <f t="shared" si="30"/>
        <v>223.83389694520926</v>
      </c>
      <c r="G67" s="9">
        <f t="shared" si="1"/>
        <v>56.406142030192733</v>
      </c>
      <c r="H67">
        <f t="shared" si="2"/>
        <v>60552.05396505972</v>
      </c>
      <c r="K67" t="s">
        <v>6</v>
      </c>
      <c r="L67">
        <v>128</v>
      </c>
      <c r="N67" s="6">
        <f t="shared" si="31"/>
        <v>181.65616189517917</v>
      </c>
      <c r="O67" s="11">
        <f t="shared" si="4"/>
        <v>45.777352797585152</v>
      </c>
      <c r="P67">
        <f t="shared" si="5"/>
        <v>60597.831317857308</v>
      </c>
      <c r="R67">
        <f t="shared" si="6"/>
        <v>102.18349482777788</v>
      </c>
    </row>
    <row r="68" spans="1:18" x14ac:dyDescent="0.35">
      <c r="A68" t="s">
        <v>71</v>
      </c>
      <c r="B68" t="s">
        <v>5</v>
      </c>
      <c r="C68">
        <v>129</v>
      </c>
      <c r="E68">
        <f t="shared" si="7"/>
        <v>60597.831317857308</v>
      </c>
      <c r="F68" s="8">
        <f t="shared" si="30"/>
        <v>224.21197587607205</v>
      </c>
      <c r="G68" s="9">
        <f t="shared" si="1"/>
        <v>56.501417920770159</v>
      </c>
      <c r="H68">
        <f t="shared" si="2"/>
        <v>60654.33273577808</v>
      </c>
      <c r="K68" t="s">
        <v>6</v>
      </c>
      <c r="L68">
        <v>130</v>
      </c>
      <c r="N68" s="6">
        <f t="shared" si="31"/>
        <v>181.96299820733424</v>
      </c>
      <c r="O68" s="11">
        <f t="shared" si="4"/>
        <v>45.854675548248231</v>
      </c>
      <c r="P68">
        <f t="shared" si="5"/>
        <v>60700.187411326326</v>
      </c>
      <c r="R68">
        <f t="shared" si="6"/>
        <v>102.35609346901839</v>
      </c>
    </row>
    <row r="69" spans="1:18" s="6" customFormat="1" x14ac:dyDescent="0.35">
      <c r="A69" s="6" t="s">
        <v>72</v>
      </c>
      <c r="B69" s="6" t="s">
        <v>6</v>
      </c>
      <c r="C69" s="6">
        <v>131</v>
      </c>
      <c r="D69" s="7">
        <v>3.0000000000000001E-3</v>
      </c>
      <c r="E69" s="6">
        <f t="shared" si="7"/>
        <v>60700.187411326326</v>
      </c>
      <c r="F69" s="8">
        <f t="shared" ref="F69:F73" si="32">E69*0.3%</f>
        <v>182.10056223397899</v>
      </c>
      <c r="G69" s="9">
        <f t="shared" ref="G69:G132" si="33">F69*25.2%</f>
        <v>45.889341682962709</v>
      </c>
      <c r="H69" s="6">
        <f t="shared" ref="H69:H132" si="34">G69+E69</f>
        <v>60746.076753009285</v>
      </c>
      <c r="K69" s="6" t="s">
        <v>12</v>
      </c>
      <c r="L69" s="6">
        <v>132</v>
      </c>
      <c r="M69" s="7">
        <v>4.0000000000000001E-3</v>
      </c>
      <c r="N69" s="6">
        <f t="shared" ref="N69:N73" si="35">H69*0.4%</f>
        <v>242.98430701203714</v>
      </c>
      <c r="O69" s="11">
        <f t="shared" ref="O69:O132" si="36">N69*25.2%</f>
        <v>61.232045367033358</v>
      </c>
      <c r="P69" s="6">
        <f t="shared" ref="P69:P132" si="37">O69+H69</f>
        <v>60807.308798376318</v>
      </c>
      <c r="R69" s="6">
        <f t="shared" ref="R69:R132" si="38">O69+G69</f>
        <v>107.12138704999606</v>
      </c>
    </row>
    <row r="70" spans="1:18" x14ac:dyDescent="0.35">
      <c r="A70" t="s">
        <v>73</v>
      </c>
      <c r="B70" t="s">
        <v>6</v>
      </c>
      <c r="C70">
        <v>133</v>
      </c>
      <c r="E70">
        <f t="shared" ref="E70:E133" si="39">P69</f>
        <v>60807.308798376318</v>
      </c>
      <c r="F70" s="8">
        <f t="shared" si="32"/>
        <v>182.42192639512896</v>
      </c>
      <c r="G70" s="9">
        <f t="shared" si="33"/>
        <v>45.970325451572499</v>
      </c>
      <c r="H70">
        <f t="shared" si="34"/>
        <v>60853.279123827888</v>
      </c>
      <c r="K70" t="s">
        <v>12</v>
      </c>
      <c r="L70">
        <v>134</v>
      </c>
      <c r="N70" s="6">
        <f t="shared" si="35"/>
        <v>243.41311649531156</v>
      </c>
      <c r="O70" s="11">
        <f t="shared" si="36"/>
        <v>61.340105356818512</v>
      </c>
      <c r="P70">
        <f t="shared" si="37"/>
        <v>60914.619229184704</v>
      </c>
      <c r="R70">
        <f t="shared" si="38"/>
        <v>107.310430808391</v>
      </c>
    </row>
    <row r="71" spans="1:18" x14ac:dyDescent="0.35">
      <c r="A71" t="s">
        <v>74</v>
      </c>
      <c r="B71" t="s">
        <v>6</v>
      </c>
      <c r="C71">
        <v>135</v>
      </c>
      <c r="E71">
        <f t="shared" si="39"/>
        <v>60914.619229184704</v>
      </c>
      <c r="F71" s="8">
        <f t="shared" si="32"/>
        <v>182.74385768755411</v>
      </c>
      <c r="G71" s="9">
        <f t="shared" si="33"/>
        <v>46.051452137263638</v>
      </c>
      <c r="H71">
        <f t="shared" si="34"/>
        <v>60960.670681321964</v>
      </c>
      <c r="K71" t="s">
        <v>12</v>
      </c>
      <c r="L71">
        <v>136</v>
      </c>
      <c r="N71" s="6">
        <f t="shared" si="35"/>
        <v>243.84268272528786</v>
      </c>
      <c r="O71" s="11">
        <f t="shared" si="36"/>
        <v>61.448356046772538</v>
      </c>
      <c r="P71">
        <f t="shared" si="37"/>
        <v>61022.119037368735</v>
      </c>
      <c r="R71">
        <f t="shared" si="38"/>
        <v>107.49980818403617</v>
      </c>
    </row>
    <row r="72" spans="1:18" x14ac:dyDescent="0.35">
      <c r="A72" t="s">
        <v>75</v>
      </c>
      <c r="B72" t="s">
        <v>6</v>
      </c>
      <c r="C72">
        <v>137</v>
      </c>
      <c r="E72">
        <f t="shared" si="39"/>
        <v>61022.119037368735</v>
      </c>
      <c r="F72" s="8">
        <f t="shared" si="32"/>
        <v>183.0663571121062</v>
      </c>
      <c r="G72" s="9">
        <f t="shared" si="33"/>
        <v>46.132721992250765</v>
      </c>
      <c r="H72">
        <f t="shared" si="34"/>
        <v>61068.251759360988</v>
      </c>
      <c r="K72" t="s">
        <v>12</v>
      </c>
      <c r="L72">
        <v>138</v>
      </c>
      <c r="N72" s="6">
        <f t="shared" si="35"/>
        <v>244.27300703744396</v>
      </c>
      <c r="O72" s="11">
        <f t="shared" si="36"/>
        <v>61.556797773435882</v>
      </c>
      <c r="P72">
        <f t="shared" si="37"/>
        <v>61129.808557134427</v>
      </c>
      <c r="R72">
        <f t="shared" si="38"/>
        <v>107.68951976568664</v>
      </c>
    </row>
    <row r="73" spans="1:18" x14ac:dyDescent="0.35">
      <c r="A73" t="s">
        <v>76</v>
      </c>
      <c r="B73" t="s">
        <v>6</v>
      </c>
      <c r="C73">
        <v>139</v>
      </c>
      <c r="E73">
        <f t="shared" si="39"/>
        <v>61129.808557134427</v>
      </c>
      <c r="F73" s="8">
        <f t="shared" si="32"/>
        <v>183.38942567140327</v>
      </c>
      <c r="G73" s="9">
        <f t="shared" si="33"/>
        <v>46.214135269193626</v>
      </c>
      <c r="H73">
        <f t="shared" si="34"/>
        <v>61176.022692403618</v>
      </c>
      <c r="K73" t="s">
        <v>12</v>
      </c>
      <c r="L73">
        <v>140</v>
      </c>
      <c r="N73" s="6">
        <f t="shared" si="35"/>
        <v>244.70409076961448</v>
      </c>
      <c r="O73" s="11">
        <f t="shared" si="36"/>
        <v>61.665430873942853</v>
      </c>
      <c r="P73">
        <f t="shared" si="37"/>
        <v>61237.688123277563</v>
      </c>
      <c r="R73">
        <f t="shared" si="38"/>
        <v>107.87956614313649</v>
      </c>
    </row>
    <row r="74" spans="1:18" s="6" customFormat="1" x14ac:dyDescent="0.35">
      <c r="A74" s="6" t="s">
        <v>77</v>
      </c>
      <c r="B74" s="6" t="s">
        <v>5</v>
      </c>
      <c r="C74" s="6">
        <v>141</v>
      </c>
      <c r="D74" s="7">
        <v>4.0000000000000001E-3</v>
      </c>
      <c r="E74" s="6">
        <f t="shared" si="39"/>
        <v>61237.688123277563</v>
      </c>
      <c r="F74" s="8">
        <f>E74*0.4%</f>
        <v>244.95075249311026</v>
      </c>
      <c r="G74" s="9">
        <f t="shared" si="33"/>
        <v>61.727589628263786</v>
      </c>
      <c r="H74" s="6">
        <f t="shared" si="34"/>
        <v>61299.415712905829</v>
      </c>
      <c r="K74" s="6" t="s">
        <v>12</v>
      </c>
      <c r="L74" s="6">
        <v>142</v>
      </c>
      <c r="M74" s="7">
        <v>5.0000000000000001E-3</v>
      </c>
      <c r="N74" s="6">
        <f>H74*0.5%</f>
        <v>306.49707856452915</v>
      </c>
      <c r="O74" s="11">
        <f t="shared" si="36"/>
        <v>77.237263798261353</v>
      </c>
      <c r="P74" s="6">
        <f t="shared" si="37"/>
        <v>61376.652976704092</v>
      </c>
      <c r="R74" s="6">
        <f t="shared" si="38"/>
        <v>138.96485342652514</v>
      </c>
    </row>
    <row r="75" spans="1:18" x14ac:dyDescent="0.35">
      <c r="A75" t="s">
        <v>78</v>
      </c>
      <c r="B75" t="s">
        <v>5</v>
      </c>
      <c r="C75">
        <v>143</v>
      </c>
      <c r="E75">
        <f t="shared" si="39"/>
        <v>61376.652976704092</v>
      </c>
      <c r="F75" s="8">
        <f t="shared" ref="F75:F78" si="40">E75*0.4%</f>
        <v>245.50661190681637</v>
      </c>
      <c r="G75" s="9">
        <f t="shared" si="33"/>
        <v>61.867666200517725</v>
      </c>
      <c r="H75">
        <f t="shared" si="34"/>
        <v>61438.520642904608</v>
      </c>
      <c r="K75" t="s">
        <v>12</v>
      </c>
      <c r="L75">
        <v>144</v>
      </c>
      <c r="N75" s="6">
        <f t="shared" ref="N75:N78" si="41">H75*0.5%</f>
        <v>307.19260321452305</v>
      </c>
      <c r="O75" s="11">
        <f t="shared" si="36"/>
        <v>77.41253601005981</v>
      </c>
      <c r="P75">
        <f t="shared" si="37"/>
        <v>61515.933178914667</v>
      </c>
      <c r="R75">
        <f t="shared" si="38"/>
        <v>139.28020221057753</v>
      </c>
    </row>
    <row r="76" spans="1:18" x14ac:dyDescent="0.35">
      <c r="A76" t="s">
        <v>79</v>
      </c>
      <c r="B76" t="s">
        <v>5</v>
      </c>
      <c r="C76">
        <v>145</v>
      </c>
      <c r="E76">
        <f t="shared" si="39"/>
        <v>61515.933178914667</v>
      </c>
      <c r="F76" s="8">
        <f t="shared" si="40"/>
        <v>246.06373271565869</v>
      </c>
      <c r="G76" s="9">
        <f t="shared" si="33"/>
        <v>62.008060644345989</v>
      </c>
      <c r="H76">
        <f t="shared" si="34"/>
        <v>61577.941239559012</v>
      </c>
      <c r="K76" t="s">
        <v>12</v>
      </c>
      <c r="L76">
        <v>146</v>
      </c>
      <c r="N76" s="6">
        <f t="shared" si="41"/>
        <v>307.88970619779508</v>
      </c>
      <c r="O76" s="11">
        <f t="shared" si="36"/>
        <v>77.588205961844366</v>
      </c>
      <c r="P76">
        <f t="shared" si="37"/>
        <v>61655.529445520857</v>
      </c>
      <c r="R76">
        <f t="shared" si="38"/>
        <v>139.59626660619034</v>
      </c>
    </row>
    <row r="77" spans="1:18" x14ac:dyDescent="0.35">
      <c r="A77" t="s">
        <v>80</v>
      </c>
      <c r="B77" t="s">
        <v>5</v>
      </c>
      <c r="C77">
        <v>147</v>
      </c>
      <c r="E77">
        <f t="shared" si="39"/>
        <v>61655.529445520857</v>
      </c>
      <c r="F77" s="8">
        <f t="shared" si="40"/>
        <v>246.62211778208342</v>
      </c>
      <c r="G77" s="9">
        <f t="shared" si="33"/>
        <v>62.148773681085025</v>
      </c>
      <c r="H77">
        <f t="shared" si="34"/>
        <v>61717.678219201945</v>
      </c>
      <c r="K77" t="s">
        <v>12</v>
      </c>
      <c r="L77">
        <v>148</v>
      </c>
      <c r="N77" s="6">
        <f t="shared" si="41"/>
        <v>308.58839109600973</v>
      </c>
      <c r="O77" s="11">
        <f t="shared" si="36"/>
        <v>77.764274556194451</v>
      </c>
      <c r="P77">
        <f t="shared" si="37"/>
        <v>61795.442493758143</v>
      </c>
      <c r="R77">
        <f t="shared" si="38"/>
        <v>139.91304823727947</v>
      </c>
    </row>
    <row r="78" spans="1:18" x14ac:dyDescent="0.35">
      <c r="A78" t="s">
        <v>81</v>
      </c>
      <c r="B78" t="s">
        <v>5</v>
      </c>
      <c r="C78">
        <v>149</v>
      </c>
      <c r="E78">
        <f t="shared" si="39"/>
        <v>61795.442493758143</v>
      </c>
      <c r="F78" s="8">
        <f t="shared" si="40"/>
        <v>247.18176997503258</v>
      </c>
      <c r="G78" s="9">
        <f t="shared" si="33"/>
        <v>62.28980603370821</v>
      </c>
      <c r="H78">
        <f t="shared" si="34"/>
        <v>61857.732299791853</v>
      </c>
      <c r="K78" t="s">
        <v>12</v>
      </c>
      <c r="L78">
        <v>150</v>
      </c>
      <c r="N78" s="6">
        <f t="shared" si="41"/>
        <v>309.28866149895924</v>
      </c>
      <c r="O78" s="11">
        <f t="shared" si="36"/>
        <v>77.940742697737733</v>
      </c>
      <c r="P78">
        <f t="shared" si="37"/>
        <v>61935.673042489594</v>
      </c>
      <c r="R78">
        <f t="shared" si="38"/>
        <v>140.23054873144594</v>
      </c>
    </row>
    <row r="79" spans="1:18" s="6" customFormat="1" x14ac:dyDescent="0.35">
      <c r="A79" s="6" t="s">
        <v>82</v>
      </c>
      <c r="B79" s="6" t="s">
        <v>5</v>
      </c>
      <c r="C79" s="6">
        <v>151</v>
      </c>
      <c r="D79" s="7">
        <v>5.0000000000000001E-3</v>
      </c>
      <c r="E79" s="6">
        <f t="shared" si="39"/>
        <v>61935.673042489594</v>
      </c>
      <c r="F79" s="8">
        <f>E79*0.5%</f>
        <v>309.678365212448</v>
      </c>
      <c r="G79" s="9">
        <f t="shared" si="33"/>
        <v>78.038948033536897</v>
      </c>
      <c r="H79" s="6">
        <f t="shared" si="34"/>
        <v>62013.71199052313</v>
      </c>
      <c r="K79" s="6" t="s">
        <v>6</v>
      </c>
      <c r="L79" s="6">
        <v>152</v>
      </c>
      <c r="M79" s="7">
        <v>4.4999999999999997E-3</v>
      </c>
      <c r="N79" s="6">
        <f>H79*0.45%</f>
        <v>279.0617039573541</v>
      </c>
      <c r="O79" s="11">
        <f t="shared" si="36"/>
        <v>70.323549397253231</v>
      </c>
      <c r="P79" s="6">
        <f t="shared" si="37"/>
        <v>62084.035539920384</v>
      </c>
      <c r="R79" s="6">
        <f t="shared" si="38"/>
        <v>148.36249743079014</v>
      </c>
    </row>
    <row r="80" spans="1:18" x14ac:dyDescent="0.35">
      <c r="A80" t="s">
        <v>83</v>
      </c>
      <c r="B80" t="s">
        <v>5</v>
      </c>
      <c r="C80">
        <v>153</v>
      </c>
      <c r="E80">
        <f t="shared" si="39"/>
        <v>62084.035539920384</v>
      </c>
      <c r="F80" s="8">
        <f t="shared" ref="F80:F83" si="42">E80*0.5%</f>
        <v>310.42017769960194</v>
      </c>
      <c r="G80" s="9">
        <f t="shared" si="33"/>
        <v>78.225884780299694</v>
      </c>
      <c r="H80">
        <f t="shared" si="34"/>
        <v>62162.261424700686</v>
      </c>
      <c r="K80" t="s">
        <v>6</v>
      </c>
      <c r="L80">
        <v>154</v>
      </c>
      <c r="N80" s="6">
        <f t="shared" ref="N80:N83" si="43">H80*0.45%</f>
        <v>279.73017641115314</v>
      </c>
      <c r="O80" s="11">
        <f t="shared" si="36"/>
        <v>70.492004455610598</v>
      </c>
      <c r="P80">
        <f t="shared" si="37"/>
        <v>62232.753429156299</v>
      </c>
      <c r="R80">
        <f t="shared" si="38"/>
        <v>148.71788923591029</v>
      </c>
    </row>
    <row r="81" spans="1:18" x14ac:dyDescent="0.35">
      <c r="A81" t="s">
        <v>84</v>
      </c>
      <c r="B81" t="s">
        <v>5</v>
      </c>
      <c r="C81">
        <v>155</v>
      </c>
      <c r="E81">
        <f t="shared" si="39"/>
        <v>62232.753429156299</v>
      </c>
      <c r="F81" s="8">
        <f t="shared" si="42"/>
        <v>311.16376714578149</v>
      </c>
      <c r="G81" s="9">
        <f t="shared" si="33"/>
        <v>78.41326932073693</v>
      </c>
      <c r="H81">
        <f t="shared" si="34"/>
        <v>62311.166698477035</v>
      </c>
      <c r="K81" t="s">
        <v>6</v>
      </c>
      <c r="L81">
        <v>156</v>
      </c>
      <c r="N81" s="6">
        <f t="shared" si="43"/>
        <v>280.40025014314671</v>
      </c>
      <c r="O81" s="11">
        <f t="shared" si="36"/>
        <v>70.660863036072968</v>
      </c>
      <c r="P81">
        <f t="shared" si="37"/>
        <v>62381.827561513106</v>
      </c>
      <c r="R81">
        <f t="shared" si="38"/>
        <v>149.07413235680991</v>
      </c>
    </row>
    <row r="82" spans="1:18" x14ac:dyDescent="0.35">
      <c r="A82" t="s">
        <v>85</v>
      </c>
      <c r="B82" t="s">
        <v>5</v>
      </c>
      <c r="C82">
        <v>157</v>
      </c>
      <c r="E82">
        <f t="shared" si="39"/>
        <v>62381.827561513106</v>
      </c>
      <c r="F82" s="8">
        <f t="shared" si="42"/>
        <v>311.90913780756551</v>
      </c>
      <c r="G82" s="9">
        <f t="shared" si="33"/>
        <v>78.601102727506515</v>
      </c>
      <c r="H82">
        <f t="shared" si="34"/>
        <v>62460.428664240615</v>
      </c>
      <c r="K82" t="s">
        <v>6</v>
      </c>
      <c r="L82">
        <v>158</v>
      </c>
      <c r="N82" s="6">
        <f t="shared" si="43"/>
        <v>281.07192898908278</v>
      </c>
      <c r="O82" s="11">
        <f t="shared" si="36"/>
        <v>70.830126105248866</v>
      </c>
      <c r="P82">
        <f t="shared" si="37"/>
        <v>62531.258790345863</v>
      </c>
      <c r="R82">
        <f t="shared" si="38"/>
        <v>149.43122883275538</v>
      </c>
    </row>
    <row r="83" spans="1:18" x14ac:dyDescent="0.35">
      <c r="A83" t="s">
        <v>86</v>
      </c>
      <c r="B83" t="s">
        <v>5</v>
      </c>
      <c r="C83">
        <v>159</v>
      </c>
      <c r="E83">
        <f t="shared" si="39"/>
        <v>62531.258790345863</v>
      </c>
      <c r="F83" s="8">
        <f t="shared" si="42"/>
        <v>312.65629395172931</v>
      </c>
      <c r="G83" s="9">
        <f t="shared" si="33"/>
        <v>78.789386075835793</v>
      </c>
      <c r="H83">
        <f t="shared" si="34"/>
        <v>62610.048176421697</v>
      </c>
      <c r="K83" t="s">
        <v>6</v>
      </c>
      <c r="L83">
        <v>160</v>
      </c>
      <c r="N83" s="6">
        <f t="shared" si="43"/>
        <v>281.74521679389767</v>
      </c>
      <c r="O83" s="11">
        <f t="shared" si="36"/>
        <v>70.999794632062219</v>
      </c>
      <c r="P83">
        <f t="shared" si="37"/>
        <v>62681.047971053762</v>
      </c>
      <c r="R83">
        <f t="shared" si="38"/>
        <v>149.78918070789803</v>
      </c>
    </row>
    <row r="84" spans="1:18" s="6" customFormat="1" x14ac:dyDescent="0.35">
      <c r="A84" s="6" t="s">
        <v>87</v>
      </c>
      <c r="B84" s="6" t="s">
        <v>5</v>
      </c>
      <c r="C84" s="6">
        <v>161</v>
      </c>
      <c r="D84" s="7">
        <v>6.0000000000000001E-3</v>
      </c>
      <c r="E84" s="6">
        <f t="shared" si="39"/>
        <v>62681.047971053762</v>
      </c>
      <c r="F84" s="8">
        <f>E84*0.6%</f>
        <v>376.08628782632258</v>
      </c>
      <c r="G84" s="9">
        <f t="shared" si="33"/>
        <v>94.773744532233295</v>
      </c>
      <c r="H84" s="6">
        <f t="shared" si="34"/>
        <v>62775.821715585997</v>
      </c>
      <c r="K84" s="6" t="s">
        <v>12</v>
      </c>
      <c r="L84" s="6">
        <v>162</v>
      </c>
      <c r="M84" s="7">
        <v>7.0000000000000001E-3</v>
      </c>
      <c r="N84" s="6">
        <f>H84*0.7%</f>
        <v>439.43075200910192</v>
      </c>
      <c r="O84" s="11">
        <f t="shared" si="36"/>
        <v>110.73654950629368</v>
      </c>
      <c r="P84" s="6">
        <f t="shared" si="37"/>
        <v>62886.558265092288</v>
      </c>
      <c r="R84" s="6">
        <f t="shared" si="38"/>
        <v>205.51029403852698</v>
      </c>
    </row>
    <row r="85" spans="1:18" x14ac:dyDescent="0.35">
      <c r="A85" t="s">
        <v>88</v>
      </c>
      <c r="B85" t="s">
        <v>5</v>
      </c>
      <c r="C85">
        <v>163</v>
      </c>
      <c r="E85">
        <f t="shared" si="39"/>
        <v>62886.558265092288</v>
      </c>
      <c r="F85" s="8">
        <f t="shared" ref="F85:F88" si="44">E85*0.6%</f>
        <v>377.31934959055371</v>
      </c>
      <c r="G85" s="9">
        <f t="shared" si="33"/>
        <v>95.084476096819543</v>
      </c>
      <c r="H85">
        <f t="shared" si="34"/>
        <v>62981.642741189105</v>
      </c>
      <c r="K85" t="s">
        <v>12</v>
      </c>
      <c r="L85">
        <v>164</v>
      </c>
      <c r="N85" s="6">
        <f t="shared" ref="N85:N88" si="45">H85*0.7%</f>
        <v>440.8714991883237</v>
      </c>
      <c r="O85" s="11">
        <f t="shared" si="36"/>
        <v>111.09961779545758</v>
      </c>
      <c r="P85">
        <f t="shared" si="37"/>
        <v>63092.742358984564</v>
      </c>
      <c r="R85">
        <f t="shared" si="38"/>
        <v>206.18409389227713</v>
      </c>
    </row>
    <row r="86" spans="1:18" x14ac:dyDescent="0.35">
      <c r="A86" t="s">
        <v>89</v>
      </c>
      <c r="B86" t="s">
        <v>5</v>
      </c>
      <c r="C86">
        <v>165</v>
      </c>
      <c r="E86">
        <f t="shared" si="39"/>
        <v>63092.742358984564</v>
      </c>
      <c r="F86" s="8">
        <f t="shared" si="44"/>
        <v>378.5564541539074</v>
      </c>
      <c r="G86" s="9">
        <f t="shared" si="33"/>
        <v>95.396226446784667</v>
      </c>
      <c r="H86">
        <f t="shared" si="34"/>
        <v>63188.138585431348</v>
      </c>
      <c r="K86" t="s">
        <v>12</v>
      </c>
      <c r="L86">
        <v>166</v>
      </c>
      <c r="N86" s="6">
        <f t="shared" si="45"/>
        <v>442.3169700980194</v>
      </c>
      <c r="O86" s="11">
        <f t="shared" si="36"/>
        <v>111.46387646470089</v>
      </c>
      <c r="P86">
        <f t="shared" si="37"/>
        <v>63299.602461896051</v>
      </c>
      <c r="R86">
        <f t="shared" si="38"/>
        <v>206.86010291148557</v>
      </c>
    </row>
    <row r="87" spans="1:18" x14ac:dyDescent="0.35">
      <c r="A87" t="s">
        <v>90</v>
      </c>
      <c r="B87" t="s">
        <v>5</v>
      </c>
      <c r="C87">
        <v>167</v>
      </c>
      <c r="E87">
        <f t="shared" si="39"/>
        <v>63299.602461896051</v>
      </c>
      <c r="F87" s="8">
        <f t="shared" si="44"/>
        <v>379.79761477137629</v>
      </c>
      <c r="G87" s="9">
        <f t="shared" si="33"/>
        <v>95.708998922386826</v>
      </c>
      <c r="H87">
        <f t="shared" si="34"/>
        <v>63395.311460818441</v>
      </c>
      <c r="K87" t="s">
        <v>12</v>
      </c>
      <c r="L87">
        <v>168</v>
      </c>
      <c r="N87" s="6">
        <f t="shared" si="45"/>
        <v>443.76718022572902</v>
      </c>
      <c r="O87" s="11">
        <f t="shared" si="36"/>
        <v>111.82932941688371</v>
      </c>
      <c r="P87">
        <f t="shared" si="37"/>
        <v>63507.140790235324</v>
      </c>
      <c r="R87">
        <f t="shared" si="38"/>
        <v>207.53832833927055</v>
      </c>
    </row>
    <row r="88" spans="1:18" x14ac:dyDescent="0.35">
      <c r="A88" t="s">
        <v>91</v>
      </c>
      <c r="B88" t="s">
        <v>5</v>
      </c>
      <c r="C88">
        <v>169</v>
      </c>
      <c r="E88">
        <f t="shared" si="39"/>
        <v>63507.140790235324</v>
      </c>
      <c r="F88" s="8">
        <f t="shared" si="44"/>
        <v>381.04284474141195</v>
      </c>
      <c r="G88" s="9">
        <f t="shared" si="33"/>
        <v>96.022796874835819</v>
      </c>
      <c r="H88">
        <f t="shared" si="34"/>
        <v>63603.163587110161</v>
      </c>
      <c r="K88" t="s">
        <v>12</v>
      </c>
      <c r="L88">
        <v>170</v>
      </c>
      <c r="N88" s="6">
        <f t="shared" si="45"/>
        <v>445.22214510977108</v>
      </c>
      <c r="O88" s="11">
        <f t="shared" si="36"/>
        <v>112.19598056766232</v>
      </c>
      <c r="P88">
        <f t="shared" si="37"/>
        <v>63715.35956767782</v>
      </c>
      <c r="R88">
        <f t="shared" si="38"/>
        <v>208.21877744249815</v>
      </c>
    </row>
    <row r="89" spans="1:18" s="6" customFormat="1" x14ac:dyDescent="0.35">
      <c r="A89" s="6" t="s">
        <v>92</v>
      </c>
      <c r="B89" s="6" t="s">
        <v>5</v>
      </c>
      <c r="C89" s="6">
        <v>171</v>
      </c>
      <c r="D89" s="7">
        <v>7.0000000000000001E-3</v>
      </c>
      <c r="E89" s="6">
        <f t="shared" si="39"/>
        <v>63715.35956767782</v>
      </c>
      <c r="F89" s="8">
        <f>E89*0.7%</f>
        <v>446.00751697374471</v>
      </c>
      <c r="G89" s="9">
        <f t="shared" si="33"/>
        <v>112.39389427738367</v>
      </c>
      <c r="H89" s="6">
        <f t="shared" si="34"/>
        <v>63827.753461955203</v>
      </c>
      <c r="K89" s="6" t="s">
        <v>12</v>
      </c>
      <c r="L89" s="6">
        <v>172</v>
      </c>
      <c r="M89" s="7">
        <v>8.0000000000000002E-3</v>
      </c>
      <c r="N89" s="6">
        <f>H89*0.8%</f>
        <v>510.62202769564163</v>
      </c>
      <c r="O89" s="11">
        <f t="shared" si="36"/>
        <v>128.67675097930169</v>
      </c>
      <c r="P89" s="6">
        <f t="shared" si="37"/>
        <v>63956.430212934501</v>
      </c>
      <c r="R89" s="6">
        <f t="shared" si="38"/>
        <v>241.07064525668534</v>
      </c>
    </row>
    <row r="90" spans="1:18" x14ac:dyDescent="0.35">
      <c r="A90" t="s">
        <v>93</v>
      </c>
      <c r="B90" t="s">
        <v>5</v>
      </c>
      <c r="C90">
        <v>173</v>
      </c>
      <c r="E90">
        <f t="shared" si="39"/>
        <v>63956.430212934501</v>
      </c>
      <c r="F90" s="8">
        <f t="shared" ref="F90:F93" si="46">E90*0.7%</f>
        <v>447.69501149054145</v>
      </c>
      <c r="G90" s="9">
        <f t="shared" si="33"/>
        <v>112.81914289561645</v>
      </c>
      <c r="H90">
        <f t="shared" si="34"/>
        <v>64069.249355830121</v>
      </c>
      <c r="K90" t="s">
        <v>12</v>
      </c>
      <c r="L90">
        <v>174</v>
      </c>
      <c r="N90" s="6">
        <f t="shared" ref="N90:N93" si="47">H90*0.8%</f>
        <v>512.55399484664099</v>
      </c>
      <c r="O90" s="11">
        <f t="shared" si="36"/>
        <v>129.16360670135353</v>
      </c>
      <c r="P90">
        <f t="shared" si="37"/>
        <v>64198.412962531474</v>
      </c>
      <c r="R90">
        <f t="shared" si="38"/>
        <v>241.98274959697</v>
      </c>
    </row>
    <row r="91" spans="1:18" x14ac:dyDescent="0.35">
      <c r="A91" t="s">
        <v>94</v>
      </c>
      <c r="B91" t="s">
        <v>5</v>
      </c>
      <c r="C91">
        <v>175</v>
      </c>
      <c r="E91">
        <f t="shared" si="39"/>
        <v>64198.412962531474</v>
      </c>
      <c r="F91" s="8">
        <f t="shared" si="46"/>
        <v>449.38889073772026</v>
      </c>
      <c r="G91" s="9">
        <f t="shared" si="33"/>
        <v>113.24600046590551</v>
      </c>
      <c r="H91">
        <f t="shared" si="34"/>
        <v>64311.658962997382</v>
      </c>
      <c r="K91" t="s">
        <v>12</v>
      </c>
      <c r="L91">
        <v>176</v>
      </c>
      <c r="N91" s="6">
        <f t="shared" si="47"/>
        <v>514.49327170397908</v>
      </c>
      <c r="O91" s="11">
        <f t="shared" si="36"/>
        <v>129.65230446940274</v>
      </c>
      <c r="P91">
        <f t="shared" si="37"/>
        <v>64441.311267466786</v>
      </c>
      <c r="R91">
        <f t="shared" si="38"/>
        <v>242.89830493530826</v>
      </c>
    </row>
    <row r="92" spans="1:18" x14ac:dyDescent="0.35">
      <c r="A92" t="s">
        <v>95</v>
      </c>
      <c r="B92" t="s">
        <v>5</v>
      </c>
      <c r="C92">
        <v>177</v>
      </c>
      <c r="E92">
        <f t="shared" si="39"/>
        <v>64441.311267466786</v>
      </c>
      <c r="F92" s="8">
        <f t="shared" si="46"/>
        <v>451.08917887226744</v>
      </c>
      <c r="G92" s="9">
        <f t="shared" si="33"/>
        <v>113.67447307581139</v>
      </c>
      <c r="H92">
        <f t="shared" si="34"/>
        <v>64554.985740542601</v>
      </c>
      <c r="K92" t="s">
        <v>12</v>
      </c>
      <c r="L92">
        <v>178</v>
      </c>
      <c r="N92" s="6">
        <f t="shared" si="47"/>
        <v>516.43988592434084</v>
      </c>
      <c r="O92" s="11">
        <f t="shared" si="36"/>
        <v>130.14285125293389</v>
      </c>
      <c r="P92">
        <f t="shared" si="37"/>
        <v>64685.128591795532</v>
      </c>
      <c r="R92">
        <f t="shared" si="38"/>
        <v>243.81732432874529</v>
      </c>
    </row>
    <row r="93" spans="1:18" s="13" customFormat="1" x14ac:dyDescent="0.35">
      <c r="A93" s="13" t="s">
        <v>96</v>
      </c>
      <c r="B93" s="13" t="s">
        <v>5</v>
      </c>
      <c r="C93" s="13">
        <v>179</v>
      </c>
      <c r="E93" s="13">
        <f t="shared" si="39"/>
        <v>64685.128591795532</v>
      </c>
      <c r="F93" s="14">
        <f t="shared" si="46"/>
        <v>452.79590014256866</v>
      </c>
      <c r="G93" s="9">
        <f t="shared" si="33"/>
        <v>114.1045668359273</v>
      </c>
      <c r="H93" s="13">
        <f t="shared" si="34"/>
        <v>64799.233158631461</v>
      </c>
      <c r="K93" s="13" t="s">
        <v>12</v>
      </c>
      <c r="L93" s="13">
        <v>180</v>
      </c>
      <c r="N93" s="13">
        <f t="shared" si="47"/>
        <v>518.39386526905173</v>
      </c>
      <c r="O93" s="11">
        <f t="shared" si="36"/>
        <v>130.63525404780103</v>
      </c>
      <c r="P93" s="13">
        <f t="shared" si="37"/>
        <v>64929.868412679265</v>
      </c>
      <c r="R93" s="13">
        <f t="shared" si="38"/>
        <v>244.73982088372833</v>
      </c>
    </row>
    <row r="94" spans="1:18" s="6" customFormat="1" x14ac:dyDescent="0.35">
      <c r="A94" s="6" t="s">
        <v>97</v>
      </c>
      <c r="B94" s="6" t="s">
        <v>6</v>
      </c>
      <c r="C94" s="6">
        <v>181</v>
      </c>
      <c r="D94" s="7">
        <v>6.4999999999999997E-3</v>
      </c>
      <c r="E94" s="6">
        <f t="shared" si="39"/>
        <v>64929.868412679265</v>
      </c>
      <c r="F94" s="8">
        <f>E94*0.65%</f>
        <v>422.04414468241526</v>
      </c>
      <c r="G94" s="9">
        <f t="shared" si="33"/>
        <v>106.35512445996865</v>
      </c>
      <c r="H94" s="6">
        <f t="shared" si="34"/>
        <v>65036.223537139231</v>
      </c>
      <c r="I94" s="12">
        <v>0.45</v>
      </c>
      <c r="J94" s="12"/>
      <c r="K94" s="12" t="s">
        <v>12</v>
      </c>
      <c r="L94" s="6">
        <v>182</v>
      </c>
      <c r="M94" s="7">
        <v>8.9999999999999993E-3</v>
      </c>
      <c r="N94" s="6">
        <f>H94*0.9%</f>
        <v>585.32601183425311</v>
      </c>
      <c r="O94" s="11">
        <f t="shared" si="36"/>
        <v>147.50215498223179</v>
      </c>
      <c r="P94" s="6">
        <f t="shared" si="37"/>
        <v>65183.725692121465</v>
      </c>
      <c r="R94" s="6">
        <f t="shared" si="38"/>
        <v>253.85727944220042</v>
      </c>
    </row>
    <row r="95" spans="1:18" x14ac:dyDescent="0.35">
      <c r="A95" t="s">
        <v>98</v>
      </c>
      <c r="B95" t="s">
        <v>6</v>
      </c>
      <c r="C95">
        <v>183</v>
      </c>
      <c r="E95">
        <f t="shared" si="39"/>
        <v>65183.725692121465</v>
      </c>
      <c r="F95" s="8">
        <f t="shared" ref="F95:F98" si="48">E95*0.65%</f>
        <v>423.69421699878956</v>
      </c>
      <c r="G95" s="9">
        <f t="shared" si="33"/>
        <v>106.77094268369497</v>
      </c>
      <c r="H95">
        <f t="shared" si="34"/>
        <v>65290.49663480516</v>
      </c>
      <c r="K95" t="s">
        <v>12</v>
      </c>
      <c r="L95">
        <v>184</v>
      </c>
      <c r="N95" s="6">
        <f t="shared" ref="N95:N98" si="49">H95*0.9%</f>
        <v>587.61446971324654</v>
      </c>
      <c r="O95" s="11">
        <f t="shared" si="36"/>
        <v>148.07884636773812</v>
      </c>
      <c r="P95">
        <f t="shared" si="37"/>
        <v>65438.575481172898</v>
      </c>
      <c r="R95">
        <f t="shared" si="38"/>
        <v>254.84978905143311</v>
      </c>
    </row>
    <row r="96" spans="1:18" x14ac:dyDescent="0.35">
      <c r="A96" t="s">
        <v>99</v>
      </c>
      <c r="B96" t="s">
        <v>6</v>
      </c>
      <c r="C96">
        <v>185</v>
      </c>
      <c r="E96">
        <f t="shared" si="39"/>
        <v>65438.575481172898</v>
      </c>
      <c r="F96" s="8">
        <f t="shared" si="48"/>
        <v>425.35074062762385</v>
      </c>
      <c r="G96" s="9">
        <f t="shared" si="33"/>
        <v>107.18838663816121</v>
      </c>
      <c r="H96">
        <f t="shared" si="34"/>
        <v>65545.763867811052</v>
      </c>
      <c r="K96" t="s">
        <v>12</v>
      </c>
      <c r="L96">
        <v>186</v>
      </c>
      <c r="N96" s="6">
        <f t="shared" si="49"/>
        <v>589.91187481029954</v>
      </c>
      <c r="O96" s="11">
        <f t="shared" si="36"/>
        <v>148.65779245219548</v>
      </c>
      <c r="P96">
        <f t="shared" si="37"/>
        <v>65694.421660263251</v>
      </c>
      <c r="R96">
        <f t="shared" si="38"/>
        <v>255.84617909035669</v>
      </c>
    </row>
    <row r="97" spans="1:18" x14ac:dyDescent="0.35">
      <c r="A97" t="s">
        <v>100</v>
      </c>
      <c r="B97" t="s">
        <v>6</v>
      </c>
      <c r="C97">
        <v>187</v>
      </c>
      <c r="E97">
        <f t="shared" si="39"/>
        <v>65694.421660263251</v>
      </c>
      <c r="F97" s="8">
        <f t="shared" si="48"/>
        <v>427.01374079171114</v>
      </c>
      <c r="G97" s="9">
        <f t="shared" si="33"/>
        <v>107.60746267951122</v>
      </c>
      <c r="H97">
        <f t="shared" si="34"/>
        <v>65802.029122942768</v>
      </c>
      <c r="K97" t="s">
        <v>12</v>
      </c>
      <c r="L97">
        <v>188</v>
      </c>
      <c r="N97" s="6">
        <f t="shared" si="49"/>
        <v>592.21826210648499</v>
      </c>
      <c r="O97" s="11">
        <f t="shared" si="36"/>
        <v>149.23900205083422</v>
      </c>
      <c r="P97">
        <f t="shared" si="37"/>
        <v>65951.268124993599</v>
      </c>
      <c r="R97">
        <f t="shared" si="38"/>
        <v>256.84646473034542</v>
      </c>
    </row>
    <row r="98" spans="1:18" x14ac:dyDescent="0.35">
      <c r="A98" t="s">
        <v>101</v>
      </c>
      <c r="B98" t="s">
        <v>6</v>
      </c>
      <c r="C98">
        <v>189</v>
      </c>
      <c r="E98">
        <f t="shared" si="39"/>
        <v>65951.268124993599</v>
      </c>
      <c r="F98" s="8">
        <f t="shared" si="48"/>
        <v>428.68324281245845</v>
      </c>
      <c r="G98" s="9">
        <f t="shared" si="33"/>
        <v>108.02817718873953</v>
      </c>
      <c r="H98">
        <f t="shared" si="34"/>
        <v>66059.296302182338</v>
      </c>
      <c r="K98" t="s">
        <v>12</v>
      </c>
      <c r="L98">
        <v>190</v>
      </c>
      <c r="N98" s="6">
        <f t="shared" si="49"/>
        <v>594.53366671964113</v>
      </c>
      <c r="O98" s="11">
        <f t="shared" si="36"/>
        <v>149.82248401334957</v>
      </c>
      <c r="P98">
        <f t="shared" si="37"/>
        <v>66209.118786195686</v>
      </c>
      <c r="R98">
        <f t="shared" si="38"/>
        <v>257.8506612020891</v>
      </c>
    </row>
    <row r="99" spans="1:18" s="6" customFormat="1" x14ac:dyDescent="0.35">
      <c r="A99" s="6" t="s">
        <v>102</v>
      </c>
      <c r="B99" s="6" t="s">
        <v>6</v>
      </c>
      <c r="C99" s="6">
        <v>191</v>
      </c>
      <c r="D99" s="7">
        <v>6.0000000000000001E-3</v>
      </c>
      <c r="E99" s="6">
        <f t="shared" si="39"/>
        <v>66209.118786195686</v>
      </c>
      <c r="F99" s="8">
        <f>E99*0.6%</f>
        <v>397.25471271717413</v>
      </c>
      <c r="G99" s="9">
        <f t="shared" si="33"/>
        <v>100.10818760472789</v>
      </c>
      <c r="H99" s="6">
        <f t="shared" si="34"/>
        <v>66309.226973800411</v>
      </c>
      <c r="K99" s="6" t="s">
        <v>12</v>
      </c>
      <c r="L99" s="6">
        <v>192</v>
      </c>
      <c r="M99" s="7">
        <v>8.5000000000000006E-3</v>
      </c>
      <c r="N99" s="6">
        <f>H99*0.85%</f>
        <v>563.62842927730355</v>
      </c>
      <c r="O99" s="11">
        <f t="shared" si="36"/>
        <v>142.03436417788049</v>
      </c>
      <c r="P99" s="6">
        <f t="shared" si="37"/>
        <v>66451.261337978285</v>
      </c>
      <c r="R99" s="6">
        <f t="shared" si="38"/>
        <v>242.14255178260839</v>
      </c>
    </row>
    <row r="100" spans="1:18" x14ac:dyDescent="0.35">
      <c r="A100" t="s">
        <v>103</v>
      </c>
      <c r="B100" t="s">
        <v>6</v>
      </c>
      <c r="C100">
        <v>193</v>
      </c>
      <c r="E100">
        <f t="shared" si="39"/>
        <v>66451.261337978285</v>
      </c>
      <c r="F100" s="8">
        <f t="shared" ref="F100:F103" si="50">E100*0.6%</f>
        <v>398.70756802786974</v>
      </c>
      <c r="G100" s="9">
        <f t="shared" si="33"/>
        <v>100.47430714302318</v>
      </c>
      <c r="H100">
        <f t="shared" si="34"/>
        <v>66551.735645121313</v>
      </c>
      <c r="K100" t="s">
        <v>12</v>
      </c>
      <c r="L100">
        <v>194</v>
      </c>
      <c r="N100" s="6">
        <f t="shared" ref="N100:N103" si="51">H100*0.85%</f>
        <v>565.68975298353121</v>
      </c>
      <c r="O100" s="11">
        <f t="shared" si="36"/>
        <v>142.55381775184986</v>
      </c>
      <c r="P100">
        <f t="shared" si="37"/>
        <v>66694.289462873159</v>
      </c>
      <c r="R100">
        <f t="shared" si="38"/>
        <v>243.02812489487303</v>
      </c>
    </row>
    <row r="101" spans="1:18" x14ac:dyDescent="0.35">
      <c r="A101" t="s">
        <v>104</v>
      </c>
      <c r="B101" t="s">
        <v>6</v>
      </c>
      <c r="C101">
        <v>195</v>
      </c>
      <c r="E101">
        <f t="shared" si="39"/>
        <v>66694.289462873159</v>
      </c>
      <c r="F101" s="8">
        <f t="shared" si="50"/>
        <v>400.16573677723898</v>
      </c>
      <c r="G101" s="9">
        <f t="shared" si="33"/>
        <v>100.84176566786422</v>
      </c>
      <c r="H101">
        <f t="shared" si="34"/>
        <v>66795.131228541024</v>
      </c>
      <c r="K101" t="s">
        <v>12</v>
      </c>
      <c r="L101">
        <v>196</v>
      </c>
      <c r="N101" s="6">
        <f t="shared" si="51"/>
        <v>567.75861544259874</v>
      </c>
      <c r="O101" s="11">
        <f t="shared" si="36"/>
        <v>143.07517109153488</v>
      </c>
      <c r="P101">
        <f t="shared" si="37"/>
        <v>66938.20639963256</v>
      </c>
      <c r="R101">
        <f t="shared" si="38"/>
        <v>243.91693675939911</v>
      </c>
    </row>
    <row r="102" spans="1:18" x14ac:dyDescent="0.35">
      <c r="A102" t="s">
        <v>105</v>
      </c>
      <c r="B102" t="s">
        <v>6</v>
      </c>
      <c r="C102">
        <v>197</v>
      </c>
      <c r="E102">
        <f t="shared" si="39"/>
        <v>66938.20639963256</v>
      </c>
      <c r="F102" s="8">
        <f t="shared" si="50"/>
        <v>401.62923839779535</v>
      </c>
      <c r="G102" s="9">
        <f t="shared" si="33"/>
        <v>101.21056807624443</v>
      </c>
      <c r="H102">
        <f t="shared" si="34"/>
        <v>67039.416967708807</v>
      </c>
      <c r="K102" t="s">
        <v>12</v>
      </c>
      <c r="L102">
        <v>198</v>
      </c>
      <c r="N102" s="6">
        <f t="shared" si="51"/>
        <v>569.83504422552494</v>
      </c>
      <c r="O102" s="11">
        <f t="shared" si="36"/>
        <v>143.59843114483229</v>
      </c>
      <c r="P102">
        <f t="shared" si="37"/>
        <v>67183.015398853633</v>
      </c>
      <c r="R102">
        <f t="shared" si="38"/>
        <v>244.8089992210767</v>
      </c>
    </row>
    <row r="103" spans="1:18" x14ac:dyDescent="0.35">
      <c r="A103" t="s">
        <v>106</v>
      </c>
      <c r="B103" t="s">
        <v>6</v>
      </c>
      <c r="C103">
        <v>199</v>
      </c>
      <c r="E103">
        <f t="shared" si="39"/>
        <v>67183.015398853633</v>
      </c>
      <c r="F103" s="8">
        <f t="shared" si="50"/>
        <v>403.09809239312182</v>
      </c>
      <c r="G103" s="9">
        <f t="shared" si="33"/>
        <v>101.5807192830667</v>
      </c>
      <c r="H103">
        <f t="shared" si="34"/>
        <v>67284.596118136702</v>
      </c>
      <c r="K103" t="s">
        <v>12</v>
      </c>
      <c r="L103">
        <v>200</v>
      </c>
      <c r="N103" s="6">
        <f t="shared" si="51"/>
        <v>571.919067004162</v>
      </c>
      <c r="O103" s="11">
        <f t="shared" si="36"/>
        <v>144.12360488504882</v>
      </c>
      <c r="P103">
        <f t="shared" si="37"/>
        <v>67428.719723021757</v>
      </c>
      <c r="R103">
        <f t="shared" si="38"/>
        <v>245.70432416811553</v>
      </c>
    </row>
    <row r="104" spans="1:18" s="6" customFormat="1" x14ac:dyDescent="0.35">
      <c r="A104" s="6" t="s">
        <v>107</v>
      </c>
      <c r="B104" s="6" t="s">
        <v>6</v>
      </c>
      <c r="C104" s="6">
        <v>201</v>
      </c>
      <c r="D104" s="7">
        <v>5.4999999999999997E-3</v>
      </c>
      <c r="E104" s="6">
        <f t="shared" si="39"/>
        <v>67428.719723021757</v>
      </c>
      <c r="F104" s="8">
        <f>E104*0.55%</f>
        <v>370.85795847661973</v>
      </c>
      <c r="G104" s="9">
        <f t="shared" si="33"/>
        <v>93.456205536108172</v>
      </c>
      <c r="H104" s="6">
        <f t="shared" si="34"/>
        <v>67522.175928557859</v>
      </c>
      <c r="K104" s="6" t="s">
        <v>12</v>
      </c>
      <c r="L104" s="6">
        <v>202</v>
      </c>
      <c r="M104" s="7">
        <v>8.0000000000000002E-3</v>
      </c>
      <c r="N104" s="6">
        <f>H104*0.8%</f>
        <v>540.17740742846286</v>
      </c>
      <c r="O104" s="11">
        <f t="shared" si="36"/>
        <v>136.12470667197263</v>
      </c>
      <c r="P104" s="6">
        <f t="shared" si="37"/>
        <v>67658.300635229825</v>
      </c>
      <c r="R104" s="6">
        <f t="shared" si="38"/>
        <v>229.5809122080808</v>
      </c>
    </row>
    <row r="105" spans="1:18" x14ac:dyDescent="0.35">
      <c r="A105" t="s">
        <v>108</v>
      </c>
      <c r="B105" t="s">
        <v>6</v>
      </c>
      <c r="C105">
        <v>203</v>
      </c>
      <c r="E105">
        <f t="shared" si="39"/>
        <v>67658.300635229825</v>
      </c>
      <c r="F105" s="8">
        <f t="shared" ref="F105:F108" si="52">E105*0.55%</f>
        <v>372.12065349376405</v>
      </c>
      <c r="G105" s="9">
        <f t="shared" si="33"/>
        <v>93.774404680428546</v>
      </c>
      <c r="H105">
        <f t="shared" si="34"/>
        <v>67752.075039910254</v>
      </c>
      <c r="K105" t="s">
        <v>12</v>
      </c>
      <c r="L105">
        <v>204</v>
      </c>
      <c r="N105" s="6">
        <f t="shared" ref="N105:N108" si="53">H105*0.8%</f>
        <v>542.01660031928202</v>
      </c>
      <c r="O105" s="11">
        <f t="shared" si="36"/>
        <v>136.58818328045908</v>
      </c>
      <c r="P105">
        <f t="shared" si="37"/>
        <v>67888.663223190713</v>
      </c>
      <c r="R105">
        <f t="shared" si="38"/>
        <v>230.36258796088762</v>
      </c>
    </row>
    <row r="106" spans="1:18" x14ac:dyDescent="0.35">
      <c r="A106" t="s">
        <v>109</v>
      </c>
      <c r="B106" t="s">
        <v>6</v>
      </c>
      <c r="C106">
        <v>205</v>
      </c>
      <c r="E106">
        <f t="shared" si="39"/>
        <v>67888.663223190713</v>
      </c>
      <c r="F106" s="8">
        <f t="shared" si="52"/>
        <v>373.38764772754894</v>
      </c>
      <c r="G106" s="9">
        <f t="shared" si="33"/>
        <v>94.093687227342329</v>
      </c>
      <c r="H106">
        <f t="shared" si="34"/>
        <v>67982.756910418058</v>
      </c>
      <c r="K106" t="s">
        <v>12</v>
      </c>
      <c r="L106">
        <v>206</v>
      </c>
      <c r="N106" s="6">
        <f t="shared" si="53"/>
        <v>543.86205528334449</v>
      </c>
      <c r="O106" s="11">
        <f t="shared" si="36"/>
        <v>137.0532379314028</v>
      </c>
      <c r="P106">
        <f t="shared" si="37"/>
        <v>68119.810148349468</v>
      </c>
      <c r="R106">
        <f t="shared" si="38"/>
        <v>231.14692515874515</v>
      </c>
    </row>
    <row r="107" spans="1:18" x14ac:dyDescent="0.35">
      <c r="A107" t="s">
        <v>110</v>
      </c>
      <c r="B107" t="s">
        <v>6</v>
      </c>
      <c r="C107">
        <v>207</v>
      </c>
      <c r="E107">
        <f t="shared" si="39"/>
        <v>68119.810148349468</v>
      </c>
      <c r="F107" s="8">
        <f t="shared" si="52"/>
        <v>374.65895581592213</v>
      </c>
      <c r="G107" s="9">
        <f t="shared" si="33"/>
        <v>94.41405686561238</v>
      </c>
      <c r="H107">
        <f t="shared" si="34"/>
        <v>68214.224205215083</v>
      </c>
      <c r="K107" t="s">
        <v>12</v>
      </c>
      <c r="L107">
        <v>208</v>
      </c>
      <c r="N107" s="6">
        <f t="shared" si="53"/>
        <v>545.71379364172071</v>
      </c>
      <c r="O107" s="11">
        <f t="shared" si="36"/>
        <v>137.51987599771363</v>
      </c>
      <c r="P107">
        <f t="shared" si="37"/>
        <v>68351.74408121279</v>
      </c>
      <c r="R107">
        <f t="shared" si="38"/>
        <v>231.93393286332599</v>
      </c>
    </row>
    <row r="108" spans="1:18" x14ac:dyDescent="0.35">
      <c r="A108" t="s">
        <v>111</v>
      </c>
      <c r="B108" t="s">
        <v>6</v>
      </c>
      <c r="C108">
        <v>209</v>
      </c>
      <c r="D108" s="15"/>
      <c r="E108">
        <f t="shared" si="39"/>
        <v>68351.74408121279</v>
      </c>
      <c r="F108" s="8">
        <f t="shared" si="52"/>
        <v>375.93459244667037</v>
      </c>
      <c r="G108" s="9">
        <f t="shared" si="33"/>
        <v>94.735517296560928</v>
      </c>
      <c r="H108">
        <f t="shared" si="34"/>
        <v>68446.479598509351</v>
      </c>
      <c r="K108" t="s">
        <v>12</v>
      </c>
      <c r="L108">
        <v>210</v>
      </c>
      <c r="N108" s="6">
        <f t="shared" si="53"/>
        <v>547.57183678807485</v>
      </c>
      <c r="O108" s="11">
        <f t="shared" si="36"/>
        <v>137.98810287059487</v>
      </c>
      <c r="P108">
        <f t="shared" si="37"/>
        <v>68584.467701379952</v>
      </c>
      <c r="R108">
        <f t="shared" si="38"/>
        <v>232.72362016715579</v>
      </c>
    </row>
    <row r="109" spans="1:18" s="6" customFormat="1" x14ac:dyDescent="0.35">
      <c r="A109" s="6" t="s">
        <v>112</v>
      </c>
      <c r="B109" s="6" t="s">
        <v>6</v>
      </c>
      <c r="C109" s="6">
        <v>211</v>
      </c>
      <c r="D109" s="7">
        <v>5.0000000000000001E-3</v>
      </c>
      <c r="E109" s="6">
        <f t="shared" si="39"/>
        <v>68584.467701379952</v>
      </c>
      <c r="F109" s="8">
        <f>E109*0.5%</f>
        <v>342.92233850689979</v>
      </c>
      <c r="G109" s="9">
        <f t="shared" si="33"/>
        <v>86.416429303738752</v>
      </c>
      <c r="H109" s="6">
        <f t="shared" si="34"/>
        <v>68670.884130683684</v>
      </c>
      <c r="K109" s="6" t="s">
        <v>12</v>
      </c>
      <c r="L109" s="6">
        <v>212</v>
      </c>
      <c r="M109" s="7">
        <v>7.4999999999999997E-3</v>
      </c>
      <c r="N109" s="6">
        <f>H109*0.75%</f>
        <v>515.0316309801276</v>
      </c>
      <c r="O109" s="11">
        <f t="shared" si="36"/>
        <v>129.78797100699217</v>
      </c>
      <c r="P109" s="6">
        <f t="shared" si="37"/>
        <v>68800.672101690681</v>
      </c>
      <c r="R109" s="6">
        <f t="shared" si="38"/>
        <v>216.20440031073093</v>
      </c>
    </row>
    <row r="110" spans="1:18" x14ac:dyDescent="0.35">
      <c r="A110" t="s">
        <v>113</v>
      </c>
      <c r="B110" t="s">
        <v>6</v>
      </c>
      <c r="C110">
        <v>213</v>
      </c>
      <c r="E110">
        <f t="shared" si="39"/>
        <v>68800.672101690681</v>
      </c>
      <c r="F110" s="8">
        <f t="shared" ref="F110:F113" si="54">E110*0.5%</f>
        <v>344.0033605084534</v>
      </c>
      <c r="G110" s="9">
        <f t="shared" si="33"/>
        <v>86.688846848130254</v>
      </c>
      <c r="H110">
        <f t="shared" si="34"/>
        <v>68887.360948538815</v>
      </c>
      <c r="K110" t="s">
        <v>12</v>
      </c>
      <c r="L110">
        <v>214</v>
      </c>
      <c r="N110" s="6">
        <f t="shared" ref="N110:N113" si="55">H110*0.75%</f>
        <v>516.6552071140411</v>
      </c>
      <c r="O110" s="11">
        <f t="shared" si="36"/>
        <v>130.19711219273836</v>
      </c>
      <c r="P110">
        <f t="shared" si="37"/>
        <v>69017.55806073155</v>
      </c>
      <c r="R110">
        <f t="shared" si="38"/>
        <v>216.88595904086861</v>
      </c>
    </row>
    <row r="111" spans="1:18" x14ac:dyDescent="0.35">
      <c r="A111" t="s">
        <v>114</v>
      </c>
      <c r="B111" t="s">
        <v>6</v>
      </c>
      <c r="C111">
        <v>215</v>
      </c>
      <c r="E111">
        <f t="shared" si="39"/>
        <v>69017.55806073155</v>
      </c>
      <c r="F111" s="8">
        <f t="shared" si="54"/>
        <v>345.08779030365775</v>
      </c>
      <c r="G111" s="9">
        <f t="shared" si="33"/>
        <v>86.962123156521756</v>
      </c>
      <c r="H111">
        <f t="shared" si="34"/>
        <v>69104.520183888075</v>
      </c>
      <c r="K111" t="s">
        <v>12</v>
      </c>
      <c r="L111">
        <v>216</v>
      </c>
      <c r="N111" s="6">
        <f t="shared" si="55"/>
        <v>518.28390137916051</v>
      </c>
      <c r="O111" s="11">
        <f t="shared" si="36"/>
        <v>130.60754314754845</v>
      </c>
      <c r="P111">
        <f t="shared" si="37"/>
        <v>69235.127727035622</v>
      </c>
      <c r="R111">
        <f t="shared" si="38"/>
        <v>217.56966630407021</v>
      </c>
    </row>
    <row r="112" spans="1:18" x14ac:dyDescent="0.35">
      <c r="A112" t="s">
        <v>115</v>
      </c>
      <c r="B112" t="s">
        <v>6</v>
      </c>
      <c r="C112">
        <v>217</v>
      </c>
      <c r="E112">
        <f t="shared" si="39"/>
        <v>69235.127727035622</v>
      </c>
      <c r="F112" s="8">
        <f t="shared" si="54"/>
        <v>346.17563863517813</v>
      </c>
      <c r="G112" s="9">
        <f t="shared" si="33"/>
        <v>87.236260936064895</v>
      </c>
      <c r="H112">
        <f t="shared" si="34"/>
        <v>69322.363987971694</v>
      </c>
      <c r="K112" t="s">
        <v>12</v>
      </c>
      <c r="L112">
        <v>218</v>
      </c>
      <c r="N112" s="6">
        <f t="shared" si="55"/>
        <v>519.91772990978768</v>
      </c>
      <c r="O112" s="11">
        <f t="shared" si="36"/>
        <v>131.01926793726651</v>
      </c>
      <c r="P112">
        <f t="shared" si="37"/>
        <v>69453.383255908964</v>
      </c>
      <c r="R112">
        <f t="shared" si="38"/>
        <v>218.2555288733314</v>
      </c>
    </row>
    <row r="113" spans="1:18" x14ac:dyDescent="0.35">
      <c r="A113" t="s">
        <v>116</v>
      </c>
      <c r="B113" t="s">
        <v>6</v>
      </c>
      <c r="C113">
        <v>219</v>
      </c>
      <c r="E113">
        <f t="shared" si="39"/>
        <v>69453.383255908964</v>
      </c>
      <c r="F113" s="8">
        <f t="shared" si="54"/>
        <v>347.26691627954483</v>
      </c>
      <c r="G113" s="9">
        <f t="shared" si="33"/>
        <v>87.511262902445296</v>
      </c>
      <c r="H113">
        <f t="shared" si="34"/>
        <v>69540.894518811416</v>
      </c>
      <c r="K113" t="s">
        <v>12</v>
      </c>
      <c r="L113">
        <v>220</v>
      </c>
      <c r="N113" s="6">
        <f t="shared" si="55"/>
        <v>521.55670889108558</v>
      </c>
      <c r="O113" s="11">
        <f t="shared" si="36"/>
        <v>131.43229064055356</v>
      </c>
      <c r="P113">
        <f t="shared" si="37"/>
        <v>69672.326809451974</v>
      </c>
      <c r="R113">
        <f t="shared" si="38"/>
        <v>218.94355354299887</v>
      </c>
    </row>
    <row r="114" spans="1:18" s="6" customFormat="1" x14ac:dyDescent="0.35">
      <c r="A114" s="6" t="s">
        <v>117</v>
      </c>
      <c r="B114" s="6" t="s">
        <v>6</v>
      </c>
      <c r="C114" s="6">
        <v>221</v>
      </c>
      <c r="D114" s="7">
        <v>4.4999999999999997E-3</v>
      </c>
      <c r="E114" s="6">
        <f t="shared" si="39"/>
        <v>69672.326809451974</v>
      </c>
      <c r="F114" s="8">
        <f>E114*0.45%</f>
        <v>313.52547064253389</v>
      </c>
      <c r="G114" s="9">
        <f t="shared" si="33"/>
        <v>79.008418601918535</v>
      </c>
      <c r="H114" s="6">
        <f t="shared" si="34"/>
        <v>69751.335228053897</v>
      </c>
      <c r="K114" s="6" t="s">
        <v>12</v>
      </c>
      <c r="L114" s="6">
        <v>222</v>
      </c>
      <c r="M114" s="7">
        <v>7.0000000000000097E-3</v>
      </c>
      <c r="N114" s="6">
        <f>H114*0.7%</f>
        <v>488.25934659637721</v>
      </c>
      <c r="O114" s="11">
        <f t="shared" si="36"/>
        <v>123.04135534228706</v>
      </c>
      <c r="P114" s="6">
        <f t="shared" si="37"/>
        <v>69874.376583396181</v>
      </c>
      <c r="R114" s="6">
        <f t="shared" si="38"/>
        <v>202.04977394420558</v>
      </c>
    </row>
    <row r="115" spans="1:18" x14ac:dyDescent="0.35">
      <c r="A115" t="s">
        <v>118</v>
      </c>
      <c r="B115" t="s">
        <v>6</v>
      </c>
      <c r="C115">
        <v>223</v>
      </c>
      <c r="E115">
        <f t="shared" si="39"/>
        <v>69874.376583396181</v>
      </c>
      <c r="F115" s="8">
        <f t="shared" ref="F115:F118" si="56">E115*0.45%</f>
        <v>314.43469462528287</v>
      </c>
      <c r="G115" s="9">
        <f t="shared" si="33"/>
        <v>79.237543045571286</v>
      </c>
      <c r="H115">
        <f t="shared" si="34"/>
        <v>69953.614126441753</v>
      </c>
      <c r="K115" t="s">
        <v>12</v>
      </c>
      <c r="L115">
        <v>224</v>
      </c>
      <c r="N115" s="6">
        <f t="shared" ref="N115:N118" si="57">H115*0.7%</f>
        <v>489.67529888509222</v>
      </c>
      <c r="O115" s="11">
        <f t="shared" si="36"/>
        <v>123.39817531904323</v>
      </c>
      <c r="P115">
        <f t="shared" si="37"/>
        <v>70077.012301760798</v>
      </c>
      <c r="R115">
        <f t="shared" si="38"/>
        <v>202.63571836461452</v>
      </c>
    </row>
    <row r="116" spans="1:18" x14ac:dyDescent="0.35">
      <c r="A116" t="s">
        <v>119</v>
      </c>
      <c r="B116" t="s">
        <v>6</v>
      </c>
      <c r="C116">
        <v>225</v>
      </c>
      <c r="E116">
        <f t="shared" si="39"/>
        <v>70077.012301760798</v>
      </c>
      <c r="F116" s="8">
        <f t="shared" si="56"/>
        <v>315.34655535792365</v>
      </c>
      <c r="G116" s="9">
        <f t="shared" si="33"/>
        <v>79.467331950196765</v>
      </c>
      <c r="H116">
        <f t="shared" si="34"/>
        <v>70156.479633711002</v>
      </c>
      <c r="K116" t="s">
        <v>12</v>
      </c>
      <c r="L116">
        <v>226</v>
      </c>
      <c r="N116" s="6">
        <f t="shared" si="57"/>
        <v>491.09535743597695</v>
      </c>
      <c r="O116" s="11">
        <f t="shared" si="36"/>
        <v>123.7560300738662</v>
      </c>
      <c r="P116">
        <f t="shared" si="37"/>
        <v>70280.235663784872</v>
      </c>
      <c r="R116">
        <f t="shared" si="38"/>
        <v>203.22336202406296</v>
      </c>
    </row>
    <row r="117" spans="1:18" x14ac:dyDescent="0.35">
      <c r="A117" t="s">
        <v>120</v>
      </c>
      <c r="B117" t="s">
        <v>6</v>
      </c>
      <c r="C117">
        <v>227</v>
      </c>
      <c r="E117">
        <f t="shared" si="39"/>
        <v>70280.235663784872</v>
      </c>
      <c r="F117" s="8">
        <f t="shared" si="56"/>
        <v>316.26106048703195</v>
      </c>
      <c r="G117" s="9">
        <f t="shared" si="33"/>
        <v>79.697787242732048</v>
      </c>
      <c r="H117">
        <f t="shared" si="34"/>
        <v>70359.933451027609</v>
      </c>
      <c r="K117" t="s">
        <v>12</v>
      </c>
      <c r="L117">
        <v>228</v>
      </c>
      <c r="N117" s="6">
        <f t="shared" si="57"/>
        <v>492.51953415719322</v>
      </c>
      <c r="O117" s="11">
        <f t="shared" si="36"/>
        <v>124.1149226076127</v>
      </c>
      <c r="P117">
        <f t="shared" si="37"/>
        <v>70484.048373635218</v>
      </c>
      <c r="R117">
        <f t="shared" si="38"/>
        <v>203.81270985034473</v>
      </c>
    </row>
    <row r="118" spans="1:18" x14ac:dyDescent="0.35">
      <c r="A118" t="s">
        <v>121</v>
      </c>
      <c r="B118" t="s">
        <v>6</v>
      </c>
      <c r="C118">
        <v>229</v>
      </c>
      <c r="E118">
        <f t="shared" si="39"/>
        <v>70484.048373635218</v>
      </c>
      <c r="F118" s="8">
        <f t="shared" si="56"/>
        <v>317.17821768135855</v>
      </c>
      <c r="G118" s="9">
        <f t="shared" si="33"/>
        <v>79.928910855702355</v>
      </c>
      <c r="H118">
        <f t="shared" si="34"/>
        <v>70563.977284490917</v>
      </c>
      <c r="K118" t="s">
        <v>12</v>
      </c>
      <c r="L118">
        <v>230</v>
      </c>
      <c r="N118" s="6">
        <f t="shared" si="57"/>
        <v>493.94784099143635</v>
      </c>
      <c r="O118" s="11">
        <f t="shared" si="36"/>
        <v>124.47485592984197</v>
      </c>
      <c r="P118">
        <f t="shared" si="37"/>
        <v>70688.452140420763</v>
      </c>
      <c r="R118">
        <f t="shared" si="38"/>
        <v>204.40376678554432</v>
      </c>
    </row>
    <row r="119" spans="1:18" s="6" customFormat="1" x14ac:dyDescent="0.35">
      <c r="A119" s="6" t="s">
        <v>122</v>
      </c>
      <c r="B119" s="6" t="s">
        <v>6</v>
      </c>
      <c r="C119" s="6">
        <v>231</v>
      </c>
      <c r="D119" s="7">
        <v>4.0000000000000001E-3</v>
      </c>
      <c r="E119" s="6">
        <f t="shared" si="39"/>
        <v>70688.452140420763</v>
      </c>
      <c r="F119" s="8">
        <f>E119*0.4%</f>
        <v>282.75380856168306</v>
      </c>
      <c r="G119" s="9">
        <f t="shared" si="33"/>
        <v>71.253959757544138</v>
      </c>
      <c r="H119" s="6">
        <f t="shared" si="34"/>
        <v>70759.7061001783</v>
      </c>
      <c r="K119" s="6" t="s">
        <v>12</v>
      </c>
      <c r="L119" s="6">
        <v>232</v>
      </c>
      <c r="M119" s="7">
        <v>6.5000000000000101E-3</v>
      </c>
      <c r="N119" s="6">
        <f>H119*0.65%</f>
        <v>459.93808965115898</v>
      </c>
      <c r="O119" s="11">
        <f t="shared" si="36"/>
        <v>115.90439859209206</v>
      </c>
      <c r="P119" s="6">
        <f t="shared" si="37"/>
        <v>70875.610498770387</v>
      </c>
      <c r="R119" s="6">
        <f t="shared" si="38"/>
        <v>187.15835834963622</v>
      </c>
    </row>
    <row r="120" spans="1:18" x14ac:dyDescent="0.35">
      <c r="A120" t="s">
        <v>123</v>
      </c>
      <c r="B120" t="s">
        <v>6</v>
      </c>
      <c r="C120">
        <v>233</v>
      </c>
      <c r="E120">
        <f t="shared" si="39"/>
        <v>70875.610498770387</v>
      </c>
      <c r="F120" s="8">
        <f t="shared" ref="F120:F123" si="58">E120*0.4%</f>
        <v>283.50244199508154</v>
      </c>
      <c r="G120" s="9">
        <f t="shared" si="33"/>
        <v>71.44261538276055</v>
      </c>
      <c r="H120">
        <f t="shared" si="34"/>
        <v>70947.053114153154</v>
      </c>
      <c r="K120" t="s">
        <v>12</v>
      </c>
      <c r="L120">
        <v>234</v>
      </c>
      <c r="N120" s="6">
        <f t="shared" ref="N120:N123" si="59">H120*0.65%</f>
        <v>461.15584524199556</v>
      </c>
      <c r="O120" s="11">
        <f t="shared" si="36"/>
        <v>116.21127300098289</v>
      </c>
      <c r="P120">
        <f t="shared" si="37"/>
        <v>71063.264387154137</v>
      </c>
      <c r="R120">
        <f t="shared" si="38"/>
        <v>187.65388838374344</v>
      </c>
    </row>
    <row r="121" spans="1:18" x14ac:dyDescent="0.35">
      <c r="A121" t="s">
        <v>124</v>
      </c>
      <c r="B121" t="s">
        <v>6</v>
      </c>
      <c r="C121">
        <v>235</v>
      </c>
      <c r="E121">
        <f t="shared" si="39"/>
        <v>71063.264387154137</v>
      </c>
      <c r="F121" s="8">
        <f t="shared" si="58"/>
        <v>284.25305754861654</v>
      </c>
      <c r="G121" s="9">
        <f t="shared" si="33"/>
        <v>71.631770502251371</v>
      </c>
      <c r="H121">
        <f t="shared" si="34"/>
        <v>71134.896157656389</v>
      </c>
      <c r="K121" t="s">
        <v>12</v>
      </c>
      <c r="L121">
        <v>236</v>
      </c>
      <c r="N121" s="6">
        <f t="shared" si="59"/>
        <v>462.37682502476656</v>
      </c>
      <c r="O121" s="11">
        <f t="shared" si="36"/>
        <v>116.51895990624118</v>
      </c>
      <c r="P121">
        <f t="shared" si="37"/>
        <v>71251.415117562632</v>
      </c>
      <c r="R121">
        <f t="shared" si="38"/>
        <v>188.15073040849256</v>
      </c>
    </row>
    <row r="122" spans="1:18" x14ac:dyDescent="0.35">
      <c r="A122" t="s">
        <v>125</v>
      </c>
      <c r="B122" t="s">
        <v>6</v>
      </c>
      <c r="C122">
        <v>237</v>
      </c>
      <c r="E122">
        <f t="shared" si="39"/>
        <v>71251.415117562632</v>
      </c>
      <c r="F122" s="8">
        <f t="shared" si="58"/>
        <v>285.00566047025052</v>
      </c>
      <c r="G122" s="9">
        <f t="shared" si="33"/>
        <v>71.821426438503124</v>
      </c>
      <c r="H122">
        <f t="shared" si="34"/>
        <v>71323.236544001134</v>
      </c>
      <c r="K122" t="s">
        <v>12</v>
      </c>
      <c r="L122">
        <v>238</v>
      </c>
      <c r="N122" s="6">
        <f t="shared" si="59"/>
        <v>463.60103753600742</v>
      </c>
      <c r="O122" s="11">
        <f t="shared" si="36"/>
        <v>116.82746145907387</v>
      </c>
      <c r="P122">
        <f t="shared" si="37"/>
        <v>71440.064005460212</v>
      </c>
      <c r="R122">
        <f t="shared" si="38"/>
        <v>188.648887897577</v>
      </c>
    </row>
    <row r="123" spans="1:18" s="13" customFormat="1" x14ac:dyDescent="0.35">
      <c r="A123" s="13" t="s">
        <v>126</v>
      </c>
      <c r="B123" s="13" t="s">
        <v>6</v>
      </c>
      <c r="C123" s="13">
        <v>239</v>
      </c>
      <c r="E123" s="13">
        <f t="shared" si="39"/>
        <v>71440.064005460212</v>
      </c>
      <c r="F123" s="14">
        <f t="shared" si="58"/>
        <v>285.76025602184086</v>
      </c>
      <c r="G123" s="9">
        <f t="shared" si="33"/>
        <v>72.011584517503891</v>
      </c>
      <c r="H123" s="13">
        <f t="shared" si="34"/>
        <v>71512.075589977714</v>
      </c>
      <c r="K123" s="13" t="s">
        <v>12</v>
      </c>
      <c r="L123" s="13">
        <v>240</v>
      </c>
      <c r="N123" s="13">
        <f t="shared" si="59"/>
        <v>464.82849133485519</v>
      </c>
      <c r="O123" s="11">
        <f t="shared" si="36"/>
        <v>117.13677981638351</v>
      </c>
      <c r="P123" s="13">
        <f t="shared" si="37"/>
        <v>71629.212369794099</v>
      </c>
      <c r="R123" s="13">
        <f t="shared" si="38"/>
        <v>189.1483643338874</v>
      </c>
    </row>
    <row r="124" spans="1:18" s="6" customFormat="1" x14ac:dyDescent="0.35">
      <c r="A124" s="6" t="s">
        <v>127</v>
      </c>
      <c r="B124" s="6" t="s">
        <v>6</v>
      </c>
      <c r="C124" s="6">
        <v>241</v>
      </c>
      <c r="D124" s="7">
        <v>5.0000000000000001E-3</v>
      </c>
      <c r="E124" s="6">
        <f t="shared" si="39"/>
        <v>71629.212369794099</v>
      </c>
      <c r="F124" s="8">
        <f>E124*0.5%</f>
        <v>358.14606184897048</v>
      </c>
      <c r="G124" s="9">
        <f t="shared" si="33"/>
        <v>90.252807585940559</v>
      </c>
      <c r="H124" s="6">
        <f t="shared" si="34"/>
        <v>71719.465177380043</v>
      </c>
      <c r="K124" s="6" t="s">
        <v>12</v>
      </c>
      <c r="L124" s="6">
        <v>242</v>
      </c>
      <c r="M124" s="7">
        <v>6.0000000000000097E-3</v>
      </c>
      <c r="N124" s="6">
        <f>H124*0.6%</f>
        <v>430.31679106428027</v>
      </c>
      <c r="O124" s="11">
        <f t="shared" si="36"/>
        <v>108.43983134819862</v>
      </c>
      <c r="P124" s="6">
        <f t="shared" si="37"/>
        <v>71827.905008728238</v>
      </c>
      <c r="R124" s="6">
        <f t="shared" si="38"/>
        <v>198.69263893413918</v>
      </c>
    </row>
    <row r="125" spans="1:18" x14ac:dyDescent="0.35">
      <c r="A125" t="s">
        <v>128</v>
      </c>
      <c r="B125" t="s">
        <v>6</v>
      </c>
      <c r="C125">
        <v>243</v>
      </c>
      <c r="E125">
        <f t="shared" si="39"/>
        <v>71827.905008728238</v>
      </c>
      <c r="F125" s="8">
        <f t="shared" ref="F125:F128" si="60">E125*0.5%</f>
        <v>359.13952504364119</v>
      </c>
      <c r="G125" s="9">
        <f t="shared" si="33"/>
        <v>90.503160310997586</v>
      </c>
      <c r="H125">
        <f t="shared" si="34"/>
        <v>71918.408169039234</v>
      </c>
      <c r="K125" t="s">
        <v>12</v>
      </c>
      <c r="L125">
        <v>244</v>
      </c>
      <c r="N125" s="6">
        <f t="shared" ref="N125:N128" si="61">H125*0.6%</f>
        <v>431.51044901423541</v>
      </c>
      <c r="O125" s="11">
        <f t="shared" si="36"/>
        <v>108.74063315158732</v>
      </c>
      <c r="P125">
        <f t="shared" si="37"/>
        <v>72027.148802190815</v>
      </c>
      <c r="R125">
        <f t="shared" si="38"/>
        <v>199.2437934625849</v>
      </c>
    </row>
    <row r="126" spans="1:18" x14ac:dyDescent="0.35">
      <c r="A126" t="s">
        <v>129</v>
      </c>
      <c r="B126" t="s">
        <v>6</v>
      </c>
      <c r="C126">
        <v>245</v>
      </c>
      <c r="E126">
        <f t="shared" si="39"/>
        <v>72027.148802190815</v>
      </c>
      <c r="F126" s="8">
        <f t="shared" si="60"/>
        <v>360.13574401095406</v>
      </c>
      <c r="G126" s="9">
        <f t="shared" si="33"/>
        <v>90.754207490760422</v>
      </c>
      <c r="H126">
        <f t="shared" si="34"/>
        <v>72117.90300968157</v>
      </c>
      <c r="K126" t="s">
        <v>12</v>
      </c>
      <c r="L126">
        <v>246</v>
      </c>
      <c r="N126" s="6">
        <f t="shared" si="61"/>
        <v>432.70741805808944</v>
      </c>
      <c r="O126" s="11">
        <f t="shared" si="36"/>
        <v>109.04226935063853</v>
      </c>
      <c r="P126">
        <f t="shared" si="37"/>
        <v>72226.94527903221</v>
      </c>
      <c r="R126">
        <f t="shared" si="38"/>
        <v>199.79647684139894</v>
      </c>
    </row>
    <row r="127" spans="1:18" x14ac:dyDescent="0.35">
      <c r="A127" t="s">
        <v>130</v>
      </c>
      <c r="B127" t="s">
        <v>6</v>
      </c>
      <c r="C127">
        <v>247</v>
      </c>
      <c r="E127">
        <f t="shared" si="39"/>
        <v>72226.94527903221</v>
      </c>
      <c r="F127" s="8">
        <f t="shared" si="60"/>
        <v>361.13472639516107</v>
      </c>
      <c r="G127" s="9">
        <f t="shared" si="33"/>
        <v>91.005951051580595</v>
      </c>
      <c r="H127">
        <f t="shared" si="34"/>
        <v>72317.951230083796</v>
      </c>
      <c r="K127" t="s">
        <v>12</v>
      </c>
      <c r="L127">
        <v>248</v>
      </c>
      <c r="N127" s="6">
        <f t="shared" si="61"/>
        <v>433.90770738050276</v>
      </c>
      <c r="O127" s="11">
        <f t="shared" si="36"/>
        <v>109.3447422598867</v>
      </c>
      <c r="P127">
        <f t="shared" si="37"/>
        <v>72427.29597234368</v>
      </c>
      <c r="R127">
        <f t="shared" si="38"/>
        <v>200.3506933114673</v>
      </c>
    </row>
    <row r="128" spans="1:18" x14ac:dyDescent="0.35">
      <c r="A128" t="s">
        <v>131</v>
      </c>
      <c r="B128" t="s">
        <v>6</v>
      </c>
      <c r="C128">
        <v>249</v>
      </c>
      <c r="E128">
        <f t="shared" si="39"/>
        <v>72427.29597234368</v>
      </c>
      <c r="F128" s="8">
        <f t="shared" si="60"/>
        <v>362.13647986171839</v>
      </c>
      <c r="G128" s="9">
        <f t="shared" si="33"/>
        <v>91.258392925153032</v>
      </c>
      <c r="H128">
        <f t="shared" si="34"/>
        <v>72518.554365268836</v>
      </c>
      <c r="K128" t="s">
        <v>12</v>
      </c>
      <c r="L128">
        <v>250</v>
      </c>
      <c r="N128" s="6">
        <f t="shared" si="61"/>
        <v>435.11132619161305</v>
      </c>
      <c r="O128" s="11">
        <f t="shared" si="36"/>
        <v>109.6480542002865</v>
      </c>
      <c r="P128">
        <f t="shared" si="37"/>
        <v>72628.202419469118</v>
      </c>
      <c r="R128">
        <f t="shared" si="38"/>
        <v>200.90644712543951</v>
      </c>
    </row>
    <row r="129" spans="1:18" s="6" customFormat="1" x14ac:dyDescent="0.35">
      <c r="A129" s="6" t="s">
        <v>132</v>
      </c>
      <c r="B129" s="6" t="s">
        <v>5</v>
      </c>
      <c r="C129" s="6">
        <v>251</v>
      </c>
      <c r="D129" s="7">
        <v>6.0000000000000001E-3</v>
      </c>
      <c r="E129" s="6">
        <f t="shared" si="39"/>
        <v>72628.202419469118</v>
      </c>
      <c r="F129" s="8">
        <f>E129*0.6%</f>
        <v>435.76921451681471</v>
      </c>
      <c r="G129" s="9">
        <f t="shared" si="33"/>
        <v>109.81384205823731</v>
      </c>
      <c r="H129" s="6">
        <f t="shared" si="34"/>
        <v>72738.016261527358</v>
      </c>
      <c r="K129" s="6" t="s">
        <v>6</v>
      </c>
      <c r="L129" s="6">
        <v>252</v>
      </c>
      <c r="M129" s="7">
        <v>5.5000000000000101E-3</v>
      </c>
      <c r="N129" s="6">
        <f>H129*0.55%</f>
        <v>400.05908943840052</v>
      </c>
      <c r="O129" s="11">
        <f t="shared" si="36"/>
        <v>100.81489053847693</v>
      </c>
      <c r="P129" s="6">
        <f t="shared" si="37"/>
        <v>72838.831152065832</v>
      </c>
      <c r="R129" s="6">
        <f t="shared" si="38"/>
        <v>210.62873259671426</v>
      </c>
    </row>
    <row r="130" spans="1:18" x14ac:dyDescent="0.35">
      <c r="A130" t="s">
        <v>133</v>
      </c>
      <c r="B130" t="s">
        <v>5</v>
      </c>
      <c r="C130">
        <v>253</v>
      </c>
      <c r="E130">
        <f t="shared" si="39"/>
        <v>72838.831152065832</v>
      </c>
      <c r="F130" s="8">
        <f t="shared" ref="F130:F133" si="62">E130*0.6%</f>
        <v>437.03298691239502</v>
      </c>
      <c r="G130" s="9">
        <f t="shared" si="33"/>
        <v>110.13231270192354</v>
      </c>
      <c r="H130">
        <f t="shared" si="34"/>
        <v>72948.963464767759</v>
      </c>
      <c r="K130" t="s">
        <v>6</v>
      </c>
      <c r="L130">
        <v>254</v>
      </c>
      <c r="N130" s="6">
        <f t="shared" ref="N130:N133" si="63">H130*0.55%</f>
        <v>401.21929905622272</v>
      </c>
      <c r="O130" s="11">
        <f t="shared" si="36"/>
        <v>101.10726336216813</v>
      </c>
      <c r="P130">
        <f t="shared" si="37"/>
        <v>73050.070728129926</v>
      </c>
      <c r="R130">
        <f t="shared" si="38"/>
        <v>211.23957606409166</v>
      </c>
    </row>
    <row r="131" spans="1:18" x14ac:dyDescent="0.35">
      <c r="A131" t="s">
        <v>134</v>
      </c>
      <c r="B131" t="s">
        <v>5</v>
      </c>
      <c r="C131">
        <v>255</v>
      </c>
      <c r="E131">
        <f t="shared" si="39"/>
        <v>73050.070728129926</v>
      </c>
      <c r="F131" s="8">
        <f t="shared" si="62"/>
        <v>438.30042436877955</v>
      </c>
      <c r="G131" s="9">
        <f t="shared" si="33"/>
        <v>110.45170694093244</v>
      </c>
      <c r="H131">
        <f t="shared" si="34"/>
        <v>73160.52243507086</v>
      </c>
      <c r="K131" t="s">
        <v>6</v>
      </c>
      <c r="L131">
        <v>256</v>
      </c>
      <c r="N131" s="6">
        <f t="shared" si="63"/>
        <v>402.38287339288979</v>
      </c>
      <c r="O131" s="11">
        <f t="shared" si="36"/>
        <v>101.40048409500822</v>
      </c>
      <c r="P131">
        <f t="shared" si="37"/>
        <v>73261.922919165867</v>
      </c>
      <c r="R131">
        <f t="shared" si="38"/>
        <v>211.85219103594068</v>
      </c>
    </row>
    <row r="132" spans="1:18" x14ac:dyDescent="0.35">
      <c r="A132" t="s">
        <v>135</v>
      </c>
      <c r="B132" t="s">
        <v>5</v>
      </c>
      <c r="C132">
        <v>257</v>
      </c>
      <c r="E132">
        <f t="shared" si="39"/>
        <v>73261.922919165867</v>
      </c>
      <c r="F132" s="8">
        <f t="shared" si="62"/>
        <v>439.57153751499521</v>
      </c>
      <c r="G132" s="9">
        <f t="shared" si="33"/>
        <v>110.77202745377879</v>
      </c>
      <c r="H132">
        <f t="shared" si="34"/>
        <v>73372.694946619653</v>
      </c>
      <c r="K132" t="s">
        <v>6</v>
      </c>
      <c r="L132">
        <v>258</v>
      </c>
      <c r="N132" s="6">
        <f t="shared" si="63"/>
        <v>403.54982220640812</v>
      </c>
      <c r="O132" s="11">
        <f t="shared" si="36"/>
        <v>101.69455519601485</v>
      </c>
      <c r="P132">
        <f t="shared" si="37"/>
        <v>73474.389501815662</v>
      </c>
      <c r="R132">
        <f t="shared" si="38"/>
        <v>212.46658264979362</v>
      </c>
    </row>
    <row r="133" spans="1:18" x14ac:dyDescent="0.35">
      <c r="A133" t="s">
        <v>136</v>
      </c>
      <c r="B133" t="s">
        <v>5</v>
      </c>
      <c r="C133">
        <v>259</v>
      </c>
      <c r="D133" s="15"/>
      <c r="E133">
        <f t="shared" si="39"/>
        <v>73474.389501815662</v>
      </c>
      <c r="F133" s="8">
        <f t="shared" si="62"/>
        <v>440.84633701089399</v>
      </c>
      <c r="G133" s="9">
        <f t="shared" ref="G133:G196" si="64">F133*25.2%</f>
        <v>111.09327692674529</v>
      </c>
      <c r="H133">
        <f t="shared" ref="H133:H196" si="65">G133+E133</f>
        <v>73585.4827787424</v>
      </c>
      <c r="K133" t="s">
        <v>6</v>
      </c>
      <c r="L133">
        <v>260</v>
      </c>
      <c r="N133" s="6">
        <f t="shared" si="63"/>
        <v>404.72015528308322</v>
      </c>
      <c r="O133" s="11">
        <f t="shared" ref="O133:O196" si="66">N133*25.2%</f>
        <v>101.98947913133698</v>
      </c>
      <c r="P133">
        <f t="shared" ref="P133:P196" si="67">O133+H133</f>
        <v>73687.472257873742</v>
      </c>
      <c r="R133">
        <f t="shared" ref="R133:R196" si="68">O133+G133</f>
        <v>213.08275605808228</v>
      </c>
    </row>
    <row r="134" spans="1:18" s="6" customFormat="1" x14ac:dyDescent="0.35">
      <c r="A134" s="6" t="s">
        <v>137</v>
      </c>
      <c r="B134" s="6" t="s">
        <v>5</v>
      </c>
      <c r="C134" s="6">
        <v>261</v>
      </c>
      <c r="D134" s="7">
        <v>7.0000000000000001E-3</v>
      </c>
      <c r="E134" s="6">
        <f t="shared" ref="E134:E197" si="69">P133</f>
        <v>73687.472257873742</v>
      </c>
      <c r="F134" s="8">
        <f>E134*0.7%</f>
        <v>515.81230580511613</v>
      </c>
      <c r="G134" s="9">
        <f t="shared" si="64"/>
        <v>129.98470106288926</v>
      </c>
      <c r="H134" s="6">
        <f t="shared" si="65"/>
        <v>73817.456958936629</v>
      </c>
      <c r="K134" s="6" t="s">
        <v>6</v>
      </c>
      <c r="L134" s="6">
        <v>262</v>
      </c>
      <c r="M134" s="7">
        <v>5.0000000000000096E-3</v>
      </c>
      <c r="N134" s="6">
        <f>H134*0.5%</f>
        <v>369.08728479468317</v>
      </c>
      <c r="O134" s="11">
        <f t="shared" si="66"/>
        <v>93.009995768260154</v>
      </c>
      <c r="P134" s="6">
        <f t="shared" si="67"/>
        <v>73910.466954704883</v>
      </c>
      <c r="R134" s="6">
        <f t="shared" si="68"/>
        <v>222.99469683114941</v>
      </c>
    </row>
    <row r="135" spans="1:18" x14ac:dyDescent="0.35">
      <c r="A135" t="s">
        <v>138</v>
      </c>
      <c r="B135" t="s">
        <v>5</v>
      </c>
      <c r="C135">
        <v>263</v>
      </c>
      <c r="E135">
        <f t="shared" si="69"/>
        <v>73910.466954704883</v>
      </c>
      <c r="F135" s="8">
        <f t="shared" ref="F135:F138" si="70">E135*0.7%</f>
        <v>517.37326868293417</v>
      </c>
      <c r="G135" s="9">
        <f t="shared" si="64"/>
        <v>130.3780637080994</v>
      </c>
      <c r="H135">
        <f t="shared" si="65"/>
        <v>74040.845018412976</v>
      </c>
      <c r="K135" t="s">
        <v>6</v>
      </c>
      <c r="L135">
        <v>264</v>
      </c>
      <c r="N135" s="6">
        <f t="shared" ref="N135:N138" si="71">H135*0.5%</f>
        <v>370.20422509206486</v>
      </c>
      <c r="O135" s="11">
        <f t="shared" si="66"/>
        <v>93.291464723200349</v>
      </c>
      <c r="P135">
        <f t="shared" si="67"/>
        <v>74134.136483136172</v>
      </c>
      <c r="R135">
        <f t="shared" si="68"/>
        <v>223.66952843129974</v>
      </c>
    </row>
    <row r="136" spans="1:18" x14ac:dyDescent="0.35">
      <c r="A136" t="s">
        <v>139</v>
      </c>
      <c r="B136" t="s">
        <v>5</v>
      </c>
      <c r="C136">
        <v>265</v>
      </c>
      <c r="E136">
        <f t="shared" si="69"/>
        <v>74134.136483136172</v>
      </c>
      <c r="F136" s="8">
        <f t="shared" si="70"/>
        <v>518.93895538195318</v>
      </c>
      <c r="G136" s="9">
        <f t="shared" si="64"/>
        <v>130.77261675625221</v>
      </c>
      <c r="H136">
        <f t="shared" si="65"/>
        <v>74264.909099892422</v>
      </c>
      <c r="K136" t="s">
        <v>6</v>
      </c>
      <c r="L136">
        <v>266</v>
      </c>
      <c r="N136" s="6">
        <f t="shared" si="71"/>
        <v>371.32454549946209</v>
      </c>
      <c r="O136" s="11">
        <f t="shared" si="66"/>
        <v>93.573785465864447</v>
      </c>
      <c r="P136">
        <f t="shared" si="67"/>
        <v>74358.482885358288</v>
      </c>
      <c r="R136">
        <f t="shared" si="68"/>
        <v>224.34640222211664</v>
      </c>
    </row>
    <row r="137" spans="1:18" x14ac:dyDescent="0.35">
      <c r="A137" t="s">
        <v>140</v>
      </c>
      <c r="B137" t="s">
        <v>5</v>
      </c>
      <c r="C137">
        <v>267</v>
      </c>
      <c r="E137">
        <f t="shared" si="69"/>
        <v>74358.482885358288</v>
      </c>
      <c r="F137" s="8">
        <f t="shared" si="70"/>
        <v>520.50938019750799</v>
      </c>
      <c r="G137" s="9">
        <f t="shared" si="64"/>
        <v>131.16836380977202</v>
      </c>
      <c r="H137">
        <f t="shared" si="65"/>
        <v>74489.651249168062</v>
      </c>
      <c r="K137" t="s">
        <v>6</v>
      </c>
      <c r="L137">
        <v>268</v>
      </c>
      <c r="N137" s="6">
        <f t="shared" si="71"/>
        <v>372.4482562458403</v>
      </c>
      <c r="O137" s="11">
        <f t="shared" si="66"/>
        <v>93.856960573951753</v>
      </c>
      <c r="P137">
        <f t="shared" si="67"/>
        <v>74583.508209742009</v>
      </c>
      <c r="R137">
        <f t="shared" si="68"/>
        <v>225.02532438372378</v>
      </c>
    </row>
    <row r="138" spans="1:18" x14ac:dyDescent="0.35">
      <c r="A138" t="s">
        <v>141</v>
      </c>
      <c r="B138" t="s">
        <v>5</v>
      </c>
      <c r="C138">
        <v>269</v>
      </c>
      <c r="E138">
        <f t="shared" si="69"/>
        <v>74583.508209742009</v>
      </c>
      <c r="F138" s="8">
        <f t="shared" si="70"/>
        <v>522.08455746819402</v>
      </c>
      <c r="G138" s="9">
        <f t="shared" si="64"/>
        <v>131.56530848198489</v>
      </c>
      <c r="H138">
        <f t="shared" si="65"/>
        <v>74715.073518223988</v>
      </c>
      <c r="K138" t="s">
        <v>6</v>
      </c>
      <c r="L138">
        <v>270</v>
      </c>
      <c r="N138" s="6">
        <f t="shared" si="71"/>
        <v>373.57536759111997</v>
      </c>
      <c r="O138" s="11">
        <f t="shared" si="66"/>
        <v>94.140992632962238</v>
      </c>
      <c r="P138">
        <f t="shared" si="67"/>
        <v>74809.214510856953</v>
      </c>
      <c r="R138">
        <f t="shared" si="68"/>
        <v>225.70630111494711</v>
      </c>
    </row>
    <row r="139" spans="1:18" s="6" customFormat="1" x14ac:dyDescent="0.35">
      <c r="A139" s="6" t="s">
        <v>142</v>
      </c>
      <c r="B139" s="6" t="s">
        <v>5</v>
      </c>
      <c r="C139" s="6">
        <v>271</v>
      </c>
      <c r="D139" s="7">
        <v>8.0000000000000002E-3</v>
      </c>
      <c r="E139" s="6">
        <f t="shared" si="69"/>
        <v>74809.214510856953</v>
      </c>
      <c r="F139" s="8">
        <f>E139*0.8%</f>
        <v>598.47371608685569</v>
      </c>
      <c r="G139" s="9">
        <f t="shared" si="64"/>
        <v>150.81537645388764</v>
      </c>
      <c r="H139" s="6">
        <f t="shared" si="65"/>
        <v>74960.02988731084</v>
      </c>
      <c r="K139" s="6" t="s">
        <v>6</v>
      </c>
      <c r="L139" s="6">
        <v>272</v>
      </c>
      <c r="M139" s="7">
        <v>4.5000000000000101E-3</v>
      </c>
      <c r="N139" s="6">
        <f>H139*0.45%</f>
        <v>337.32013449289883</v>
      </c>
      <c r="O139" s="11">
        <f t="shared" si="66"/>
        <v>85.004673892210505</v>
      </c>
      <c r="P139" s="6">
        <f t="shared" si="67"/>
        <v>75045.034561203051</v>
      </c>
      <c r="R139" s="6">
        <f t="shared" si="68"/>
        <v>235.82005034609813</v>
      </c>
    </row>
    <row r="140" spans="1:18" x14ac:dyDescent="0.35">
      <c r="A140" t="s">
        <v>143</v>
      </c>
      <c r="B140" t="s">
        <v>5</v>
      </c>
      <c r="C140">
        <v>273</v>
      </c>
      <c r="E140">
        <f t="shared" si="69"/>
        <v>75045.034561203051</v>
      </c>
      <c r="F140" s="8">
        <f t="shared" ref="F140:F143" si="72">E140*0.8%</f>
        <v>600.36027648962443</v>
      </c>
      <c r="G140" s="9">
        <f t="shared" si="64"/>
        <v>151.29078967538535</v>
      </c>
      <c r="H140">
        <f t="shared" si="65"/>
        <v>75196.32535087844</v>
      </c>
      <c r="K140" t="s">
        <v>6</v>
      </c>
      <c r="L140">
        <v>274</v>
      </c>
      <c r="N140" s="6">
        <f t="shared" ref="N140:N143" si="73">H140*0.45%</f>
        <v>338.38346407895301</v>
      </c>
      <c r="O140" s="11">
        <f t="shared" si="66"/>
        <v>85.272632947896156</v>
      </c>
      <c r="P140">
        <f t="shared" si="67"/>
        <v>75281.59798382633</v>
      </c>
      <c r="R140">
        <f t="shared" si="68"/>
        <v>236.5634226232815</v>
      </c>
    </row>
    <row r="141" spans="1:18" x14ac:dyDescent="0.35">
      <c r="A141" t="s">
        <v>144</v>
      </c>
      <c r="B141" t="s">
        <v>5</v>
      </c>
      <c r="C141">
        <v>275</v>
      </c>
      <c r="E141">
        <f t="shared" si="69"/>
        <v>75281.59798382633</v>
      </c>
      <c r="F141" s="8">
        <f t="shared" si="72"/>
        <v>602.25278387061064</v>
      </c>
      <c r="G141" s="9">
        <f t="shared" si="64"/>
        <v>151.76770153539388</v>
      </c>
      <c r="H141">
        <f t="shared" si="65"/>
        <v>75433.365685361729</v>
      </c>
      <c r="K141" t="s">
        <v>6</v>
      </c>
      <c r="L141">
        <v>276</v>
      </c>
      <c r="N141" s="6">
        <f t="shared" si="73"/>
        <v>339.45014558412782</v>
      </c>
      <c r="O141" s="11">
        <f t="shared" si="66"/>
        <v>85.541436687200218</v>
      </c>
      <c r="P141">
        <f t="shared" si="67"/>
        <v>75518.907122048928</v>
      </c>
      <c r="R141">
        <f t="shared" si="68"/>
        <v>237.3091382225941</v>
      </c>
    </row>
    <row r="142" spans="1:18" x14ac:dyDescent="0.35">
      <c r="A142" t="s">
        <v>145</v>
      </c>
      <c r="B142" t="s">
        <v>5</v>
      </c>
      <c r="C142">
        <v>277</v>
      </c>
      <c r="E142">
        <f t="shared" si="69"/>
        <v>75518.907122048928</v>
      </c>
      <c r="F142" s="8">
        <f t="shared" si="72"/>
        <v>604.15125697639144</v>
      </c>
      <c r="G142" s="9">
        <f t="shared" si="64"/>
        <v>152.24611675805065</v>
      </c>
      <c r="H142">
        <f t="shared" si="65"/>
        <v>75671.153238806975</v>
      </c>
      <c r="K142" t="s">
        <v>6</v>
      </c>
      <c r="L142">
        <v>278</v>
      </c>
      <c r="N142" s="6">
        <f t="shared" si="73"/>
        <v>340.52018957463144</v>
      </c>
      <c r="O142" s="11">
        <f t="shared" si="66"/>
        <v>85.811087772807127</v>
      </c>
      <c r="P142">
        <f t="shared" si="67"/>
        <v>75756.964326579779</v>
      </c>
      <c r="R142">
        <f t="shared" si="68"/>
        <v>238.05720453085777</v>
      </c>
    </row>
    <row r="143" spans="1:18" x14ac:dyDescent="0.35">
      <c r="A143" t="s">
        <v>146</v>
      </c>
      <c r="B143" t="s">
        <v>5</v>
      </c>
      <c r="C143">
        <v>279</v>
      </c>
      <c r="D143" s="15"/>
      <c r="E143">
        <f t="shared" si="69"/>
        <v>75756.964326579779</v>
      </c>
      <c r="F143" s="8">
        <f t="shared" si="72"/>
        <v>606.05571461263821</v>
      </c>
      <c r="G143" s="9">
        <f t="shared" si="64"/>
        <v>152.72604008238483</v>
      </c>
      <c r="H143">
        <f t="shared" si="65"/>
        <v>75909.690366662166</v>
      </c>
      <c r="K143" t="s">
        <v>6</v>
      </c>
      <c r="L143">
        <v>280</v>
      </c>
      <c r="N143" s="6">
        <f t="shared" si="73"/>
        <v>341.59360664997979</v>
      </c>
      <c r="O143" s="11">
        <f t="shared" si="66"/>
        <v>86.081588875794907</v>
      </c>
      <c r="P143">
        <f t="shared" si="67"/>
        <v>75995.771955537959</v>
      </c>
      <c r="R143">
        <f t="shared" si="68"/>
        <v>238.80762895817975</v>
      </c>
    </row>
    <row r="144" spans="1:18" s="6" customFormat="1" x14ac:dyDescent="0.35">
      <c r="A144" s="6" t="s">
        <v>147</v>
      </c>
      <c r="B144" s="6" t="s">
        <v>5</v>
      </c>
      <c r="C144" s="6">
        <v>281</v>
      </c>
      <c r="D144" s="7">
        <v>8.9999999999999993E-3</v>
      </c>
      <c r="E144" s="6">
        <f t="shared" si="69"/>
        <v>75995.771955537959</v>
      </c>
      <c r="F144" s="8">
        <f>E144*0.9%</f>
        <v>683.96194759984166</v>
      </c>
      <c r="G144" s="9">
        <f t="shared" si="64"/>
        <v>172.3584107951601</v>
      </c>
      <c r="H144" s="6">
        <f t="shared" si="65"/>
        <v>76168.13036633312</v>
      </c>
      <c r="K144" s="6" t="s">
        <v>6</v>
      </c>
      <c r="L144" s="6">
        <v>282</v>
      </c>
      <c r="M144" s="7">
        <v>4.0000000000000096E-3</v>
      </c>
      <c r="N144" s="6">
        <f>H144*0.4%</f>
        <v>304.67252146533247</v>
      </c>
      <c r="O144" s="11">
        <f t="shared" si="66"/>
        <v>76.777475409263786</v>
      </c>
      <c r="P144" s="6">
        <f t="shared" si="67"/>
        <v>76244.907841742388</v>
      </c>
      <c r="R144" s="6">
        <f t="shared" si="68"/>
        <v>249.13588620442388</v>
      </c>
    </row>
    <row r="145" spans="1:18" x14ac:dyDescent="0.35">
      <c r="A145" t="s">
        <v>148</v>
      </c>
      <c r="B145" t="s">
        <v>5</v>
      </c>
      <c r="C145">
        <v>283</v>
      </c>
      <c r="E145">
        <f t="shared" si="69"/>
        <v>76244.907841742388</v>
      </c>
      <c r="F145" s="8">
        <f t="shared" ref="F145:F148" si="74">E145*0.9%</f>
        <v>686.20417057568159</v>
      </c>
      <c r="G145" s="9">
        <f t="shared" si="64"/>
        <v>172.92345098507175</v>
      </c>
      <c r="H145">
        <f t="shared" si="65"/>
        <v>76417.831292727453</v>
      </c>
      <c r="K145" t="s">
        <v>6</v>
      </c>
      <c r="L145">
        <v>284</v>
      </c>
      <c r="N145" s="6">
        <f t="shared" ref="N145:N148" si="75">H145*0.4%</f>
        <v>305.67132517090982</v>
      </c>
      <c r="O145" s="11">
        <f t="shared" si="66"/>
        <v>77.029173943069281</v>
      </c>
      <c r="P145">
        <f t="shared" si="67"/>
        <v>76494.860466670521</v>
      </c>
      <c r="R145">
        <f t="shared" si="68"/>
        <v>249.95262492814103</v>
      </c>
    </row>
    <row r="146" spans="1:18" x14ac:dyDescent="0.35">
      <c r="A146" t="s">
        <v>149</v>
      </c>
      <c r="B146" t="s">
        <v>5</v>
      </c>
      <c r="C146">
        <v>285</v>
      </c>
      <c r="E146">
        <f t="shared" si="69"/>
        <v>76494.860466670521</v>
      </c>
      <c r="F146" s="8">
        <f t="shared" si="74"/>
        <v>688.45374420003475</v>
      </c>
      <c r="G146" s="9">
        <f t="shared" si="64"/>
        <v>173.49034353840875</v>
      </c>
      <c r="H146">
        <f t="shared" si="65"/>
        <v>76668.350810208925</v>
      </c>
      <c r="K146" t="s">
        <v>6</v>
      </c>
      <c r="L146">
        <v>286</v>
      </c>
      <c r="N146" s="6">
        <f t="shared" si="75"/>
        <v>306.67340324083568</v>
      </c>
      <c r="O146" s="11">
        <f t="shared" si="66"/>
        <v>77.281697616690593</v>
      </c>
      <c r="P146">
        <f t="shared" si="67"/>
        <v>76745.63250782562</v>
      </c>
      <c r="R146">
        <f t="shared" si="68"/>
        <v>250.77204115509934</v>
      </c>
    </row>
    <row r="147" spans="1:18" x14ac:dyDescent="0.35">
      <c r="A147" t="s">
        <v>150</v>
      </c>
      <c r="B147" t="s">
        <v>5</v>
      </c>
      <c r="C147">
        <v>287</v>
      </c>
      <c r="E147">
        <f t="shared" si="69"/>
        <v>76745.63250782562</v>
      </c>
      <c r="F147" s="8">
        <f t="shared" si="74"/>
        <v>690.71069257043064</v>
      </c>
      <c r="G147" s="9">
        <f t="shared" si="64"/>
        <v>174.05909452774853</v>
      </c>
      <c r="H147">
        <f t="shared" si="65"/>
        <v>76919.69160235337</v>
      </c>
      <c r="K147" t="s">
        <v>6</v>
      </c>
      <c r="L147">
        <v>288</v>
      </c>
      <c r="N147" s="6">
        <f t="shared" si="75"/>
        <v>307.67876640941347</v>
      </c>
      <c r="O147" s="11">
        <f t="shared" si="66"/>
        <v>77.535049135172201</v>
      </c>
      <c r="P147">
        <f t="shared" si="67"/>
        <v>76997.226651488541</v>
      </c>
      <c r="R147">
        <f t="shared" si="68"/>
        <v>251.59414366292071</v>
      </c>
    </row>
    <row r="148" spans="1:18" x14ac:dyDescent="0.35">
      <c r="A148" t="s">
        <v>151</v>
      </c>
      <c r="B148" t="s">
        <v>5</v>
      </c>
      <c r="C148">
        <v>289</v>
      </c>
      <c r="E148">
        <f t="shared" si="69"/>
        <v>76997.226651488541</v>
      </c>
      <c r="F148" s="8">
        <f t="shared" si="74"/>
        <v>692.975039863397</v>
      </c>
      <c r="G148" s="9">
        <f t="shared" si="64"/>
        <v>174.62971004557605</v>
      </c>
      <c r="H148">
        <f t="shared" si="65"/>
        <v>77171.856361534112</v>
      </c>
      <c r="K148" t="s">
        <v>6</v>
      </c>
      <c r="L148">
        <v>290</v>
      </c>
      <c r="N148" s="6">
        <f t="shared" si="75"/>
        <v>308.68742544613644</v>
      </c>
      <c r="O148" s="11">
        <f t="shared" si="66"/>
        <v>77.789231212426387</v>
      </c>
      <c r="P148">
        <f t="shared" si="67"/>
        <v>77249.645592746543</v>
      </c>
      <c r="R148">
        <f t="shared" si="68"/>
        <v>252.41894125800243</v>
      </c>
    </row>
    <row r="149" spans="1:18" s="6" customFormat="1" x14ac:dyDescent="0.35">
      <c r="A149" s="6" t="s">
        <v>152</v>
      </c>
      <c r="B149" s="6" t="s">
        <v>5</v>
      </c>
      <c r="C149" s="6">
        <v>291</v>
      </c>
      <c r="D149" s="7">
        <v>8.0000000000000002E-3</v>
      </c>
      <c r="E149" s="6">
        <f t="shared" si="69"/>
        <v>77249.645592746543</v>
      </c>
      <c r="F149" s="8">
        <f>E149*0.8%</f>
        <v>617.99716474197237</v>
      </c>
      <c r="G149" s="9">
        <f t="shared" si="64"/>
        <v>155.73528551497705</v>
      </c>
      <c r="H149" s="6">
        <f t="shared" si="65"/>
        <v>77405.380878261523</v>
      </c>
      <c r="K149" s="6" t="s">
        <v>6</v>
      </c>
      <c r="L149" s="6">
        <v>292</v>
      </c>
      <c r="M149" s="7">
        <v>4.4999999999999997E-3</v>
      </c>
      <c r="N149" s="6">
        <f>H149*0.45%</f>
        <v>348.32421395217688</v>
      </c>
      <c r="O149" s="11">
        <f t="shared" si="66"/>
        <v>87.777701915948569</v>
      </c>
      <c r="P149" s="6">
        <f t="shared" si="67"/>
        <v>77493.158580177478</v>
      </c>
      <c r="R149" s="6">
        <f t="shared" si="68"/>
        <v>243.51298743092562</v>
      </c>
    </row>
    <row r="150" spans="1:18" x14ac:dyDescent="0.35">
      <c r="A150" t="s">
        <v>153</v>
      </c>
      <c r="B150" t="s">
        <v>5</v>
      </c>
      <c r="C150">
        <v>293</v>
      </c>
      <c r="E150">
        <f t="shared" si="69"/>
        <v>77493.158580177478</v>
      </c>
      <c r="F150" s="8">
        <f t="shared" ref="F150:F153" si="76">E150*0.8%</f>
        <v>619.94526864141983</v>
      </c>
      <c r="G150" s="9">
        <f t="shared" si="64"/>
        <v>156.22620769763779</v>
      </c>
      <c r="H150">
        <f t="shared" si="65"/>
        <v>77649.384787875111</v>
      </c>
      <c r="K150" t="s">
        <v>6</v>
      </c>
      <c r="L150">
        <v>294</v>
      </c>
      <c r="N150" s="6">
        <f t="shared" ref="N150:N153" si="77">H150*0.45%</f>
        <v>349.42223154543802</v>
      </c>
      <c r="O150" s="11">
        <f t="shared" si="66"/>
        <v>88.054402349450385</v>
      </c>
      <c r="P150">
        <f t="shared" si="67"/>
        <v>77737.439190224555</v>
      </c>
      <c r="R150">
        <f t="shared" si="68"/>
        <v>244.28061004708817</v>
      </c>
    </row>
    <row r="151" spans="1:18" x14ac:dyDescent="0.35">
      <c r="A151" t="s">
        <v>154</v>
      </c>
      <c r="B151" t="s">
        <v>5</v>
      </c>
      <c r="C151">
        <v>295</v>
      </c>
      <c r="E151">
        <f t="shared" si="69"/>
        <v>77737.439190224555</v>
      </c>
      <c r="F151" s="8">
        <f t="shared" si="76"/>
        <v>621.89951352179651</v>
      </c>
      <c r="G151" s="9">
        <f t="shared" si="64"/>
        <v>156.71867740749272</v>
      </c>
      <c r="H151">
        <f t="shared" si="65"/>
        <v>77894.15786763205</v>
      </c>
      <c r="K151" t="s">
        <v>6</v>
      </c>
      <c r="L151">
        <v>296</v>
      </c>
      <c r="N151" s="6">
        <f t="shared" si="77"/>
        <v>350.52371040434429</v>
      </c>
      <c r="O151" s="11">
        <f t="shared" si="66"/>
        <v>88.331975021894763</v>
      </c>
      <c r="P151">
        <f t="shared" si="67"/>
        <v>77982.489842653944</v>
      </c>
      <c r="R151">
        <f t="shared" si="68"/>
        <v>245.05065242938747</v>
      </c>
    </row>
    <row r="152" spans="1:18" x14ac:dyDescent="0.35">
      <c r="A152" t="s">
        <v>155</v>
      </c>
      <c r="B152" t="s">
        <v>5</v>
      </c>
      <c r="C152">
        <v>297</v>
      </c>
      <c r="E152">
        <f t="shared" si="69"/>
        <v>77982.489842653944</v>
      </c>
      <c r="F152" s="8">
        <f t="shared" si="76"/>
        <v>623.85991874123158</v>
      </c>
      <c r="G152" s="9">
        <f t="shared" si="64"/>
        <v>157.21269952279036</v>
      </c>
      <c r="H152">
        <f t="shared" si="65"/>
        <v>78139.702542176732</v>
      </c>
      <c r="K152" t="s">
        <v>6</v>
      </c>
      <c r="L152">
        <v>298</v>
      </c>
      <c r="N152" s="6">
        <f t="shared" si="77"/>
        <v>351.62866143979534</v>
      </c>
      <c r="O152" s="11">
        <f t="shared" si="66"/>
        <v>88.610422682828428</v>
      </c>
      <c r="P152">
        <f t="shared" si="67"/>
        <v>78228.312964859564</v>
      </c>
      <c r="R152">
        <f t="shared" si="68"/>
        <v>245.8231222056188</v>
      </c>
    </row>
    <row r="153" spans="1:18" s="13" customFormat="1" x14ac:dyDescent="0.35">
      <c r="A153" s="13" t="s">
        <v>156</v>
      </c>
      <c r="B153" s="13" t="s">
        <v>5</v>
      </c>
      <c r="C153" s="13">
        <v>299</v>
      </c>
      <c r="E153" s="13">
        <f t="shared" si="69"/>
        <v>78228.312964859564</v>
      </c>
      <c r="F153" s="14">
        <f t="shared" si="76"/>
        <v>625.82650371887655</v>
      </c>
      <c r="G153" s="9">
        <f t="shared" si="64"/>
        <v>157.7082789371569</v>
      </c>
      <c r="H153" s="13">
        <f t="shared" si="65"/>
        <v>78386.021243796728</v>
      </c>
      <c r="K153" s="13" t="s">
        <v>6</v>
      </c>
      <c r="L153" s="13">
        <v>300</v>
      </c>
      <c r="N153" s="13">
        <f t="shared" si="77"/>
        <v>352.73709559708533</v>
      </c>
      <c r="O153" s="11">
        <f t="shared" si="66"/>
        <v>88.889748090465503</v>
      </c>
      <c r="P153" s="13">
        <f t="shared" si="67"/>
        <v>78474.910991887198</v>
      </c>
      <c r="R153" s="13">
        <f t="shared" si="68"/>
        <v>246.59802702762241</v>
      </c>
    </row>
    <row r="154" spans="1:18" s="6" customFormat="1" x14ac:dyDescent="0.35">
      <c r="A154" s="6" t="s">
        <v>157</v>
      </c>
      <c r="B154" s="6" t="s">
        <v>5</v>
      </c>
      <c r="C154" s="6">
        <v>301</v>
      </c>
      <c r="D154" s="7">
        <v>7.0000000000000001E-3</v>
      </c>
      <c r="E154" s="6">
        <f t="shared" si="69"/>
        <v>78474.910991887198</v>
      </c>
      <c r="F154" s="8">
        <f>E154*0.7%</f>
        <v>549.32437694321038</v>
      </c>
      <c r="G154" s="9">
        <f t="shared" si="64"/>
        <v>138.429742989689</v>
      </c>
      <c r="H154" s="6">
        <f t="shared" si="65"/>
        <v>78613.340734876881</v>
      </c>
      <c r="K154" s="6" t="s">
        <v>6</v>
      </c>
      <c r="L154" s="6">
        <v>302</v>
      </c>
      <c r="M154" s="7">
        <v>4.9999999999999897E-3</v>
      </c>
      <c r="N154" s="6">
        <f>H154*0.5%</f>
        <v>393.06670367438443</v>
      </c>
      <c r="O154" s="11">
        <f t="shared" si="66"/>
        <v>99.052809325944878</v>
      </c>
      <c r="P154" s="6">
        <f t="shared" si="67"/>
        <v>78712.393544202831</v>
      </c>
      <c r="R154" s="6">
        <f t="shared" si="68"/>
        <v>237.48255231563388</v>
      </c>
    </row>
    <row r="155" spans="1:18" x14ac:dyDescent="0.35">
      <c r="A155" t="s">
        <v>158</v>
      </c>
      <c r="B155" t="s">
        <v>5</v>
      </c>
      <c r="C155">
        <v>303</v>
      </c>
      <c r="E155">
        <f t="shared" si="69"/>
        <v>78712.393544202831</v>
      </c>
      <c r="F155" s="8">
        <f t="shared" ref="F155:F158" si="78">E155*0.7%</f>
        <v>550.98675480941972</v>
      </c>
      <c r="G155" s="9">
        <f t="shared" si="64"/>
        <v>138.84866221197376</v>
      </c>
      <c r="H155">
        <f t="shared" si="65"/>
        <v>78851.242206414798</v>
      </c>
      <c r="K155" t="s">
        <v>6</v>
      </c>
      <c r="L155">
        <v>304</v>
      </c>
      <c r="N155" s="6">
        <f t="shared" ref="N155:N158" si="79">H155*0.5%</f>
        <v>394.25621103207402</v>
      </c>
      <c r="O155" s="11">
        <f t="shared" si="66"/>
        <v>99.352565180082649</v>
      </c>
      <c r="P155">
        <f t="shared" si="67"/>
        <v>78950.594771594886</v>
      </c>
      <c r="R155">
        <f t="shared" si="68"/>
        <v>238.20122739205641</v>
      </c>
    </row>
    <row r="156" spans="1:18" x14ac:dyDescent="0.35">
      <c r="A156" t="s">
        <v>159</v>
      </c>
      <c r="B156" t="s">
        <v>5</v>
      </c>
      <c r="C156">
        <v>305</v>
      </c>
      <c r="E156">
        <f t="shared" si="69"/>
        <v>78950.594771594886</v>
      </c>
      <c r="F156" s="8">
        <f t="shared" si="78"/>
        <v>552.65416340116417</v>
      </c>
      <c r="G156" s="9">
        <f t="shared" si="64"/>
        <v>139.26884917709336</v>
      </c>
      <c r="H156">
        <f t="shared" si="65"/>
        <v>79089.863620771983</v>
      </c>
      <c r="K156" t="s">
        <v>6</v>
      </c>
      <c r="L156">
        <v>306</v>
      </c>
      <c r="N156" s="6">
        <f t="shared" si="79"/>
        <v>395.44931810385992</v>
      </c>
      <c r="O156" s="11">
        <f t="shared" si="66"/>
        <v>99.653228162172695</v>
      </c>
      <c r="P156">
        <f t="shared" si="67"/>
        <v>79189.516848934159</v>
      </c>
      <c r="R156">
        <f t="shared" si="68"/>
        <v>238.92207733926605</v>
      </c>
    </row>
    <row r="157" spans="1:18" x14ac:dyDescent="0.35">
      <c r="A157" t="s">
        <v>160</v>
      </c>
      <c r="B157" t="s">
        <v>5</v>
      </c>
      <c r="C157">
        <v>307</v>
      </c>
      <c r="E157">
        <f t="shared" si="69"/>
        <v>79189.516848934159</v>
      </c>
      <c r="F157" s="8">
        <f t="shared" si="78"/>
        <v>554.32661794253909</v>
      </c>
      <c r="G157" s="9">
        <f t="shared" si="64"/>
        <v>139.69030772151984</v>
      </c>
      <c r="H157">
        <f t="shared" si="65"/>
        <v>79329.207156655684</v>
      </c>
      <c r="K157" t="s">
        <v>6</v>
      </c>
      <c r="L157">
        <v>308</v>
      </c>
      <c r="N157" s="6">
        <f t="shared" si="79"/>
        <v>396.64603578327842</v>
      </c>
      <c r="O157" s="11">
        <f t="shared" si="66"/>
        <v>99.95480101738616</v>
      </c>
      <c r="P157">
        <f t="shared" si="67"/>
        <v>79429.161957673074</v>
      </c>
      <c r="R157">
        <f t="shared" si="68"/>
        <v>239.645108738906</v>
      </c>
    </row>
    <row r="158" spans="1:18" x14ac:dyDescent="0.35">
      <c r="A158" t="s">
        <v>161</v>
      </c>
      <c r="B158" t="s">
        <v>5</v>
      </c>
      <c r="C158">
        <v>309</v>
      </c>
      <c r="E158">
        <f t="shared" si="69"/>
        <v>79429.161957673074</v>
      </c>
      <c r="F158" s="8">
        <f t="shared" si="78"/>
        <v>556.00413370371143</v>
      </c>
      <c r="G158" s="9">
        <f t="shared" si="64"/>
        <v>140.11304169333528</v>
      </c>
      <c r="H158">
        <f t="shared" si="65"/>
        <v>79569.274999366404</v>
      </c>
      <c r="K158" t="s">
        <v>6</v>
      </c>
      <c r="L158">
        <v>310</v>
      </c>
      <c r="N158" s="6">
        <f t="shared" si="79"/>
        <v>397.84637499683203</v>
      </c>
      <c r="O158" s="11">
        <f t="shared" si="66"/>
        <v>100.25728649920167</v>
      </c>
      <c r="P158">
        <f t="shared" si="67"/>
        <v>79669.5322858656</v>
      </c>
      <c r="R158">
        <f t="shared" si="68"/>
        <v>240.37032819253693</v>
      </c>
    </row>
    <row r="159" spans="1:18" s="6" customFormat="1" x14ac:dyDescent="0.35">
      <c r="A159" s="6" t="s">
        <v>162</v>
      </c>
      <c r="B159" s="6" t="s">
        <v>5</v>
      </c>
      <c r="C159" s="6">
        <v>311</v>
      </c>
      <c r="D159" s="7">
        <v>6.0000000000000001E-3</v>
      </c>
      <c r="E159" s="6">
        <f t="shared" si="69"/>
        <v>79669.5322858656</v>
      </c>
      <c r="F159" s="8">
        <f>E159*0.6%</f>
        <v>478.01719371519363</v>
      </c>
      <c r="G159" s="9">
        <f t="shared" si="64"/>
        <v>120.4603328162288</v>
      </c>
      <c r="H159" s="6">
        <f t="shared" si="65"/>
        <v>79789.992618681834</v>
      </c>
      <c r="K159" s="6" t="s">
        <v>6</v>
      </c>
      <c r="L159" s="6">
        <v>312</v>
      </c>
      <c r="M159" s="7">
        <v>5.4999999999999797E-3</v>
      </c>
      <c r="N159" s="6">
        <f>H159*0.55%</f>
        <v>438.84495940275013</v>
      </c>
      <c r="O159" s="11">
        <f t="shared" si="66"/>
        <v>110.58892976949303</v>
      </c>
      <c r="P159" s="6">
        <f t="shared" si="67"/>
        <v>79900.58154845133</v>
      </c>
      <c r="R159" s="6">
        <f t="shared" si="68"/>
        <v>231.04926258572183</v>
      </c>
    </row>
    <row r="160" spans="1:18" x14ac:dyDescent="0.35">
      <c r="A160" t="s">
        <v>163</v>
      </c>
      <c r="B160" t="s">
        <v>5</v>
      </c>
      <c r="C160">
        <v>313</v>
      </c>
      <c r="E160">
        <f t="shared" si="69"/>
        <v>79900.58154845133</v>
      </c>
      <c r="F160" s="8">
        <f t="shared" ref="F160:F163" si="80">E160*0.6%</f>
        <v>479.40348929070797</v>
      </c>
      <c r="G160" s="9">
        <f t="shared" si="64"/>
        <v>120.80967930125841</v>
      </c>
      <c r="H160">
        <f t="shared" si="65"/>
        <v>80021.391227752581</v>
      </c>
      <c r="K160" t="s">
        <v>6</v>
      </c>
      <c r="L160">
        <v>314</v>
      </c>
      <c r="N160" s="6">
        <f t="shared" ref="N160:N163" si="81">H160*0.55%</f>
        <v>440.11765175263923</v>
      </c>
      <c r="O160" s="11">
        <f t="shared" si="66"/>
        <v>110.90964824166508</v>
      </c>
      <c r="P160">
        <f t="shared" si="67"/>
        <v>80132.300875994246</v>
      </c>
      <c r="R160">
        <f t="shared" si="68"/>
        <v>231.71932754292351</v>
      </c>
    </row>
    <row r="161" spans="1:18" x14ac:dyDescent="0.35">
      <c r="A161" t="s">
        <v>164</v>
      </c>
      <c r="B161" t="s">
        <v>5</v>
      </c>
      <c r="C161">
        <v>315</v>
      </c>
      <c r="E161">
        <f t="shared" si="69"/>
        <v>80132.300875994246</v>
      </c>
      <c r="F161" s="8">
        <f t="shared" si="80"/>
        <v>480.79380525596548</v>
      </c>
      <c r="G161" s="9">
        <f t="shared" si="64"/>
        <v>121.1600389245033</v>
      </c>
      <c r="H161">
        <f t="shared" si="65"/>
        <v>80253.460914918745</v>
      </c>
      <c r="K161" t="s">
        <v>6</v>
      </c>
      <c r="L161">
        <v>316</v>
      </c>
      <c r="N161" s="6">
        <f t="shared" si="81"/>
        <v>441.39403503205313</v>
      </c>
      <c r="O161" s="11">
        <f t="shared" si="66"/>
        <v>111.23129682807739</v>
      </c>
      <c r="P161">
        <f t="shared" si="67"/>
        <v>80364.69221174682</v>
      </c>
      <c r="R161">
        <f t="shared" si="68"/>
        <v>232.39133575258069</v>
      </c>
    </row>
    <row r="162" spans="1:18" x14ac:dyDescent="0.35">
      <c r="A162" t="s">
        <v>165</v>
      </c>
      <c r="B162" t="s">
        <v>5</v>
      </c>
      <c r="C162">
        <v>317</v>
      </c>
      <c r="E162">
        <f t="shared" si="69"/>
        <v>80364.69221174682</v>
      </c>
      <c r="F162" s="8">
        <f t="shared" si="80"/>
        <v>482.18815327048094</v>
      </c>
      <c r="G162" s="9">
        <f t="shared" si="64"/>
        <v>121.51141462416119</v>
      </c>
      <c r="H162">
        <f t="shared" si="65"/>
        <v>80486.203626370974</v>
      </c>
      <c r="K162" t="s">
        <v>6</v>
      </c>
      <c r="L162">
        <v>318</v>
      </c>
      <c r="N162" s="6">
        <f t="shared" si="81"/>
        <v>442.67411994504039</v>
      </c>
      <c r="O162" s="11">
        <f t="shared" si="66"/>
        <v>111.55387822615018</v>
      </c>
      <c r="P162">
        <f t="shared" si="67"/>
        <v>80597.757504597132</v>
      </c>
      <c r="R162">
        <f t="shared" si="68"/>
        <v>233.06529285031138</v>
      </c>
    </row>
    <row r="163" spans="1:18" x14ac:dyDescent="0.35">
      <c r="A163" t="s">
        <v>166</v>
      </c>
      <c r="B163" t="s">
        <v>5</v>
      </c>
      <c r="C163">
        <v>319</v>
      </c>
      <c r="E163">
        <f t="shared" si="69"/>
        <v>80597.757504597132</v>
      </c>
      <c r="F163" s="8">
        <f t="shared" si="80"/>
        <v>483.58654502758282</v>
      </c>
      <c r="G163" s="9">
        <f t="shared" si="64"/>
        <v>121.86380934695087</v>
      </c>
      <c r="H163">
        <f t="shared" si="65"/>
        <v>80719.621313944081</v>
      </c>
      <c r="K163" t="s">
        <v>6</v>
      </c>
      <c r="L163">
        <v>320</v>
      </c>
      <c r="M163" s="15"/>
      <c r="N163" s="6">
        <f t="shared" si="81"/>
        <v>443.95791722669247</v>
      </c>
      <c r="O163" s="11">
        <f t="shared" si="66"/>
        <v>111.8773951411265</v>
      </c>
      <c r="P163">
        <f t="shared" si="67"/>
        <v>80831.498709085208</v>
      </c>
      <c r="R163">
        <f t="shared" si="68"/>
        <v>233.74120448807736</v>
      </c>
    </row>
    <row r="164" spans="1:18" s="6" customFormat="1" x14ac:dyDescent="0.35">
      <c r="A164" s="6" t="s">
        <v>167</v>
      </c>
      <c r="B164" s="6" t="s">
        <v>6</v>
      </c>
      <c r="C164" s="6">
        <v>321</v>
      </c>
      <c r="D164" s="7">
        <v>5.0000000000000001E-3</v>
      </c>
      <c r="E164" s="6">
        <f t="shared" si="69"/>
        <v>80831.498709085208</v>
      </c>
      <c r="F164" s="8">
        <f>E164*0.5%</f>
        <v>404.15749354542606</v>
      </c>
      <c r="G164" s="9">
        <f t="shared" si="64"/>
        <v>101.84768837344737</v>
      </c>
      <c r="H164" s="6">
        <f t="shared" si="65"/>
        <v>80933.346397458648</v>
      </c>
      <c r="K164" s="6" t="s">
        <v>12</v>
      </c>
      <c r="L164" s="6">
        <v>322</v>
      </c>
      <c r="M164" s="7">
        <v>5.9999999999999698E-3</v>
      </c>
      <c r="N164" s="6">
        <f>H164*0.6%</f>
        <v>485.6000783847519</v>
      </c>
      <c r="O164" s="11">
        <f t="shared" si="66"/>
        <v>122.37121975295747</v>
      </c>
      <c r="P164" s="6">
        <f t="shared" si="67"/>
        <v>81055.717617211601</v>
      </c>
      <c r="R164" s="6">
        <f t="shared" si="68"/>
        <v>224.21890812640484</v>
      </c>
    </row>
    <row r="165" spans="1:18" x14ac:dyDescent="0.35">
      <c r="A165" t="s">
        <v>168</v>
      </c>
      <c r="B165" t="s">
        <v>6</v>
      </c>
      <c r="C165">
        <v>323</v>
      </c>
      <c r="E165">
        <f t="shared" si="69"/>
        <v>81055.717617211601</v>
      </c>
      <c r="F165" s="8">
        <f t="shared" ref="F165:F168" si="82">E165*0.5%</f>
        <v>405.27858808605799</v>
      </c>
      <c r="G165" s="9">
        <f t="shared" si="64"/>
        <v>102.13020419768661</v>
      </c>
      <c r="H165">
        <f t="shared" si="65"/>
        <v>81157.84782140929</v>
      </c>
      <c r="K165" t="s">
        <v>12</v>
      </c>
      <c r="L165">
        <v>324</v>
      </c>
      <c r="N165" s="6">
        <f t="shared" ref="N165:N168" si="83">H165*0.6%</f>
        <v>486.94708692845575</v>
      </c>
      <c r="O165" s="11">
        <f t="shared" si="66"/>
        <v>122.71066590597084</v>
      </c>
      <c r="P165">
        <f t="shared" si="67"/>
        <v>81280.558487315255</v>
      </c>
      <c r="R165">
        <f t="shared" si="68"/>
        <v>224.84087010365744</v>
      </c>
    </row>
    <row r="166" spans="1:18" x14ac:dyDescent="0.35">
      <c r="A166" t="s">
        <v>169</v>
      </c>
      <c r="B166" t="s">
        <v>6</v>
      </c>
      <c r="C166">
        <v>325</v>
      </c>
      <c r="E166">
        <f t="shared" si="69"/>
        <v>81280.558487315255</v>
      </c>
      <c r="F166" s="8">
        <f t="shared" si="82"/>
        <v>406.40279243657631</v>
      </c>
      <c r="G166" s="9">
        <f t="shared" si="64"/>
        <v>102.41350369401722</v>
      </c>
      <c r="H166">
        <f t="shared" si="65"/>
        <v>81382.971991009268</v>
      </c>
      <c r="K166" t="s">
        <v>12</v>
      </c>
      <c r="L166">
        <v>326</v>
      </c>
      <c r="N166" s="6">
        <f t="shared" si="83"/>
        <v>488.29783194605562</v>
      </c>
      <c r="O166" s="11">
        <f t="shared" si="66"/>
        <v>123.05105365040602</v>
      </c>
      <c r="P166">
        <f t="shared" si="67"/>
        <v>81506.023044659669</v>
      </c>
      <c r="R166">
        <f t="shared" si="68"/>
        <v>225.46455734442324</v>
      </c>
    </row>
    <row r="167" spans="1:18" x14ac:dyDescent="0.35">
      <c r="A167" t="s">
        <v>170</v>
      </c>
      <c r="B167" t="s">
        <v>6</v>
      </c>
      <c r="C167">
        <v>327</v>
      </c>
      <c r="E167">
        <f t="shared" si="69"/>
        <v>81506.023044659669</v>
      </c>
      <c r="F167" s="8">
        <f t="shared" si="82"/>
        <v>407.53011522329837</v>
      </c>
      <c r="G167" s="9">
        <f t="shared" si="64"/>
        <v>102.69758903627118</v>
      </c>
      <c r="H167">
        <f t="shared" si="65"/>
        <v>81608.720633695935</v>
      </c>
      <c r="K167" t="s">
        <v>12</v>
      </c>
      <c r="L167">
        <v>328</v>
      </c>
      <c r="N167" s="6">
        <f t="shared" si="83"/>
        <v>489.6523238021756</v>
      </c>
      <c r="O167" s="11">
        <f t="shared" si="66"/>
        <v>123.39238559814825</v>
      </c>
      <c r="P167">
        <f t="shared" si="67"/>
        <v>81732.113019294076</v>
      </c>
      <c r="R167">
        <f t="shared" si="68"/>
        <v>226.08997463441943</v>
      </c>
    </row>
    <row r="168" spans="1:18" x14ac:dyDescent="0.35">
      <c r="A168" t="s">
        <v>171</v>
      </c>
      <c r="B168" t="s">
        <v>6</v>
      </c>
      <c r="C168">
        <v>329</v>
      </c>
      <c r="D168" s="15"/>
      <c r="E168">
        <f t="shared" si="69"/>
        <v>81732.113019294076</v>
      </c>
      <c r="F168" s="8">
        <f t="shared" si="82"/>
        <v>408.66056509647041</v>
      </c>
      <c r="G168" s="9">
        <f t="shared" si="64"/>
        <v>102.98246240431054</v>
      </c>
      <c r="H168">
        <f t="shared" si="65"/>
        <v>81835.095481698387</v>
      </c>
      <c r="K168" t="s">
        <v>12</v>
      </c>
      <c r="L168">
        <v>330</v>
      </c>
      <c r="N168" s="6">
        <f t="shared" si="83"/>
        <v>491.0105728901903</v>
      </c>
      <c r="O168" s="11">
        <f t="shared" si="66"/>
        <v>123.73466436832796</v>
      </c>
      <c r="P168">
        <f t="shared" si="67"/>
        <v>81958.830146066713</v>
      </c>
      <c r="R168">
        <f t="shared" si="68"/>
        <v>226.71712677263849</v>
      </c>
    </row>
    <row r="169" spans="1:18" s="6" customFormat="1" x14ac:dyDescent="0.35">
      <c r="A169" s="6" t="s">
        <v>172</v>
      </c>
      <c r="B169" s="6" t="s">
        <v>6</v>
      </c>
      <c r="C169" s="6">
        <v>331</v>
      </c>
      <c r="D169" s="7">
        <v>4.0000000000000001E-3</v>
      </c>
      <c r="E169" s="6">
        <f t="shared" si="69"/>
        <v>81958.830146066713</v>
      </c>
      <c r="F169" s="8">
        <f>E169*0.4%</f>
        <v>327.83532058426687</v>
      </c>
      <c r="G169" s="9">
        <f t="shared" si="64"/>
        <v>82.614500787235258</v>
      </c>
      <c r="H169" s="6">
        <f t="shared" si="65"/>
        <v>82041.444646853954</v>
      </c>
      <c r="K169" s="6" t="s">
        <v>12</v>
      </c>
      <c r="L169" s="6">
        <v>332</v>
      </c>
      <c r="M169" s="7">
        <v>6.4999999999999598E-3</v>
      </c>
      <c r="N169" s="6">
        <f>H169*0.65%</f>
        <v>533.26939020455075</v>
      </c>
      <c r="O169" s="11">
        <f t="shared" si="66"/>
        <v>134.38388633154679</v>
      </c>
      <c r="P169" s="6">
        <f t="shared" si="67"/>
        <v>82175.8285331855</v>
      </c>
      <c r="R169" s="6">
        <f t="shared" si="68"/>
        <v>216.99838711878203</v>
      </c>
    </row>
    <row r="170" spans="1:18" x14ac:dyDescent="0.35">
      <c r="A170" t="s">
        <v>173</v>
      </c>
      <c r="B170" t="s">
        <v>6</v>
      </c>
      <c r="C170">
        <v>333</v>
      </c>
      <c r="E170">
        <f t="shared" si="69"/>
        <v>82175.8285331855</v>
      </c>
      <c r="F170" s="8">
        <f t="shared" ref="F170:F173" si="84">E170*0.4%</f>
        <v>328.70331413274204</v>
      </c>
      <c r="G170" s="9">
        <f t="shared" si="64"/>
        <v>82.833235161451</v>
      </c>
      <c r="H170">
        <f t="shared" si="65"/>
        <v>82258.661768346952</v>
      </c>
      <c r="K170" t="s">
        <v>12</v>
      </c>
      <c r="L170">
        <v>334</v>
      </c>
      <c r="N170" s="6">
        <f t="shared" ref="N170:N173" si="85">H170*0.65%</f>
        <v>534.68130149425519</v>
      </c>
      <c r="O170" s="11">
        <f t="shared" si="66"/>
        <v>134.73968797655232</v>
      </c>
      <c r="P170">
        <f t="shared" si="67"/>
        <v>82393.401456323511</v>
      </c>
      <c r="R170">
        <f t="shared" si="68"/>
        <v>217.57292313800332</v>
      </c>
    </row>
    <row r="171" spans="1:18" x14ac:dyDescent="0.35">
      <c r="A171" t="s">
        <v>174</v>
      </c>
      <c r="B171" t="s">
        <v>6</v>
      </c>
      <c r="C171">
        <v>335</v>
      </c>
      <c r="E171">
        <f t="shared" si="69"/>
        <v>82393.401456323511</v>
      </c>
      <c r="F171" s="8">
        <f t="shared" si="84"/>
        <v>329.57360582529407</v>
      </c>
      <c r="G171" s="9">
        <f t="shared" si="64"/>
        <v>83.052548667974108</v>
      </c>
      <c r="H171">
        <f t="shared" si="65"/>
        <v>82476.454004991479</v>
      </c>
      <c r="K171" t="s">
        <v>12</v>
      </c>
      <c r="L171">
        <v>336</v>
      </c>
      <c r="N171" s="6">
        <f t="shared" si="85"/>
        <v>536.09695103244462</v>
      </c>
      <c r="O171" s="11">
        <f t="shared" si="66"/>
        <v>135.09643166017605</v>
      </c>
      <c r="P171">
        <f t="shared" si="67"/>
        <v>82611.550436651654</v>
      </c>
      <c r="R171">
        <f t="shared" si="68"/>
        <v>218.14898032815017</v>
      </c>
    </row>
    <row r="172" spans="1:18" x14ac:dyDescent="0.35">
      <c r="A172" t="s">
        <v>175</v>
      </c>
      <c r="B172" t="s">
        <v>6</v>
      </c>
      <c r="C172">
        <v>337</v>
      </c>
      <c r="E172">
        <f t="shared" si="69"/>
        <v>82611.550436651654</v>
      </c>
      <c r="F172" s="8">
        <f t="shared" si="84"/>
        <v>330.44620174660662</v>
      </c>
      <c r="G172" s="9">
        <f t="shared" si="64"/>
        <v>83.272442840144862</v>
      </c>
      <c r="H172">
        <f t="shared" si="65"/>
        <v>82694.822879491796</v>
      </c>
      <c r="K172" t="s">
        <v>12</v>
      </c>
      <c r="L172">
        <v>338</v>
      </c>
      <c r="N172" s="6">
        <f t="shared" si="85"/>
        <v>537.51634871669671</v>
      </c>
      <c r="O172" s="11">
        <f t="shared" si="66"/>
        <v>135.45411987660756</v>
      </c>
      <c r="P172">
        <f t="shared" si="67"/>
        <v>82830.276999368405</v>
      </c>
      <c r="R172">
        <f t="shared" si="68"/>
        <v>218.72656271675243</v>
      </c>
    </row>
    <row r="173" spans="1:18" x14ac:dyDescent="0.35">
      <c r="A173" t="s">
        <v>176</v>
      </c>
      <c r="B173" t="s">
        <v>6</v>
      </c>
      <c r="C173">
        <v>339</v>
      </c>
      <c r="E173">
        <f t="shared" si="69"/>
        <v>82830.276999368405</v>
      </c>
      <c r="F173" s="8">
        <f t="shared" si="84"/>
        <v>331.32110799747363</v>
      </c>
      <c r="G173" s="9">
        <f t="shared" si="64"/>
        <v>83.492919215363358</v>
      </c>
      <c r="H173">
        <f t="shared" si="65"/>
        <v>82913.76991858377</v>
      </c>
      <c r="K173" t="s">
        <v>12</v>
      </c>
      <c r="L173">
        <v>340</v>
      </c>
      <c r="M173" s="15"/>
      <c r="N173" s="6">
        <f t="shared" si="85"/>
        <v>538.93950447079453</v>
      </c>
      <c r="O173" s="11">
        <f t="shared" si="66"/>
        <v>135.81275512664021</v>
      </c>
      <c r="P173">
        <f t="shared" si="67"/>
        <v>83049.582673710407</v>
      </c>
      <c r="R173">
        <f t="shared" si="68"/>
        <v>219.30567434200356</v>
      </c>
    </row>
    <row r="174" spans="1:18" s="6" customFormat="1" x14ac:dyDescent="0.35">
      <c r="A174" s="6" t="s">
        <v>177</v>
      </c>
      <c r="B174" s="6" t="s">
        <v>6</v>
      </c>
      <c r="C174" s="6">
        <v>341</v>
      </c>
      <c r="D174" s="7">
        <v>3.00000000000001E-3</v>
      </c>
      <c r="E174" s="6">
        <f t="shared" si="69"/>
        <v>83049.582673710407</v>
      </c>
      <c r="F174" s="8">
        <f>E174*0.3%</f>
        <v>249.14874802113124</v>
      </c>
      <c r="G174" s="9">
        <f t="shared" si="64"/>
        <v>62.785484501325072</v>
      </c>
      <c r="H174" s="6">
        <f t="shared" si="65"/>
        <v>83112.368158211728</v>
      </c>
      <c r="K174" s="6" t="s">
        <v>12</v>
      </c>
      <c r="L174" s="6">
        <v>342</v>
      </c>
      <c r="M174" s="7">
        <v>6.9999999999999498E-3</v>
      </c>
      <c r="N174" s="6">
        <f t="shared" ref="N174:N178" si="86">H174*0.7%</f>
        <v>581.786577107482</v>
      </c>
      <c r="O174" s="11">
        <f t="shared" si="66"/>
        <v>146.61021743108546</v>
      </c>
      <c r="P174" s="6">
        <f t="shared" si="67"/>
        <v>83258.978375642808</v>
      </c>
      <c r="R174" s="6">
        <f t="shared" si="68"/>
        <v>209.39570193241053</v>
      </c>
    </row>
    <row r="175" spans="1:18" x14ac:dyDescent="0.35">
      <c r="A175" t="s">
        <v>178</v>
      </c>
      <c r="B175" t="s">
        <v>6</v>
      </c>
      <c r="C175">
        <v>343</v>
      </c>
      <c r="E175">
        <f t="shared" si="69"/>
        <v>83258.978375642808</v>
      </c>
      <c r="F175" s="8">
        <f t="shared" ref="F175:F178" si="87">E175*0.3%</f>
        <v>249.77693512692844</v>
      </c>
      <c r="G175" s="9">
        <f t="shared" si="64"/>
        <v>62.943787651985964</v>
      </c>
      <c r="H175">
        <f t="shared" si="65"/>
        <v>83321.922163294788</v>
      </c>
      <c r="K175" t="s">
        <v>12</v>
      </c>
      <c r="L175">
        <v>344</v>
      </c>
      <c r="N175" s="6">
        <f t="shared" si="86"/>
        <v>583.25345514306343</v>
      </c>
      <c r="O175" s="11">
        <f t="shared" si="66"/>
        <v>146.97987069605199</v>
      </c>
      <c r="P175">
        <f t="shared" si="67"/>
        <v>83468.902033990846</v>
      </c>
      <c r="R175">
        <f t="shared" si="68"/>
        <v>209.92365834803795</v>
      </c>
    </row>
    <row r="176" spans="1:18" x14ac:dyDescent="0.35">
      <c r="A176" t="s">
        <v>179</v>
      </c>
      <c r="B176" t="s">
        <v>6</v>
      </c>
      <c r="C176">
        <v>345</v>
      </c>
      <c r="E176">
        <f t="shared" si="69"/>
        <v>83468.902033990846</v>
      </c>
      <c r="F176" s="8">
        <f t="shared" si="87"/>
        <v>250.40670610197253</v>
      </c>
      <c r="G176" s="9">
        <f t="shared" si="64"/>
        <v>63.102489937697079</v>
      </c>
      <c r="H176">
        <f t="shared" si="65"/>
        <v>83532.004523928539</v>
      </c>
      <c r="K176" t="s">
        <v>12</v>
      </c>
      <c r="L176">
        <v>346</v>
      </c>
      <c r="N176" s="6">
        <f t="shared" si="86"/>
        <v>584.72403166749973</v>
      </c>
      <c r="O176" s="11">
        <f t="shared" si="66"/>
        <v>147.35045598020994</v>
      </c>
      <c r="P176">
        <f t="shared" si="67"/>
        <v>83679.354979908749</v>
      </c>
      <c r="R176">
        <f t="shared" si="68"/>
        <v>210.45294591790702</v>
      </c>
    </row>
    <row r="177" spans="1:18" x14ac:dyDescent="0.35">
      <c r="A177" t="s">
        <v>180</v>
      </c>
      <c r="B177" t="s">
        <v>6</v>
      </c>
      <c r="C177">
        <v>347</v>
      </c>
      <c r="E177">
        <f t="shared" si="69"/>
        <v>83679.354979908749</v>
      </c>
      <c r="F177" s="8">
        <f t="shared" si="87"/>
        <v>251.03806493972624</v>
      </c>
      <c r="G177" s="9">
        <f t="shared" si="64"/>
        <v>63.261592364811015</v>
      </c>
      <c r="H177">
        <f t="shared" si="65"/>
        <v>83742.61657227356</v>
      </c>
      <c r="K177" t="s">
        <v>12</v>
      </c>
      <c r="L177">
        <v>348</v>
      </c>
      <c r="N177" s="6">
        <f t="shared" si="86"/>
        <v>586.19831600591488</v>
      </c>
      <c r="O177" s="11">
        <f t="shared" si="66"/>
        <v>147.72197563349056</v>
      </c>
      <c r="P177">
        <f t="shared" si="67"/>
        <v>83890.338547907057</v>
      </c>
      <c r="R177">
        <f t="shared" si="68"/>
        <v>210.98356799830157</v>
      </c>
    </row>
    <row r="178" spans="1:18" x14ac:dyDescent="0.35">
      <c r="A178" t="s">
        <v>181</v>
      </c>
      <c r="B178" t="s">
        <v>6</v>
      </c>
      <c r="C178">
        <v>349</v>
      </c>
      <c r="E178">
        <f t="shared" si="69"/>
        <v>83890.338547907057</v>
      </c>
      <c r="F178" s="8">
        <f t="shared" si="87"/>
        <v>251.67101564372118</v>
      </c>
      <c r="G178" s="9">
        <f t="shared" si="64"/>
        <v>63.42109594221774</v>
      </c>
      <c r="H178">
        <f t="shared" si="65"/>
        <v>83953.759643849276</v>
      </c>
      <c r="K178" t="s">
        <v>12</v>
      </c>
      <c r="L178">
        <v>350</v>
      </c>
      <c r="N178" s="6">
        <f t="shared" si="86"/>
        <v>587.67631750694488</v>
      </c>
      <c r="O178" s="11">
        <f t="shared" si="66"/>
        <v>148.09443201175011</v>
      </c>
      <c r="P178">
        <f t="shared" si="67"/>
        <v>84101.854075861032</v>
      </c>
      <c r="R178">
        <f t="shared" si="68"/>
        <v>211.51552795396785</v>
      </c>
    </row>
    <row r="179" spans="1:18" s="6" customFormat="1" x14ac:dyDescent="0.35">
      <c r="A179" s="6" t="s">
        <v>182</v>
      </c>
      <c r="B179" s="6" t="s">
        <v>6</v>
      </c>
      <c r="C179" s="6">
        <v>351</v>
      </c>
      <c r="D179" s="7">
        <v>3.5000000000000001E-3</v>
      </c>
      <c r="E179" s="6">
        <f t="shared" si="69"/>
        <v>84101.854075861032</v>
      </c>
      <c r="F179" s="8">
        <f>E179*0.35%</f>
        <v>294.35648926551357</v>
      </c>
      <c r="G179" s="9">
        <f t="shared" si="64"/>
        <v>74.177835294909414</v>
      </c>
      <c r="H179" s="6">
        <f t="shared" si="65"/>
        <v>84176.031911155937</v>
      </c>
      <c r="K179" s="6" t="s">
        <v>12</v>
      </c>
      <c r="L179" s="6">
        <v>352</v>
      </c>
      <c r="M179" s="7">
        <v>7.4999999999999399E-3</v>
      </c>
      <c r="N179" s="6">
        <f>H179*0.75%</f>
        <v>631.32023933366952</v>
      </c>
      <c r="O179" s="11">
        <f t="shared" si="66"/>
        <v>159.09270031208473</v>
      </c>
      <c r="P179" s="6">
        <f t="shared" si="67"/>
        <v>84335.124611468025</v>
      </c>
      <c r="R179" s="6">
        <f t="shared" si="68"/>
        <v>233.27053560699414</v>
      </c>
    </row>
    <row r="180" spans="1:18" x14ac:dyDescent="0.35">
      <c r="A180" t="s">
        <v>183</v>
      </c>
      <c r="B180" t="s">
        <v>6</v>
      </c>
      <c r="C180">
        <v>353</v>
      </c>
      <c r="E180">
        <f t="shared" si="69"/>
        <v>84335.124611468025</v>
      </c>
      <c r="F180" s="8">
        <f t="shared" ref="F180:F183" si="88">E180*0.35%</f>
        <v>295.17293614013806</v>
      </c>
      <c r="G180" s="9">
        <f t="shared" si="64"/>
        <v>74.383579907314797</v>
      </c>
      <c r="H180">
        <f t="shared" si="65"/>
        <v>84409.508191375338</v>
      </c>
      <c r="K180" t="s">
        <v>12</v>
      </c>
      <c r="L180">
        <v>354</v>
      </c>
      <c r="N180" s="6">
        <f t="shared" ref="N180:N183" si="89">H180*0.75%</f>
        <v>633.07131143531501</v>
      </c>
      <c r="O180" s="11">
        <f t="shared" si="66"/>
        <v>159.53397048169938</v>
      </c>
      <c r="P180">
        <f t="shared" si="67"/>
        <v>84569.04216185704</v>
      </c>
      <c r="R180">
        <f t="shared" si="68"/>
        <v>233.9175503890142</v>
      </c>
    </row>
    <row r="181" spans="1:18" x14ac:dyDescent="0.35">
      <c r="A181" t="s">
        <v>184</v>
      </c>
      <c r="B181" t="s">
        <v>6</v>
      </c>
      <c r="C181">
        <v>355</v>
      </c>
      <c r="E181">
        <f t="shared" si="69"/>
        <v>84569.04216185704</v>
      </c>
      <c r="F181" s="8">
        <f t="shared" si="88"/>
        <v>295.99164756649964</v>
      </c>
      <c r="G181" s="9">
        <f t="shared" si="64"/>
        <v>74.589895186757914</v>
      </c>
      <c r="H181">
        <f t="shared" si="65"/>
        <v>84643.632057043797</v>
      </c>
      <c r="K181" t="s">
        <v>12</v>
      </c>
      <c r="L181">
        <v>356</v>
      </c>
      <c r="N181" s="6">
        <f t="shared" si="89"/>
        <v>634.82724042782843</v>
      </c>
      <c r="O181" s="11">
        <f t="shared" si="66"/>
        <v>159.97646458781276</v>
      </c>
      <c r="P181">
        <f t="shared" si="67"/>
        <v>84803.608521631613</v>
      </c>
      <c r="R181">
        <f t="shared" si="68"/>
        <v>234.56635977457069</v>
      </c>
    </row>
    <row r="182" spans="1:18" x14ac:dyDescent="0.35">
      <c r="A182" t="s">
        <v>185</v>
      </c>
      <c r="B182" t="s">
        <v>6</v>
      </c>
      <c r="C182">
        <v>357</v>
      </c>
      <c r="E182">
        <f t="shared" si="69"/>
        <v>84803.608521631613</v>
      </c>
      <c r="F182" s="8">
        <f t="shared" si="88"/>
        <v>296.81262982571064</v>
      </c>
      <c r="G182" s="9">
        <f t="shared" si="64"/>
        <v>74.796782716079079</v>
      </c>
      <c r="H182">
        <f t="shared" si="65"/>
        <v>84878.405304347689</v>
      </c>
      <c r="K182" t="s">
        <v>12</v>
      </c>
      <c r="L182">
        <v>358</v>
      </c>
      <c r="N182" s="6">
        <f t="shared" si="89"/>
        <v>636.58803978260767</v>
      </c>
      <c r="O182" s="11">
        <f t="shared" si="66"/>
        <v>160.42018602521713</v>
      </c>
      <c r="P182">
        <f t="shared" si="67"/>
        <v>85038.82549037291</v>
      </c>
      <c r="R182">
        <f t="shared" si="68"/>
        <v>235.21696874129623</v>
      </c>
    </row>
    <row r="183" spans="1:18" s="13" customFormat="1" x14ac:dyDescent="0.35">
      <c r="A183" s="13" t="s">
        <v>186</v>
      </c>
      <c r="B183" s="13" t="s">
        <v>6</v>
      </c>
      <c r="C183" s="13">
        <v>359</v>
      </c>
      <c r="E183" s="13">
        <f t="shared" si="69"/>
        <v>85038.82549037291</v>
      </c>
      <c r="F183" s="14">
        <f t="shared" si="88"/>
        <v>297.63588921630515</v>
      </c>
      <c r="G183" s="9">
        <f t="shared" si="64"/>
        <v>75.00424408250889</v>
      </c>
      <c r="H183" s="13">
        <f t="shared" si="65"/>
        <v>85113.829734455416</v>
      </c>
      <c r="K183" s="13" t="s">
        <v>12</v>
      </c>
      <c r="L183" s="13">
        <v>360</v>
      </c>
      <c r="N183" s="13">
        <f t="shared" si="89"/>
        <v>638.35372300841561</v>
      </c>
      <c r="O183" s="11">
        <f t="shared" si="66"/>
        <v>160.86513819812075</v>
      </c>
      <c r="P183" s="13">
        <f t="shared" si="67"/>
        <v>85274.694872653534</v>
      </c>
      <c r="R183" s="13">
        <f t="shared" si="68"/>
        <v>235.86938228062962</v>
      </c>
    </row>
    <row r="184" spans="1:18" s="6" customFormat="1" x14ac:dyDescent="0.35">
      <c r="A184" s="6" t="s">
        <v>187</v>
      </c>
      <c r="B184" s="6" t="s">
        <v>6</v>
      </c>
      <c r="C184" s="6">
        <v>361</v>
      </c>
      <c r="D184" s="7">
        <v>4.0000000000000001E-3</v>
      </c>
      <c r="E184" s="6">
        <f t="shared" si="69"/>
        <v>85274.694872653534</v>
      </c>
      <c r="F184" s="8">
        <f>E184*0.4%</f>
        <v>341.09877949061416</v>
      </c>
      <c r="G184" s="9">
        <f t="shared" si="64"/>
        <v>85.95689243163477</v>
      </c>
      <c r="H184" s="6">
        <f t="shared" si="65"/>
        <v>85360.651765085175</v>
      </c>
      <c r="K184" s="6" t="s">
        <v>12</v>
      </c>
      <c r="L184" s="6">
        <v>362</v>
      </c>
      <c r="M184" s="7">
        <v>7.9999999999999308E-3</v>
      </c>
      <c r="N184" s="6">
        <f>H184*0.8%</f>
        <v>682.88521412068144</v>
      </c>
      <c r="O184" s="11">
        <f t="shared" si="66"/>
        <v>172.08707395841174</v>
      </c>
      <c r="P184" s="6">
        <f t="shared" si="67"/>
        <v>85532.738839043581</v>
      </c>
      <c r="R184" s="6">
        <f t="shared" si="68"/>
        <v>258.04396639004653</v>
      </c>
    </row>
    <row r="185" spans="1:18" x14ac:dyDescent="0.35">
      <c r="A185" t="s">
        <v>188</v>
      </c>
      <c r="B185" t="s">
        <v>6</v>
      </c>
      <c r="C185">
        <v>363</v>
      </c>
      <c r="E185">
        <f t="shared" si="69"/>
        <v>85532.738839043581</v>
      </c>
      <c r="F185" s="8">
        <f t="shared" ref="F185:F188" si="90">E185*0.4%</f>
        <v>342.13095535617435</v>
      </c>
      <c r="G185" s="9">
        <f t="shared" si="64"/>
        <v>86.21700074975594</v>
      </c>
      <c r="H185">
        <f t="shared" si="65"/>
        <v>85618.955839793343</v>
      </c>
      <c r="K185" t="s">
        <v>12</v>
      </c>
      <c r="L185">
        <v>364</v>
      </c>
      <c r="N185" s="6">
        <f t="shared" ref="N185:N188" si="91">H185*0.8%</f>
        <v>684.95164671834675</v>
      </c>
      <c r="O185" s="11">
        <f t="shared" si="66"/>
        <v>172.60781497302338</v>
      </c>
      <c r="P185">
        <f t="shared" si="67"/>
        <v>85791.56365476636</v>
      </c>
      <c r="R185">
        <f t="shared" si="68"/>
        <v>258.82481572277931</v>
      </c>
    </row>
    <row r="186" spans="1:18" x14ac:dyDescent="0.35">
      <c r="A186" t="s">
        <v>189</v>
      </c>
      <c r="B186" t="s">
        <v>6</v>
      </c>
      <c r="C186">
        <v>365</v>
      </c>
      <c r="E186">
        <f t="shared" si="69"/>
        <v>85791.56365476636</v>
      </c>
      <c r="F186" s="8">
        <f t="shared" si="90"/>
        <v>343.16625461906546</v>
      </c>
      <c r="G186" s="9">
        <f t="shared" si="64"/>
        <v>86.477896164004491</v>
      </c>
      <c r="H186">
        <f t="shared" si="65"/>
        <v>85878.041550930371</v>
      </c>
      <c r="K186" t="s">
        <v>12</v>
      </c>
      <c r="L186">
        <v>366</v>
      </c>
      <c r="N186" s="6">
        <f t="shared" si="91"/>
        <v>687.02433240744301</v>
      </c>
      <c r="O186" s="11">
        <f t="shared" si="66"/>
        <v>173.13013176667565</v>
      </c>
      <c r="P186">
        <f t="shared" si="67"/>
        <v>86051.171682697051</v>
      </c>
      <c r="R186">
        <f t="shared" si="68"/>
        <v>259.60802793068012</v>
      </c>
    </row>
    <row r="187" spans="1:18" x14ac:dyDescent="0.35">
      <c r="A187" t="s">
        <v>190</v>
      </c>
      <c r="B187" t="s">
        <v>6</v>
      </c>
      <c r="C187">
        <v>367</v>
      </c>
      <c r="E187">
        <f t="shared" si="69"/>
        <v>86051.171682697051</v>
      </c>
      <c r="F187" s="8">
        <f t="shared" si="90"/>
        <v>344.20468673078824</v>
      </c>
      <c r="G187" s="9">
        <f t="shared" si="64"/>
        <v>86.739581056158642</v>
      </c>
      <c r="H187">
        <f t="shared" si="65"/>
        <v>86137.911263753209</v>
      </c>
      <c r="K187" t="s">
        <v>12</v>
      </c>
      <c r="L187">
        <v>368</v>
      </c>
      <c r="N187" s="6">
        <f t="shared" si="91"/>
        <v>689.10329011002568</v>
      </c>
      <c r="O187" s="11">
        <f t="shared" si="66"/>
        <v>173.65402910772647</v>
      </c>
      <c r="P187">
        <f t="shared" si="67"/>
        <v>86311.565292860934</v>
      </c>
      <c r="R187">
        <f t="shared" si="68"/>
        <v>260.39361016388511</v>
      </c>
    </row>
    <row r="188" spans="1:18" x14ac:dyDescent="0.35">
      <c r="A188" t="s">
        <v>191</v>
      </c>
      <c r="B188" t="s">
        <v>6</v>
      </c>
      <c r="C188">
        <v>369</v>
      </c>
      <c r="E188">
        <f t="shared" si="69"/>
        <v>86311.565292860934</v>
      </c>
      <c r="F188" s="8">
        <f t="shared" si="90"/>
        <v>345.24626117144373</v>
      </c>
      <c r="G188" s="9">
        <f t="shared" si="64"/>
        <v>87.002057815203827</v>
      </c>
      <c r="H188">
        <f t="shared" si="65"/>
        <v>86398.567350676138</v>
      </c>
      <c r="K188" t="s">
        <v>12</v>
      </c>
      <c r="L188">
        <v>370</v>
      </c>
      <c r="N188" s="6">
        <f t="shared" si="91"/>
        <v>691.18853880540917</v>
      </c>
      <c r="O188" s="11">
        <f t="shared" si="66"/>
        <v>174.1795117789631</v>
      </c>
      <c r="P188">
        <f t="shared" si="67"/>
        <v>86572.746862455097</v>
      </c>
      <c r="R188">
        <f t="shared" si="68"/>
        <v>261.18156959416694</v>
      </c>
    </row>
    <row r="189" spans="1:18" s="6" customFormat="1" x14ac:dyDescent="0.35">
      <c r="A189" s="6" t="s">
        <v>192</v>
      </c>
      <c r="B189" s="6" t="s">
        <v>6</v>
      </c>
      <c r="C189" s="6">
        <v>371</v>
      </c>
      <c r="D189" s="7">
        <v>4.4999999999999797E-3</v>
      </c>
      <c r="E189" s="6">
        <f t="shared" si="69"/>
        <v>86572.746862455097</v>
      </c>
      <c r="F189" s="8">
        <f>E189*0.45%</f>
        <v>389.57736088104798</v>
      </c>
      <c r="G189" s="9">
        <f t="shared" si="64"/>
        <v>98.173494942024092</v>
      </c>
      <c r="H189" s="6">
        <f t="shared" si="65"/>
        <v>86670.920357397117</v>
      </c>
      <c r="K189" s="6" t="s">
        <v>12</v>
      </c>
      <c r="L189" s="6">
        <v>372</v>
      </c>
      <c r="M189" s="7">
        <v>8.4999999999999208E-3</v>
      </c>
      <c r="N189" s="6">
        <f>H189*0.85%</f>
        <v>736.70282303787553</v>
      </c>
      <c r="O189" s="11">
        <f t="shared" si="66"/>
        <v>185.64911140554463</v>
      </c>
      <c r="P189" s="6">
        <f t="shared" si="67"/>
        <v>86856.569468802656</v>
      </c>
      <c r="R189" s="6">
        <f t="shared" si="68"/>
        <v>283.82260634756869</v>
      </c>
    </row>
    <row r="190" spans="1:18" x14ac:dyDescent="0.35">
      <c r="A190" t="s">
        <v>193</v>
      </c>
      <c r="B190" t="s">
        <v>6</v>
      </c>
      <c r="C190">
        <v>373</v>
      </c>
      <c r="E190">
        <f t="shared" si="69"/>
        <v>86856.569468802656</v>
      </c>
      <c r="F190" s="8">
        <f t="shared" ref="F190:F193" si="92">E190*0.45%</f>
        <v>390.854562609612</v>
      </c>
      <c r="G190" s="9">
        <f t="shared" si="64"/>
        <v>98.495349777622224</v>
      </c>
      <c r="H190">
        <f t="shared" si="65"/>
        <v>86955.064818580271</v>
      </c>
      <c r="K190" t="s">
        <v>12</v>
      </c>
      <c r="L190">
        <v>374</v>
      </c>
      <c r="N190" s="6">
        <f t="shared" ref="N190:N193" si="93">H190*0.85%</f>
        <v>739.11805095793238</v>
      </c>
      <c r="O190" s="11">
        <f t="shared" si="66"/>
        <v>186.25774884139895</v>
      </c>
      <c r="P190">
        <f t="shared" si="67"/>
        <v>87141.322567421666</v>
      </c>
      <c r="R190">
        <f t="shared" si="68"/>
        <v>284.75309861902116</v>
      </c>
    </row>
    <row r="191" spans="1:18" x14ac:dyDescent="0.35">
      <c r="A191" t="s">
        <v>194</v>
      </c>
      <c r="B191" t="s">
        <v>6</v>
      </c>
      <c r="C191">
        <v>375</v>
      </c>
      <c r="E191">
        <f t="shared" si="69"/>
        <v>87141.322567421666</v>
      </c>
      <c r="F191" s="8">
        <f t="shared" si="92"/>
        <v>392.13595155339755</v>
      </c>
      <c r="G191" s="9">
        <f t="shared" si="64"/>
        <v>98.818259791456185</v>
      </c>
      <c r="H191">
        <f t="shared" si="65"/>
        <v>87240.140827213123</v>
      </c>
      <c r="K191" t="s">
        <v>12</v>
      </c>
      <c r="L191">
        <v>376</v>
      </c>
      <c r="N191" s="6">
        <f t="shared" si="93"/>
        <v>741.54119703131164</v>
      </c>
      <c r="O191" s="11">
        <f t="shared" si="66"/>
        <v>186.86838165189053</v>
      </c>
      <c r="P191">
        <f t="shared" si="67"/>
        <v>87427.009208865013</v>
      </c>
      <c r="R191">
        <f t="shared" si="68"/>
        <v>285.68664144334673</v>
      </c>
    </row>
    <row r="192" spans="1:18" x14ac:dyDescent="0.35">
      <c r="A192" t="s">
        <v>195</v>
      </c>
      <c r="B192" t="s">
        <v>6</v>
      </c>
      <c r="C192">
        <v>377</v>
      </c>
      <c r="E192">
        <f t="shared" si="69"/>
        <v>87427.009208865013</v>
      </c>
      <c r="F192" s="8">
        <f t="shared" si="92"/>
        <v>393.42154143989262</v>
      </c>
      <c r="G192" s="9">
        <f t="shared" si="64"/>
        <v>99.142228442852939</v>
      </c>
      <c r="H192">
        <f t="shared" si="65"/>
        <v>87526.151437307868</v>
      </c>
      <c r="K192" t="s">
        <v>12</v>
      </c>
      <c r="L192">
        <v>378</v>
      </c>
      <c r="N192" s="6">
        <f t="shared" si="93"/>
        <v>743.9722872171169</v>
      </c>
      <c r="O192" s="11">
        <f t="shared" si="66"/>
        <v>187.48101637871346</v>
      </c>
      <c r="P192">
        <f t="shared" si="67"/>
        <v>87713.632453686587</v>
      </c>
      <c r="R192">
        <f t="shared" si="68"/>
        <v>286.6232448215664</v>
      </c>
    </row>
    <row r="193" spans="1:18" x14ac:dyDescent="0.35">
      <c r="A193" t="s">
        <v>196</v>
      </c>
      <c r="B193" t="s">
        <v>6</v>
      </c>
      <c r="C193">
        <v>379</v>
      </c>
      <c r="E193">
        <f t="shared" si="69"/>
        <v>87713.632453686587</v>
      </c>
      <c r="F193" s="8">
        <f t="shared" si="92"/>
        <v>394.71134604158971</v>
      </c>
      <c r="G193" s="9">
        <f t="shared" si="64"/>
        <v>99.467259202480605</v>
      </c>
      <c r="H193">
        <f t="shared" si="65"/>
        <v>87813.099712889074</v>
      </c>
      <c r="K193" t="s">
        <v>12</v>
      </c>
      <c r="L193">
        <v>380</v>
      </c>
      <c r="M193" s="15"/>
      <c r="N193" s="6">
        <f t="shared" si="93"/>
        <v>746.41134755955716</v>
      </c>
      <c r="O193" s="11">
        <f t="shared" si="66"/>
        <v>188.09565958500841</v>
      </c>
      <c r="P193">
        <f t="shared" si="67"/>
        <v>88001.195372474089</v>
      </c>
      <c r="R193">
        <f t="shared" si="68"/>
        <v>287.56291878748902</v>
      </c>
    </row>
    <row r="194" spans="1:18" s="6" customFormat="1" x14ac:dyDescent="0.35">
      <c r="A194" s="6" t="s">
        <v>197</v>
      </c>
      <c r="B194" s="6" t="s">
        <v>6</v>
      </c>
      <c r="C194" s="6">
        <v>381</v>
      </c>
      <c r="D194" s="7">
        <v>4.9999999999999697E-3</v>
      </c>
      <c r="E194" s="6">
        <f t="shared" si="69"/>
        <v>88001.195372474089</v>
      </c>
      <c r="F194" s="8">
        <f>E194*0.5%</f>
        <v>440.00597686237046</v>
      </c>
      <c r="G194" s="9">
        <f t="shared" si="64"/>
        <v>110.88150616931736</v>
      </c>
      <c r="H194" s="6">
        <f t="shared" si="65"/>
        <v>88112.076878643406</v>
      </c>
      <c r="K194" s="6" t="s">
        <v>12</v>
      </c>
      <c r="L194" s="6">
        <v>382</v>
      </c>
      <c r="M194" s="7">
        <v>8.9999999999999108E-3</v>
      </c>
      <c r="N194" s="6">
        <f>H194*0.9%</f>
        <v>793.00869190779076</v>
      </c>
      <c r="O194" s="11">
        <f t="shared" si="66"/>
        <v>199.83819036076326</v>
      </c>
      <c r="P194" s="6">
        <f t="shared" si="67"/>
        <v>88311.915069004172</v>
      </c>
      <c r="R194" s="6">
        <f t="shared" si="68"/>
        <v>310.71969653008063</v>
      </c>
    </row>
    <row r="195" spans="1:18" x14ac:dyDescent="0.35">
      <c r="A195" t="s">
        <v>198</v>
      </c>
      <c r="B195" t="s">
        <v>6</v>
      </c>
      <c r="C195">
        <v>383</v>
      </c>
      <c r="E195">
        <f t="shared" si="69"/>
        <v>88311.915069004172</v>
      </c>
      <c r="F195" s="8">
        <f t="shared" ref="F195:F198" si="94">E195*0.5%</f>
        <v>441.55957534502085</v>
      </c>
      <c r="G195" s="9">
        <f t="shared" si="64"/>
        <v>111.27301298694526</v>
      </c>
      <c r="H195">
        <f t="shared" si="65"/>
        <v>88423.188081991117</v>
      </c>
      <c r="K195" t="s">
        <v>12</v>
      </c>
      <c r="L195">
        <v>384</v>
      </c>
      <c r="N195" s="6">
        <f t="shared" ref="N195:N198" si="95">H195*0.9%</f>
        <v>795.80869273792018</v>
      </c>
      <c r="O195" s="11">
        <f t="shared" si="66"/>
        <v>200.54379056995589</v>
      </c>
      <c r="P195">
        <f t="shared" si="67"/>
        <v>88623.731872561068</v>
      </c>
      <c r="R195">
        <f t="shared" si="68"/>
        <v>311.81680355690116</v>
      </c>
    </row>
    <row r="196" spans="1:18" x14ac:dyDescent="0.35">
      <c r="A196" t="s">
        <v>199</v>
      </c>
      <c r="B196" t="s">
        <v>6</v>
      </c>
      <c r="C196">
        <v>385</v>
      </c>
      <c r="E196">
        <f t="shared" si="69"/>
        <v>88623.731872561068</v>
      </c>
      <c r="F196" s="8">
        <f t="shared" si="94"/>
        <v>443.11865936280537</v>
      </c>
      <c r="G196" s="9">
        <f t="shared" si="64"/>
        <v>111.66590215942695</v>
      </c>
      <c r="H196">
        <f t="shared" si="65"/>
        <v>88735.397774720492</v>
      </c>
      <c r="K196" t="s">
        <v>12</v>
      </c>
      <c r="L196">
        <v>386</v>
      </c>
      <c r="N196" s="6">
        <f t="shared" si="95"/>
        <v>798.61857997248455</v>
      </c>
      <c r="O196" s="11">
        <f t="shared" si="66"/>
        <v>201.25188215306611</v>
      </c>
      <c r="P196">
        <f t="shared" si="67"/>
        <v>88936.64965687356</v>
      </c>
      <c r="R196">
        <f t="shared" si="68"/>
        <v>312.91778431249304</v>
      </c>
    </row>
    <row r="197" spans="1:18" x14ac:dyDescent="0.35">
      <c r="A197" t="s">
        <v>200</v>
      </c>
      <c r="B197" t="s">
        <v>6</v>
      </c>
      <c r="C197">
        <v>387</v>
      </c>
      <c r="E197">
        <f t="shared" si="69"/>
        <v>88936.64965687356</v>
      </c>
      <c r="F197" s="8">
        <f t="shared" si="94"/>
        <v>444.68324828436783</v>
      </c>
      <c r="G197" s="9">
        <f t="shared" ref="G197:G260" si="96">F197*25.2%</f>
        <v>112.0601785676607</v>
      </c>
      <c r="H197">
        <f t="shared" ref="H197:H260" si="97">G197+E197</f>
        <v>89048.709835441216</v>
      </c>
      <c r="K197" t="s">
        <v>12</v>
      </c>
      <c r="L197">
        <v>388</v>
      </c>
      <c r="N197" s="6">
        <f t="shared" si="95"/>
        <v>801.43838851897101</v>
      </c>
      <c r="O197" s="11">
        <f t="shared" ref="O197:O260" si="98">N197*25.2%</f>
        <v>201.9624739067807</v>
      </c>
      <c r="P197">
        <f t="shared" ref="P197:P260" si="99">O197+H197</f>
        <v>89250.672309347996</v>
      </c>
      <c r="R197">
        <f t="shared" ref="R197:R260" si="100">O197+G197</f>
        <v>314.02265247444143</v>
      </c>
    </row>
    <row r="198" spans="1:18" x14ac:dyDescent="0.35">
      <c r="A198" t="s">
        <v>201</v>
      </c>
      <c r="B198" t="s">
        <v>6</v>
      </c>
      <c r="C198">
        <v>389</v>
      </c>
      <c r="D198" s="15"/>
      <c r="E198">
        <f t="shared" ref="E198:E261" si="101">P197</f>
        <v>89250.672309347996</v>
      </c>
      <c r="F198" s="8">
        <f t="shared" si="94"/>
        <v>446.25336154674</v>
      </c>
      <c r="G198" s="9">
        <f t="shared" si="96"/>
        <v>112.45584710977847</v>
      </c>
      <c r="H198">
        <f t="shared" si="97"/>
        <v>89363.12815645778</v>
      </c>
      <c r="K198" t="s">
        <v>12</v>
      </c>
      <c r="L198">
        <v>390</v>
      </c>
      <c r="N198" s="6">
        <f t="shared" si="95"/>
        <v>804.26815340812016</v>
      </c>
      <c r="O198" s="11">
        <f t="shared" si="98"/>
        <v>202.67557465884627</v>
      </c>
      <c r="P198">
        <f t="shared" si="99"/>
        <v>89565.803731116626</v>
      </c>
      <c r="R198">
        <f t="shared" si="100"/>
        <v>315.13142176862476</v>
      </c>
    </row>
    <row r="199" spans="1:18" s="6" customFormat="1" x14ac:dyDescent="0.35">
      <c r="A199" s="6" t="s">
        <v>202</v>
      </c>
      <c r="B199" s="6" t="s">
        <v>6</v>
      </c>
      <c r="C199" s="6">
        <v>391</v>
      </c>
      <c r="D199" s="7">
        <v>5.4999999999999598E-3</v>
      </c>
      <c r="E199" s="6">
        <f t="shared" si="101"/>
        <v>89565.803731116626</v>
      </c>
      <c r="F199" s="8">
        <f>E199*0.55%</f>
        <v>492.61192052114149</v>
      </c>
      <c r="G199" s="9">
        <f t="shared" si="96"/>
        <v>124.13820397132766</v>
      </c>
      <c r="H199" s="6">
        <f t="shared" si="97"/>
        <v>89689.941935087947</v>
      </c>
      <c r="K199" s="6" t="s">
        <v>12</v>
      </c>
      <c r="L199" s="6">
        <v>392</v>
      </c>
      <c r="M199" s="7">
        <v>8.0000000000000002E-3</v>
      </c>
      <c r="N199" s="6">
        <f t="shared" ref="N199:N203" si="102">H199*0.8%</f>
        <v>717.51953548070355</v>
      </c>
      <c r="O199" s="11">
        <f t="shared" si="98"/>
        <v>180.8149229411373</v>
      </c>
      <c r="P199" s="6">
        <f t="shared" si="99"/>
        <v>89870.756858029083</v>
      </c>
      <c r="R199" s="6">
        <f t="shared" si="100"/>
        <v>304.95312691246494</v>
      </c>
    </row>
    <row r="200" spans="1:18" x14ac:dyDescent="0.35">
      <c r="A200" t="s">
        <v>203</v>
      </c>
      <c r="B200" t="s">
        <v>6</v>
      </c>
      <c r="C200">
        <v>393</v>
      </c>
      <c r="E200">
        <f t="shared" si="101"/>
        <v>89870.756858029083</v>
      </c>
      <c r="F200" s="8">
        <f t="shared" ref="F200:F203" si="103">E200*0.55%</f>
        <v>494.28916271916</v>
      </c>
      <c r="G200" s="9">
        <f t="shared" si="96"/>
        <v>124.56086900522833</v>
      </c>
      <c r="H200">
        <f t="shared" si="97"/>
        <v>89995.317727034315</v>
      </c>
      <c r="K200" t="s">
        <v>12</v>
      </c>
      <c r="L200">
        <v>394</v>
      </c>
      <c r="N200" s="6">
        <f t="shared" si="102"/>
        <v>719.96254181627455</v>
      </c>
      <c r="O200" s="11">
        <f t="shared" si="98"/>
        <v>181.43056053770118</v>
      </c>
      <c r="P200">
        <f t="shared" si="99"/>
        <v>90176.748287572016</v>
      </c>
      <c r="R200">
        <f t="shared" si="100"/>
        <v>305.9914295429295</v>
      </c>
    </row>
    <row r="201" spans="1:18" x14ac:dyDescent="0.35">
      <c r="A201" t="s">
        <v>204</v>
      </c>
      <c r="B201" t="s">
        <v>6</v>
      </c>
      <c r="C201">
        <v>395</v>
      </c>
      <c r="E201">
        <f t="shared" si="101"/>
        <v>90176.748287572016</v>
      </c>
      <c r="F201" s="8">
        <f t="shared" si="103"/>
        <v>495.97211558164616</v>
      </c>
      <c r="G201" s="9">
        <f t="shared" si="96"/>
        <v>124.98497312657483</v>
      </c>
      <c r="H201">
        <f t="shared" si="97"/>
        <v>90301.733260698587</v>
      </c>
      <c r="K201" t="s">
        <v>12</v>
      </c>
      <c r="L201">
        <v>396</v>
      </c>
      <c r="N201" s="6">
        <f t="shared" si="102"/>
        <v>722.41386608558867</v>
      </c>
      <c r="O201" s="11">
        <f t="shared" si="98"/>
        <v>182.04829425356834</v>
      </c>
      <c r="P201">
        <f t="shared" si="99"/>
        <v>90483.781554952162</v>
      </c>
      <c r="R201">
        <f t="shared" si="100"/>
        <v>307.03326738014317</v>
      </c>
    </row>
    <row r="202" spans="1:18" x14ac:dyDescent="0.35">
      <c r="A202" t="s">
        <v>205</v>
      </c>
      <c r="B202" t="s">
        <v>6</v>
      </c>
      <c r="C202">
        <v>397</v>
      </c>
      <c r="E202">
        <f t="shared" si="101"/>
        <v>90483.781554952162</v>
      </c>
      <c r="F202" s="8">
        <f t="shared" si="103"/>
        <v>497.66079855223694</v>
      </c>
      <c r="G202" s="9">
        <f t="shared" si="96"/>
        <v>125.41052123516371</v>
      </c>
      <c r="H202">
        <f t="shared" si="97"/>
        <v>90609.192076187319</v>
      </c>
      <c r="K202" t="s">
        <v>12</v>
      </c>
      <c r="L202">
        <v>398</v>
      </c>
      <c r="N202" s="6">
        <f t="shared" si="102"/>
        <v>724.87353660949861</v>
      </c>
      <c r="O202" s="11">
        <f t="shared" si="98"/>
        <v>182.66813122559364</v>
      </c>
      <c r="P202">
        <f t="shared" si="99"/>
        <v>90791.860207412916</v>
      </c>
      <c r="R202">
        <f t="shared" si="100"/>
        <v>308.07865246075733</v>
      </c>
    </row>
    <row r="203" spans="1:18" x14ac:dyDescent="0.35">
      <c r="A203" t="s">
        <v>206</v>
      </c>
      <c r="B203" t="s">
        <v>6</v>
      </c>
      <c r="C203">
        <v>399</v>
      </c>
      <c r="E203">
        <f t="shared" si="101"/>
        <v>90791.860207412916</v>
      </c>
      <c r="F203" s="8">
        <f t="shared" si="103"/>
        <v>499.35523114077108</v>
      </c>
      <c r="G203" s="9">
        <f t="shared" si="96"/>
        <v>125.83751824747431</v>
      </c>
      <c r="H203">
        <f t="shared" si="97"/>
        <v>90917.697725660386</v>
      </c>
      <c r="K203" t="s">
        <v>12</v>
      </c>
      <c r="L203">
        <v>400</v>
      </c>
      <c r="N203" s="6">
        <f t="shared" si="102"/>
        <v>727.34158180528311</v>
      </c>
      <c r="O203" s="11">
        <f t="shared" si="98"/>
        <v>183.29007861493133</v>
      </c>
      <c r="P203">
        <f t="shared" si="99"/>
        <v>91100.987804275312</v>
      </c>
      <c r="R203">
        <f t="shared" si="100"/>
        <v>309.12759686240565</v>
      </c>
    </row>
    <row r="204" spans="1:18" s="6" customFormat="1" x14ac:dyDescent="0.35">
      <c r="A204" s="6" t="s">
        <v>207</v>
      </c>
      <c r="B204" s="6" t="s">
        <v>6</v>
      </c>
      <c r="C204" s="6">
        <v>401</v>
      </c>
      <c r="D204" s="7">
        <v>5.9999999999999498E-3</v>
      </c>
      <c r="E204" s="6">
        <f t="shared" si="101"/>
        <v>91100.987804275312</v>
      </c>
      <c r="F204" s="8">
        <f>E204*0.6%</f>
        <v>546.60592682565186</v>
      </c>
      <c r="G204" s="9">
        <f t="shared" si="96"/>
        <v>137.74469356006426</v>
      </c>
      <c r="H204" s="6">
        <f t="shared" si="97"/>
        <v>91238.732497835372</v>
      </c>
      <c r="K204" s="6" t="s">
        <v>12</v>
      </c>
      <c r="L204" s="6">
        <v>402</v>
      </c>
      <c r="M204" s="7">
        <v>7.0000000000000001E-3</v>
      </c>
      <c r="N204" s="6">
        <f>H204*0.7%</f>
        <v>638.67112748484749</v>
      </c>
      <c r="O204" s="11">
        <f t="shared" si="98"/>
        <v>160.94512412618158</v>
      </c>
      <c r="P204" s="6">
        <f t="shared" si="99"/>
        <v>91399.677621961557</v>
      </c>
      <c r="R204" s="6">
        <f t="shared" si="100"/>
        <v>298.68981768624587</v>
      </c>
    </row>
    <row r="205" spans="1:18" x14ac:dyDescent="0.35">
      <c r="A205" t="s">
        <v>208</v>
      </c>
      <c r="B205" t="s">
        <v>6</v>
      </c>
      <c r="C205">
        <v>403</v>
      </c>
      <c r="E205">
        <f t="shared" si="101"/>
        <v>91399.677621961557</v>
      </c>
      <c r="F205" s="8">
        <f t="shared" ref="F205:F208" si="104">E205*0.6%</f>
        <v>548.39806573176941</v>
      </c>
      <c r="G205" s="9">
        <f t="shared" si="96"/>
        <v>138.1963125644059</v>
      </c>
      <c r="H205">
        <f t="shared" si="97"/>
        <v>91537.873934525967</v>
      </c>
      <c r="K205" t="s">
        <v>12</v>
      </c>
      <c r="L205">
        <v>404</v>
      </c>
      <c r="N205" s="6">
        <f t="shared" ref="N205:N208" si="105">H205*0.7%</f>
        <v>640.76511754168166</v>
      </c>
      <c r="O205" s="11">
        <f t="shared" si="98"/>
        <v>161.47280962050377</v>
      </c>
      <c r="P205">
        <f t="shared" si="99"/>
        <v>91699.346744146475</v>
      </c>
      <c r="R205">
        <f t="shared" si="100"/>
        <v>299.66912218490967</v>
      </c>
    </row>
    <row r="206" spans="1:18" x14ac:dyDescent="0.35">
      <c r="A206" t="s">
        <v>209</v>
      </c>
      <c r="B206" t="s">
        <v>6</v>
      </c>
      <c r="C206">
        <v>405</v>
      </c>
      <c r="E206">
        <f t="shared" si="101"/>
        <v>91699.346744146475</v>
      </c>
      <c r="F206" s="8">
        <f t="shared" si="104"/>
        <v>550.19608046487883</v>
      </c>
      <c r="G206" s="9">
        <f t="shared" si="96"/>
        <v>138.64941227714948</v>
      </c>
      <c r="H206">
        <f t="shared" si="97"/>
        <v>91837.996156423629</v>
      </c>
      <c r="K206" t="s">
        <v>12</v>
      </c>
      <c r="L206">
        <v>406</v>
      </c>
      <c r="N206" s="6">
        <f t="shared" si="105"/>
        <v>642.86597309496528</v>
      </c>
      <c r="O206" s="11">
        <f t="shared" si="98"/>
        <v>162.00222521993126</v>
      </c>
      <c r="P206">
        <f t="shared" si="99"/>
        <v>91999.998381643556</v>
      </c>
      <c r="R206">
        <f t="shared" si="100"/>
        <v>300.65163749708074</v>
      </c>
    </row>
    <row r="207" spans="1:18" x14ac:dyDescent="0.35">
      <c r="A207" t="s">
        <v>210</v>
      </c>
      <c r="B207" t="s">
        <v>6</v>
      </c>
      <c r="C207">
        <v>407</v>
      </c>
      <c r="E207">
        <f t="shared" si="101"/>
        <v>91999.998381643556</v>
      </c>
      <c r="F207" s="8">
        <f t="shared" si="104"/>
        <v>551.99999028986133</v>
      </c>
      <c r="G207" s="9">
        <f t="shared" si="96"/>
        <v>139.10399755304505</v>
      </c>
      <c r="H207">
        <f t="shared" si="97"/>
        <v>92139.1023791966</v>
      </c>
      <c r="K207" t="s">
        <v>12</v>
      </c>
      <c r="L207">
        <v>408</v>
      </c>
      <c r="N207" s="6">
        <f t="shared" si="105"/>
        <v>644.97371665437618</v>
      </c>
      <c r="O207" s="11">
        <f t="shared" si="98"/>
        <v>162.5333765969028</v>
      </c>
      <c r="P207">
        <f t="shared" si="99"/>
        <v>92301.635755793497</v>
      </c>
      <c r="R207">
        <f t="shared" si="100"/>
        <v>301.63737414994785</v>
      </c>
    </row>
    <row r="208" spans="1:18" x14ac:dyDescent="0.35">
      <c r="A208" t="s">
        <v>211</v>
      </c>
      <c r="B208" t="s">
        <v>6</v>
      </c>
      <c r="C208">
        <v>409</v>
      </c>
      <c r="E208">
        <f t="shared" si="101"/>
        <v>92301.635755793497</v>
      </c>
      <c r="F208" s="8">
        <f t="shared" si="104"/>
        <v>553.80981453476102</v>
      </c>
      <c r="G208" s="9">
        <f t="shared" si="96"/>
        <v>139.56007326275977</v>
      </c>
      <c r="H208">
        <f t="shared" si="97"/>
        <v>92441.195829056262</v>
      </c>
      <c r="K208" t="s">
        <v>12</v>
      </c>
      <c r="L208">
        <v>410</v>
      </c>
      <c r="N208" s="6">
        <f t="shared" si="105"/>
        <v>647.08837080339379</v>
      </c>
      <c r="O208" s="11">
        <f t="shared" si="98"/>
        <v>163.06626944245522</v>
      </c>
      <c r="P208">
        <f t="shared" si="99"/>
        <v>92604.262098498715</v>
      </c>
      <c r="R208">
        <f t="shared" si="100"/>
        <v>302.626342705215</v>
      </c>
    </row>
    <row r="209" spans="1:18" s="6" customFormat="1" x14ac:dyDescent="0.35">
      <c r="A209" s="6" t="s">
        <v>212</v>
      </c>
      <c r="B209" s="6" t="s">
        <v>6</v>
      </c>
      <c r="C209" s="6">
        <v>411</v>
      </c>
      <c r="D209" s="7">
        <v>6.4999999999999399E-3</v>
      </c>
      <c r="E209" s="6">
        <f t="shared" si="101"/>
        <v>92604.262098498715</v>
      </c>
      <c r="F209" s="8">
        <f>E209*0.65%</f>
        <v>601.9277036402417</v>
      </c>
      <c r="G209" s="9">
        <f t="shared" si="96"/>
        <v>151.68578131734091</v>
      </c>
      <c r="H209" s="6">
        <f t="shared" si="97"/>
        <v>92755.947879816056</v>
      </c>
      <c r="K209" s="6" t="s">
        <v>6</v>
      </c>
      <c r="L209" s="6">
        <v>412</v>
      </c>
      <c r="M209" s="7">
        <v>6.0000000000001797E-3</v>
      </c>
      <c r="N209" s="6">
        <f>H209*0.6%</f>
        <v>556.53568727889638</v>
      </c>
      <c r="O209" s="11">
        <f t="shared" si="98"/>
        <v>140.24699319428188</v>
      </c>
      <c r="P209" s="6">
        <f t="shared" si="99"/>
        <v>92896.194873010332</v>
      </c>
      <c r="R209" s="6">
        <f t="shared" si="100"/>
        <v>291.93277451162282</v>
      </c>
    </row>
    <row r="210" spans="1:18" x14ac:dyDescent="0.35">
      <c r="A210" t="s">
        <v>213</v>
      </c>
      <c r="B210" t="s">
        <v>6</v>
      </c>
      <c r="C210">
        <v>413</v>
      </c>
      <c r="E210">
        <f t="shared" si="101"/>
        <v>92896.194873010332</v>
      </c>
      <c r="F210" s="8">
        <f t="shared" ref="F210:F213" si="106">E210*0.65%</f>
        <v>603.82526667456716</v>
      </c>
      <c r="G210" s="9">
        <f t="shared" si="96"/>
        <v>152.16396720199091</v>
      </c>
      <c r="H210">
        <f t="shared" si="97"/>
        <v>93048.358840212328</v>
      </c>
      <c r="K210" t="s">
        <v>6</v>
      </c>
      <c r="L210">
        <v>414</v>
      </c>
      <c r="N210" s="6">
        <f t="shared" ref="N210:N213" si="107">H210*0.6%</f>
        <v>558.29015304127392</v>
      </c>
      <c r="O210" s="11">
        <f t="shared" si="98"/>
        <v>140.68911856640102</v>
      </c>
      <c r="P210">
        <f t="shared" si="99"/>
        <v>93189.047958778727</v>
      </c>
      <c r="R210">
        <f t="shared" si="100"/>
        <v>292.85308576839191</v>
      </c>
    </row>
    <row r="211" spans="1:18" x14ac:dyDescent="0.35">
      <c r="A211" t="s">
        <v>214</v>
      </c>
      <c r="B211" t="s">
        <v>6</v>
      </c>
      <c r="C211">
        <v>415</v>
      </c>
      <c r="E211">
        <f t="shared" si="101"/>
        <v>93189.047958778727</v>
      </c>
      <c r="F211" s="8">
        <f t="shared" si="106"/>
        <v>605.72881173206179</v>
      </c>
      <c r="G211" s="9">
        <f t="shared" si="96"/>
        <v>152.64366055647957</v>
      </c>
      <c r="H211">
        <f t="shared" si="97"/>
        <v>93341.691619335208</v>
      </c>
      <c r="K211" t="s">
        <v>6</v>
      </c>
      <c r="L211">
        <v>416</v>
      </c>
      <c r="N211" s="6">
        <f t="shared" si="107"/>
        <v>560.05014971601122</v>
      </c>
      <c r="O211" s="11">
        <f t="shared" si="98"/>
        <v>141.13263772843482</v>
      </c>
      <c r="P211">
        <f t="shared" si="99"/>
        <v>93482.824257063636</v>
      </c>
      <c r="R211">
        <f t="shared" si="100"/>
        <v>293.77629828491439</v>
      </c>
    </row>
    <row r="212" spans="1:18" x14ac:dyDescent="0.35">
      <c r="A212" t="s">
        <v>215</v>
      </c>
      <c r="B212" t="s">
        <v>6</v>
      </c>
      <c r="C212">
        <v>417</v>
      </c>
      <c r="E212">
        <f t="shared" si="101"/>
        <v>93482.824257063636</v>
      </c>
      <c r="F212" s="8">
        <f t="shared" si="106"/>
        <v>607.63835767091371</v>
      </c>
      <c r="G212" s="9">
        <f t="shared" si="96"/>
        <v>153.12486613307024</v>
      </c>
      <c r="H212">
        <f t="shared" si="97"/>
        <v>93635.949123196711</v>
      </c>
      <c r="K212" t="s">
        <v>6</v>
      </c>
      <c r="L212">
        <v>418</v>
      </c>
      <c r="N212" s="6">
        <f t="shared" si="107"/>
        <v>561.81569473918023</v>
      </c>
      <c r="O212" s="11">
        <f t="shared" si="98"/>
        <v>141.57755507427342</v>
      </c>
      <c r="P212">
        <f t="shared" si="99"/>
        <v>93777.52667827098</v>
      </c>
      <c r="R212">
        <f t="shared" si="100"/>
        <v>294.70242120734366</v>
      </c>
    </row>
    <row r="213" spans="1:18" s="13" customFormat="1" x14ac:dyDescent="0.35">
      <c r="A213" s="13" t="s">
        <v>216</v>
      </c>
      <c r="B213" s="13" t="s">
        <v>6</v>
      </c>
      <c r="C213" s="13">
        <v>419</v>
      </c>
      <c r="E213" s="13">
        <f t="shared" si="101"/>
        <v>93777.52667827098</v>
      </c>
      <c r="F213" s="14">
        <f t="shared" si="106"/>
        <v>609.55392340876142</v>
      </c>
      <c r="G213" s="9">
        <f t="shared" si="96"/>
        <v>153.60758869900789</v>
      </c>
      <c r="H213" s="13">
        <f t="shared" si="97"/>
        <v>93931.134266969995</v>
      </c>
      <c r="K213" s="13" t="s">
        <v>6</v>
      </c>
      <c r="L213" s="13">
        <v>420</v>
      </c>
      <c r="N213" s="13">
        <f t="shared" si="107"/>
        <v>563.58680560181995</v>
      </c>
      <c r="O213" s="11">
        <f t="shared" si="98"/>
        <v>142.02387501165862</v>
      </c>
      <c r="P213" s="13">
        <f t="shared" si="99"/>
        <v>94073.15814198165</v>
      </c>
      <c r="R213" s="13">
        <f t="shared" si="100"/>
        <v>295.63146371066648</v>
      </c>
    </row>
    <row r="214" spans="1:18" s="6" customFormat="1" x14ac:dyDescent="0.35">
      <c r="A214" s="6" t="s">
        <v>217</v>
      </c>
      <c r="B214" s="6" t="s">
        <v>5</v>
      </c>
      <c r="C214" s="6">
        <v>421</v>
      </c>
      <c r="D214" s="7">
        <v>6.9999999999999299E-3</v>
      </c>
      <c r="E214" s="6">
        <f t="shared" si="101"/>
        <v>94073.15814198165</v>
      </c>
      <c r="F214" s="8">
        <f>E214*0.7%</f>
        <v>658.5121069938715</v>
      </c>
      <c r="G214" s="9">
        <f t="shared" si="96"/>
        <v>165.94505096245561</v>
      </c>
      <c r="H214" s="6">
        <f t="shared" si="97"/>
        <v>94239.103192944109</v>
      </c>
      <c r="K214" s="6" t="s">
        <v>6</v>
      </c>
      <c r="L214" s="6">
        <v>422</v>
      </c>
      <c r="M214" s="7">
        <v>5.0000000000002699E-3</v>
      </c>
      <c r="N214" s="6">
        <f>H214*0.5%</f>
        <v>471.19551596472053</v>
      </c>
      <c r="O214" s="11">
        <f t="shared" si="98"/>
        <v>118.74127002310958</v>
      </c>
      <c r="P214" s="6">
        <f t="shared" si="99"/>
        <v>94357.844462967216</v>
      </c>
      <c r="R214" s="6">
        <f t="shared" si="100"/>
        <v>284.6863209855652</v>
      </c>
    </row>
    <row r="215" spans="1:18" x14ac:dyDescent="0.35">
      <c r="A215" t="s">
        <v>218</v>
      </c>
      <c r="B215" t="s">
        <v>5</v>
      </c>
      <c r="C215">
        <v>423</v>
      </c>
      <c r="E215">
        <f t="shared" si="101"/>
        <v>94357.844462967216</v>
      </c>
      <c r="F215" s="8">
        <f t="shared" ref="F215:F218" si="108">E215*0.7%</f>
        <v>660.50491124077041</v>
      </c>
      <c r="G215" s="9">
        <f t="shared" si="96"/>
        <v>166.44723763267413</v>
      </c>
      <c r="H215">
        <f t="shared" si="97"/>
        <v>94524.29170059989</v>
      </c>
      <c r="K215" t="s">
        <v>6</v>
      </c>
      <c r="L215">
        <v>424</v>
      </c>
      <c r="N215" s="6">
        <f t="shared" ref="N215:N218" si="109">H215*0.5%</f>
        <v>472.62145850299947</v>
      </c>
      <c r="O215" s="11">
        <f t="shared" si="98"/>
        <v>119.10060754275587</v>
      </c>
      <c r="P215">
        <f t="shared" si="99"/>
        <v>94643.392308142647</v>
      </c>
      <c r="R215">
        <f t="shared" si="100"/>
        <v>285.54784517542998</v>
      </c>
    </row>
    <row r="216" spans="1:18" x14ac:dyDescent="0.35">
      <c r="A216" t="s">
        <v>219</v>
      </c>
      <c r="B216" t="s">
        <v>5</v>
      </c>
      <c r="C216">
        <v>425</v>
      </c>
      <c r="E216">
        <f t="shared" si="101"/>
        <v>94643.392308142647</v>
      </c>
      <c r="F216" s="8">
        <f t="shared" si="108"/>
        <v>662.50374615699843</v>
      </c>
      <c r="G216" s="9">
        <f t="shared" si="96"/>
        <v>166.95094403156361</v>
      </c>
      <c r="H216">
        <f t="shared" si="97"/>
        <v>94810.343252174207</v>
      </c>
      <c r="K216" t="s">
        <v>6</v>
      </c>
      <c r="L216">
        <v>426</v>
      </c>
      <c r="N216" s="6">
        <f t="shared" si="109"/>
        <v>474.05171626087105</v>
      </c>
      <c r="O216" s="11">
        <f t="shared" si="98"/>
        <v>119.46103249773951</v>
      </c>
      <c r="P216">
        <f t="shared" si="99"/>
        <v>94929.804284671947</v>
      </c>
      <c r="R216">
        <f t="shared" si="100"/>
        <v>286.4119765293031</v>
      </c>
    </row>
    <row r="217" spans="1:18" x14ac:dyDescent="0.35">
      <c r="A217" t="s">
        <v>220</v>
      </c>
      <c r="B217" t="s">
        <v>5</v>
      </c>
      <c r="C217">
        <v>427</v>
      </c>
      <c r="E217">
        <f t="shared" si="101"/>
        <v>94929.804284671947</v>
      </c>
      <c r="F217" s="8">
        <f t="shared" si="108"/>
        <v>664.50862999270362</v>
      </c>
      <c r="G217" s="9">
        <f t="shared" si="96"/>
        <v>167.45617475816132</v>
      </c>
      <c r="H217">
        <f t="shared" si="97"/>
        <v>95097.260459430108</v>
      </c>
      <c r="K217" t="s">
        <v>6</v>
      </c>
      <c r="L217">
        <v>428</v>
      </c>
      <c r="N217" s="6">
        <f t="shared" si="109"/>
        <v>475.48630229715053</v>
      </c>
      <c r="O217" s="11">
        <f t="shared" si="98"/>
        <v>119.82254817888193</v>
      </c>
      <c r="P217">
        <f t="shared" si="99"/>
        <v>95217.083007608991</v>
      </c>
      <c r="R217">
        <f t="shared" si="100"/>
        <v>287.27872293704326</v>
      </c>
    </row>
    <row r="218" spans="1:18" x14ac:dyDescent="0.35">
      <c r="A218" t="s">
        <v>221</v>
      </c>
      <c r="B218" t="s">
        <v>5</v>
      </c>
      <c r="C218">
        <v>429</v>
      </c>
      <c r="E218">
        <f t="shared" si="101"/>
        <v>95217.083007608991</v>
      </c>
      <c r="F218" s="8">
        <f t="shared" si="108"/>
        <v>666.51958105326287</v>
      </c>
      <c r="G218" s="9">
        <f t="shared" si="96"/>
        <v>167.96293442542225</v>
      </c>
      <c r="H218">
        <f t="shared" si="97"/>
        <v>95385.045942034412</v>
      </c>
      <c r="K218" t="s">
        <v>6</v>
      </c>
      <c r="L218">
        <v>430</v>
      </c>
      <c r="N218" s="6">
        <f t="shared" si="109"/>
        <v>476.92522971017206</v>
      </c>
      <c r="O218" s="11">
        <f t="shared" si="98"/>
        <v>120.18515788696337</v>
      </c>
      <c r="P218">
        <f t="shared" si="99"/>
        <v>95505.231099921381</v>
      </c>
      <c r="R218">
        <f t="shared" si="100"/>
        <v>288.14809231238564</v>
      </c>
    </row>
    <row r="219" spans="1:18" s="6" customFormat="1" x14ac:dyDescent="0.35">
      <c r="A219" s="6" t="s">
        <v>222</v>
      </c>
      <c r="B219" s="6" t="s">
        <v>5</v>
      </c>
      <c r="C219" s="6">
        <v>431</v>
      </c>
      <c r="D219" s="7">
        <v>6.0000000000000001E-3</v>
      </c>
      <c r="E219" s="6">
        <f t="shared" si="101"/>
        <v>95505.231099921381</v>
      </c>
      <c r="F219" s="8">
        <f>E219*0.6%</f>
        <v>573.03138659952833</v>
      </c>
      <c r="G219" s="9">
        <f t="shared" si="96"/>
        <v>144.40390942308113</v>
      </c>
      <c r="H219" s="6">
        <f t="shared" si="97"/>
        <v>95649.635009344463</v>
      </c>
      <c r="K219" s="6" t="s">
        <v>6</v>
      </c>
      <c r="L219" s="6">
        <v>432</v>
      </c>
      <c r="M219" s="7">
        <v>4.00000000000036E-3</v>
      </c>
      <c r="N219" s="6">
        <f>H219*0.4%</f>
        <v>382.59854003737786</v>
      </c>
      <c r="O219" s="11">
        <f t="shared" si="98"/>
        <v>96.414832089419221</v>
      </c>
      <c r="P219" s="6">
        <f t="shared" si="99"/>
        <v>95746.04984143388</v>
      </c>
      <c r="R219" s="6">
        <f t="shared" si="100"/>
        <v>240.81874151250037</v>
      </c>
    </row>
    <row r="220" spans="1:18" x14ac:dyDescent="0.35">
      <c r="A220" t="s">
        <v>223</v>
      </c>
      <c r="B220" t="s">
        <v>5</v>
      </c>
      <c r="C220">
        <v>433</v>
      </c>
      <c r="E220">
        <f t="shared" si="101"/>
        <v>95746.04984143388</v>
      </c>
      <c r="F220" s="8">
        <f t="shared" ref="F220:F223" si="110">E220*0.6%</f>
        <v>574.47629904860332</v>
      </c>
      <c r="G220" s="9">
        <f t="shared" si="96"/>
        <v>144.76802736024803</v>
      </c>
      <c r="H220">
        <f t="shared" si="97"/>
        <v>95890.817868794125</v>
      </c>
      <c r="K220" t="s">
        <v>6</v>
      </c>
      <c r="L220">
        <v>434</v>
      </c>
      <c r="N220" s="6">
        <f t="shared" ref="N220:N223" si="111">H220*0.4%</f>
        <v>383.56327147517652</v>
      </c>
      <c r="O220" s="11">
        <f t="shared" si="98"/>
        <v>96.657944411744481</v>
      </c>
      <c r="P220">
        <f t="shared" si="99"/>
        <v>95987.475813205863</v>
      </c>
      <c r="R220">
        <f t="shared" si="100"/>
        <v>241.42597177199252</v>
      </c>
    </row>
    <row r="221" spans="1:18" x14ac:dyDescent="0.35">
      <c r="A221" t="s">
        <v>224</v>
      </c>
      <c r="B221" t="s">
        <v>5</v>
      </c>
      <c r="C221">
        <v>435</v>
      </c>
      <c r="E221">
        <f t="shared" si="101"/>
        <v>95987.475813205863</v>
      </c>
      <c r="F221" s="8">
        <f t="shared" si="110"/>
        <v>575.92485487923523</v>
      </c>
      <c r="G221" s="9">
        <f t="shared" si="96"/>
        <v>145.13306342956727</v>
      </c>
      <c r="H221">
        <f t="shared" si="97"/>
        <v>96132.608876635437</v>
      </c>
      <c r="K221" t="s">
        <v>6</v>
      </c>
      <c r="L221">
        <v>436</v>
      </c>
      <c r="N221" s="6">
        <f t="shared" si="111"/>
        <v>384.53043550654178</v>
      </c>
      <c r="O221" s="11">
        <f t="shared" si="98"/>
        <v>96.901669747648526</v>
      </c>
      <c r="P221">
        <f t="shared" si="99"/>
        <v>96229.510546383084</v>
      </c>
      <c r="R221">
        <f t="shared" si="100"/>
        <v>242.0347331772158</v>
      </c>
    </row>
    <row r="222" spans="1:18" x14ac:dyDescent="0.35">
      <c r="A222" t="s">
        <v>225</v>
      </c>
      <c r="B222" t="s">
        <v>5</v>
      </c>
      <c r="C222">
        <v>437</v>
      </c>
      <c r="E222">
        <f t="shared" si="101"/>
        <v>96229.510546383084</v>
      </c>
      <c r="F222" s="8">
        <f t="shared" si="110"/>
        <v>577.37706327829846</v>
      </c>
      <c r="G222" s="9">
        <f t="shared" si="96"/>
        <v>145.49901994613123</v>
      </c>
      <c r="H222">
        <f t="shared" si="97"/>
        <v>96375.009566329216</v>
      </c>
      <c r="K222" t="s">
        <v>6</v>
      </c>
      <c r="L222">
        <v>438</v>
      </c>
      <c r="N222" s="6">
        <f t="shared" si="111"/>
        <v>385.50003826531685</v>
      </c>
      <c r="O222" s="11">
        <f t="shared" si="98"/>
        <v>97.146009642859852</v>
      </c>
      <c r="P222">
        <f t="shared" si="99"/>
        <v>96472.15557597208</v>
      </c>
      <c r="R222">
        <f t="shared" si="100"/>
        <v>242.64502958899106</v>
      </c>
    </row>
    <row r="223" spans="1:18" x14ac:dyDescent="0.35">
      <c r="A223" t="s">
        <v>226</v>
      </c>
      <c r="B223" t="s">
        <v>5</v>
      </c>
      <c r="C223">
        <v>439</v>
      </c>
      <c r="E223">
        <f t="shared" si="101"/>
        <v>96472.15557597208</v>
      </c>
      <c r="F223" s="8">
        <f t="shared" si="110"/>
        <v>578.83293345583252</v>
      </c>
      <c r="G223" s="9">
        <f t="shared" si="96"/>
        <v>145.86589923086979</v>
      </c>
      <c r="H223">
        <f t="shared" si="97"/>
        <v>96618.021475202942</v>
      </c>
      <c r="K223" t="s">
        <v>6</v>
      </c>
      <c r="L223">
        <v>440</v>
      </c>
      <c r="N223" s="6">
        <f t="shared" si="111"/>
        <v>386.47208590081181</v>
      </c>
      <c r="O223" s="11">
        <f t="shared" si="98"/>
        <v>97.390965647004577</v>
      </c>
      <c r="P223">
        <f t="shared" si="99"/>
        <v>96715.412440849948</v>
      </c>
      <c r="R223">
        <f t="shared" si="100"/>
        <v>243.25686487787436</v>
      </c>
    </row>
    <row r="224" spans="1:18" s="6" customFormat="1" x14ac:dyDescent="0.35">
      <c r="A224" s="6" t="s">
        <v>227</v>
      </c>
      <c r="B224" s="6" t="s">
        <v>5</v>
      </c>
      <c r="C224" s="6">
        <v>441</v>
      </c>
      <c r="D224" s="7">
        <v>5.0000000000000704E-3</v>
      </c>
      <c r="E224" s="6">
        <f t="shared" si="101"/>
        <v>96715.412440849948</v>
      </c>
      <c r="F224" s="8">
        <f>E224*0.5%</f>
        <v>483.57706220424973</v>
      </c>
      <c r="G224" s="9">
        <f t="shared" si="96"/>
        <v>121.86141967547093</v>
      </c>
      <c r="H224" s="6">
        <f t="shared" si="97"/>
        <v>96837.273860525413</v>
      </c>
      <c r="K224" s="6" t="s">
        <v>6</v>
      </c>
      <c r="L224" s="6">
        <v>442</v>
      </c>
      <c r="M224" s="7">
        <v>3.0000000000004498E-3</v>
      </c>
      <c r="N224" s="6">
        <f>H224*0.3%</f>
        <v>290.51182158157627</v>
      </c>
      <c r="O224" s="11">
        <f t="shared" si="98"/>
        <v>73.208979038557217</v>
      </c>
      <c r="P224" s="6">
        <f t="shared" si="99"/>
        <v>96910.482839563963</v>
      </c>
      <c r="R224" s="6">
        <f t="shared" si="100"/>
        <v>195.07039871402816</v>
      </c>
    </row>
    <row r="225" spans="1:18" x14ac:dyDescent="0.35">
      <c r="A225" t="s">
        <v>228</v>
      </c>
      <c r="B225" t="s">
        <v>5</v>
      </c>
      <c r="C225">
        <v>443</v>
      </c>
      <c r="E225">
        <f t="shared" si="101"/>
        <v>96910.482839563963</v>
      </c>
      <c r="F225" s="8">
        <f t="shared" ref="F225:F228" si="112">E225*0.5%</f>
        <v>484.55241419781981</v>
      </c>
      <c r="G225" s="9">
        <f t="shared" si="96"/>
        <v>122.1072083778506</v>
      </c>
      <c r="H225">
        <f t="shared" si="97"/>
        <v>97032.59004794182</v>
      </c>
      <c r="K225" t="s">
        <v>6</v>
      </c>
      <c r="L225">
        <v>444</v>
      </c>
      <c r="N225" s="6">
        <f t="shared" ref="N225:N228" si="113">H225*0.3%</f>
        <v>291.09777014382547</v>
      </c>
      <c r="O225" s="11">
        <f t="shared" si="98"/>
        <v>73.356638076244025</v>
      </c>
      <c r="P225">
        <f t="shared" si="99"/>
        <v>97105.946686018069</v>
      </c>
      <c r="R225">
        <f t="shared" si="100"/>
        <v>195.46384645409461</v>
      </c>
    </row>
    <row r="226" spans="1:18" x14ac:dyDescent="0.35">
      <c r="A226" t="s">
        <v>229</v>
      </c>
      <c r="B226" t="s">
        <v>5</v>
      </c>
      <c r="C226">
        <v>445</v>
      </c>
      <c r="E226">
        <f t="shared" si="101"/>
        <v>97105.946686018069</v>
      </c>
      <c r="F226" s="8">
        <f t="shared" si="112"/>
        <v>485.52973343009035</v>
      </c>
      <c r="G226" s="9">
        <f t="shared" si="96"/>
        <v>122.35349282438277</v>
      </c>
      <c r="H226">
        <f t="shared" si="97"/>
        <v>97228.300178842459</v>
      </c>
      <c r="K226" t="s">
        <v>6</v>
      </c>
      <c r="L226">
        <v>446</v>
      </c>
      <c r="N226" s="6">
        <f t="shared" si="113"/>
        <v>291.68490053652738</v>
      </c>
      <c r="O226" s="11">
        <f t="shared" si="98"/>
        <v>73.504594935204906</v>
      </c>
      <c r="P226">
        <f t="shared" si="99"/>
        <v>97301.804773777665</v>
      </c>
      <c r="R226">
        <f t="shared" si="100"/>
        <v>195.85808775958768</v>
      </c>
    </row>
    <row r="227" spans="1:18" x14ac:dyDescent="0.35">
      <c r="A227" t="s">
        <v>230</v>
      </c>
      <c r="B227" t="s">
        <v>5</v>
      </c>
      <c r="C227">
        <v>447</v>
      </c>
      <c r="E227">
        <f t="shared" si="101"/>
        <v>97301.804773777665</v>
      </c>
      <c r="F227" s="8">
        <f t="shared" si="112"/>
        <v>486.50902386888833</v>
      </c>
      <c r="G227" s="9">
        <f t="shared" si="96"/>
        <v>122.60027401495987</v>
      </c>
      <c r="H227">
        <f t="shared" si="97"/>
        <v>97424.405047792621</v>
      </c>
      <c r="K227" t="s">
        <v>6</v>
      </c>
      <c r="L227">
        <v>448</v>
      </c>
      <c r="N227" s="6">
        <f t="shared" si="113"/>
        <v>292.27321514337785</v>
      </c>
      <c r="O227" s="11">
        <f t="shared" si="98"/>
        <v>73.652850216131213</v>
      </c>
      <c r="P227">
        <f t="shared" si="99"/>
        <v>97498.057898008759</v>
      </c>
      <c r="R227">
        <f t="shared" si="100"/>
        <v>196.25312423109108</v>
      </c>
    </row>
    <row r="228" spans="1:18" x14ac:dyDescent="0.35">
      <c r="A228" t="s">
        <v>231</v>
      </c>
      <c r="B228" t="s">
        <v>5</v>
      </c>
      <c r="C228">
        <v>449</v>
      </c>
      <c r="E228">
        <f t="shared" si="101"/>
        <v>97498.057898008759</v>
      </c>
      <c r="F228" s="8">
        <f t="shared" si="112"/>
        <v>487.49028949004378</v>
      </c>
      <c r="G228" s="9">
        <f t="shared" si="96"/>
        <v>122.84755295149104</v>
      </c>
      <c r="H228">
        <f t="shared" si="97"/>
        <v>97620.905450960257</v>
      </c>
      <c r="K228" t="s">
        <v>6</v>
      </c>
      <c r="L228">
        <v>450</v>
      </c>
      <c r="N228" s="6">
        <f t="shared" si="113"/>
        <v>292.8627163528808</v>
      </c>
      <c r="O228" s="11">
        <f t="shared" si="98"/>
        <v>73.801404520925956</v>
      </c>
      <c r="P228">
        <f t="shared" si="99"/>
        <v>97694.706855481185</v>
      </c>
      <c r="R228">
        <f t="shared" si="100"/>
        <v>196.64895747241701</v>
      </c>
    </row>
    <row r="229" spans="1:18" s="6" customFormat="1" x14ac:dyDescent="0.35">
      <c r="A229" s="6" t="s">
        <v>232</v>
      </c>
      <c r="B229" s="6" t="s">
        <v>5</v>
      </c>
      <c r="C229" s="6">
        <v>451</v>
      </c>
      <c r="D229" s="7">
        <v>4.0000000000001397E-3</v>
      </c>
      <c r="E229" s="6">
        <f t="shared" si="101"/>
        <v>97694.706855481185</v>
      </c>
      <c r="F229" s="8">
        <f>E229*0.4%</f>
        <v>390.77882742192475</v>
      </c>
      <c r="G229" s="9">
        <f t="shared" si="96"/>
        <v>98.476264510325038</v>
      </c>
      <c r="H229" s="6">
        <f t="shared" si="97"/>
        <v>97793.183119991503</v>
      </c>
      <c r="K229" s="6" t="s">
        <v>6</v>
      </c>
      <c r="L229" s="6">
        <v>452</v>
      </c>
      <c r="M229" s="7">
        <v>2.00000000000054E-3</v>
      </c>
      <c r="N229" s="6">
        <f>H229*0.2%</f>
        <v>195.58636623998302</v>
      </c>
      <c r="O229" s="11">
        <f t="shared" si="98"/>
        <v>49.287764292475721</v>
      </c>
      <c r="P229" s="6">
        <f t="shared" si="99"/>
        <v>97842.470884283975</v>
      </c>
      <c r="R229" s="6">
        <f t="shared" si="100"/>
        <v>147.76402880280077</v>
      </c>
    </row>
    <row r="230" spans="1:18" x14ac:dyDescent="0.35">
      <c r="A230" t="s">
        <v>233</v>
      </c>
      <c r="B230" t="s">
        <v>5</v>
      </c>
      <c r="C230">
        <v>453</v>
      </c>
      <c r="E230">
        <f t="shared" si="101"/>
        <v>97842.470884283975</v>
      </c>
      <c r="F230" s="8">
        <f t="shared" ref="F230:F233" si="114">E230*0.4%</f>
        <v>391.36988353713593</v>
      </c>
      <c r="G230" s="9">
        <f t="shared" si="96"/>
        <v>98.625210651358259</v>
      </c>
      <c r="H230">
        <f t="shared" si="97"/>
        <v>97941.096094935332</v>
      </c>
      <c r="K230" t="s">
        <v>6</v>
      </c>
      <c r="L230">
        <v>454</v>
      </c>
      <c r="N230" s="6">
        <f t="shared" ref="N230:N233" si="115">H230*0.2%</f>
        <v>195.88219218987066</v>
      </c>
      <c r="O230" s="11">
        <f t="shared" si="98"/>
        <v>49.362312431847407</v>
      </c>
      <c r="P230">
        <f t="shared" si="99"/>
        <v>97990.458407367187</v>
      </c>
      <c r="R230">
        <f t="shared" si="100"/>
        <v>147.98752308320567</v>
      </c>
    </row>
    <row r="231" spans="1:18" x14ac:dyDescent="0.35">
      <c r="A231" t="s">
        <v>234</v>
      </c>
      <c r="B231" t="s">
        <v>5</v>
      </c>
      <c r="C231">
        <v>455</v>
      </c>
      <c r="E231">
        <f t="shared" si="101"/>
        <v>97990.458407367187</v>
      </c>
      <c r="F231" s="8">
        <f t="shared" si="114"/>
        <v>391.96183362946874</v>
      </c>
      <c r="G231" s="9">
        <f t="shared" si="96"/>
        <v>98.774382074626118</v>
      </c>
      <c r="H231">
        <f t="shared" si="97"/>
        <v>98089.232789441812</v>
      </c>
      <c r="K231" t="s">
        <v>6</v>
      </c>
      <c r="L231">
        <v>456</v>
      </c>
      <c r="N231" s="6">
        <f t="shared" si="115"/>
        <v>196.17846557888362</v>
      </c>
      <c r="O231" s="11">
        <f t="shared" si="98"/>
        <v>49.436973325878675</v>
      </c>
      <c r="P231">
        <f t="shared" si="99"/>
        <v>98138.669762767691</v>
      </c>
      <c r="R231">
        <f t="shared" si="100"/>
        <v>148.2113554005048</v>
      </c>
    </row>
    <row r="232" spans="1:18" x14ac:dyDescent="0.35">
      <c r="A232" t="s">
        <v>235</v>
      </c>
      <c r="B232" t="s">
        <v>5</v>
      </c>
      <c r="C232">
        <v>457</v>
      </c>
      <c r="E232">
        <f t="shared" si="101"/>
        <v>98138.669762767691</v>
      </c>
      <c r="F232" s="8">
        <f t="shared" si="114"/>
        <v>392.55467905107076</v>
      </c>
      <c r="G232" s="9">
        <f t="shared" si="96"/>
        <v>98.923779120869838</v>
      </c>
      <c r="H232">
        <f t="shared" si="97"/>
        <v>98237.593541888564</v>
      </c>
      <c r="K232" t="s">
        <v>6</v>
      </c>
      <c r="L232">
        <v>458</v>
      </c>
      <c r="N232" s="6">
        <f t="shared" si="115"/>
        <v>196.47518708377714</v>
      </c>
      <c r="O232" s="11">
        <f t="shared" si="98"/>
        <v>49.51174714511184</v>
      </c>
      <c r="P232">
        <f t="shared" si="99"/>
        <v>98287.105289033672</v>
      </c>
      <c r="R232">
        <f t="shared" si="100"/>
        <v>148.43552626598168</v>
      </c>
    </row>
    <row r="233" spans="1:18" x14ac:dyDescent="0.35">
      <c r="A233" t="s">
        <v>236</v>
      </c>
      <c r="B233" t="s">
        <v>5</v>
      </c>
      <c r="C233">
        <v>459</v>
      </c>
      <c r="E233">
        <f t="shared" si="101"/>
        <v>98287.105289033672</v>
      </c>
      <c r="F233" s="8">
        <f t="shared" si="114"/>
        <v>393.1484211561347</v>
      </c>
      <c r="G233" s="9">
        <f t="shared" si="96"/>
        <v>99.073402131345944</v>
      </c>
      <c r="H233">
        <f t="shared" si="97"/>
        <v>98386.178691165012</v>
      </c>
      <c r="K233" t="s">
        <v>6</v>
      </c>
      <c r="L233">
        <v>460</v>
      </c>
      <c r="N233" s="6">
        <f t="shared" si="115"/>
        <v>196.77235738233003</v>
      </c>
      <c r="O233" s="11">
        <f t="shared" si="98"/>
        <v>49.586634060347166</v>
      </c>
      <c r="P233">
        <f t="shared" si="99"/>
        <v>98435.765325225366</v>
      </c>
      <c r="R233">
        <f t="shared" si="100"/>
        <v>148.66003619169311</v>
      </c>
    </row>
    <row r="234" spans="1:18" s="6" customFormat="1" x14ac:dyDescent="0.35">
      <c r="A234" s="6" t="s">
        <v>237</v>
      </c>
      <c r="B234" s="6" t="s">
        <v>5</v>
      </c>
      <c r="C234" s="6">
        <v>461</v>
      </c>
      <c r="D234" s="7">
        <v>3.00000000000021E-3</v>
      </c>
      <c r="E234" s="6">
        <f t="shared" si="101"/>
        <v>98435.765325225366</v>
      </c>
      <c r="F234" s="8">
        <f>E234*0.3%</f>
        <v>295.30729597567608</v>
      </c>
      <c r="G234" s="9">
        <f t="shared" si="96"/>
        <v>74.417438585870372</v>
      </c>
      <c r="H234" s="6">
        <f t="shared" si="97"/>
        <v>98510.18276381123</v>
      </c>
      <c r="K234" s="6" t="s">
        <v>12</v>
      </c>
      <c r="L234" s="6">
        <v>462</v>
      </c>
      <c r="M234" s="7">
        <v>3.5000000000000001E-3</v>
      </c>
      <c r="N234" s="6">
        <f>H234*0.35%</f>
        <v>344.78563967333929</v>
      </c>
      <c r="O234" s="11">
        <f t="shared" si="98"/>
        <v>86.885981197681502</v>
      </c>
      <c r="P234" s="6">
        <f t="shared" si="99"/>
        <v>98597.068745008917</v>
      </c>
      <c r="R234" s="6">
        <f t="shared" si="100"/>
        <v>161.30341978355187</v>
      </c>
    </row>
    <row r="235" spans="1:18" x14ac:dyDescent="0.35">
      <c r="A235" t="s">
        <v>238</v>
      </c>
      <c r="B235" t="s">
        <v>5</v>
      </c>
      <c r="C235">
        <v>463</v>
      </c>
      <c r="E235">
        <f t="shared" si="101"/>
        <v>98597.068745008917</v>
      </c>
      <c r="F235" s="8">
        <f t="shared" ref="F235:F238" si="116">E235*0.3%</f>
        <v>295.79120623502678</v>
      </c>
      <c r="G235" s="9">
        <f t="shared" si="96"/>
        <v>74.539383971226755</v>
      </c>
      <c r="H235">
        <f t="shared" si="97"/>
        <v>98671.608128980137</v>
      </c>
      <c r="K235" t="s">
        <v>12</v>
      </c>
      <c r="L235">
        <v>464</v>
      </c>
      <c r="N235" s="6">
        <f t="shared" ref="N235:N238" si="117">H235*0.35%</f>
        <v>345.35062845143045</v>
      </c>
      <c r="O235" s="11">
        <f t="shared" si="98"/>
        <v>87.028358369760468</v>
      </c>
      <c r="P235">
        <f t="shared" si="99"/>
        <v>98758.636487349897</v>
      </c>
      <c r="R235">
        <f t="shared" si="100"/>
        <v>161.56774234098722</v>
      </c>
    </row>
    <row r="236" spans="1:18" x14ac:dyDescent="0.35">
      <c r="A236" t="s">
        <v>239</v>
      </c>
      <c r="B236" t="s">
        <v>5</v>
      </c>
      <c r="C236">
        <v>465</v>
      </c>
      <c r="E236">
        <f t="shared" si="101"/>
        <v>98758.636487349897</v>
      </c>
      <c r="F236" s="8">
        <f t="shared" si="116"/>
        <v>296.2759094620497</v>
      </c>
      <c r="G236" s="9">
        <f t="shared" si="96"/>
        <v>74.661529184436517</v>
      </c>
      <c r="H236">
        <f t="shared" si="97"/>
        <v>98833.298016534332</v>
      </c>
      <c r="K236" t="s">
        <v>12</v>
      </c>
      <c r="L236">
        <v>466</v>
      </c>
      <c r="N236" s="6">
        <f t="shared" si="117"/>
        <v>345.91654305787011</v>
      </c>
      <c r="O236" s="11">
        <f t="shared" si="98"/>
        <v>87.170968850583264</v>
      </c>
      <c r="P236">
        <f t="shared" si="99"/>
        <v>98920.468985384912</v>
      </c>
      <c r="R236">
        <f t="shared" si="100"/>
        <v>161.8324980350198</v>
      </c>
    </row>
    <row r="237" spans="1:18" x14ac:dyDescent="0.35">
      <c r="A237" t="s">
        <v>240</v>
      </c>
      <c r="B237" t="s">
        <v>5</v>
      </c>
      <c r="C237">
        <v>467</v>
      </c>
      <c r="E237">
        <f t="shared" si="101"/>
        <v>98920.468985384912</v>
      </c>
      <c r="F237" s="8">
        <f t="shared" si="116"/>
        <v>296.76140695615476</v>
      </c>
      <c r="G237" s="9">
        <f t="shared" si="96"/>
        <v>74.783874552951005</v>
      </c>
      <c r="H237">
        <f t="shared" si="97"/>
        <v>98995.252859937857</v>
      </c>
      <c r="K237" t="s">
        <v>12</v>
      </c>
      <c r="L237">
        <v>468</v>
      </c>
      <c r="N237" s="6">
        <f t="shared" si="117"/>
        <v>346.48338500978247</v>
      </c>
      <c r="O237" s="11">
        <f t="shared" si="98"/>
        <v>87.313813022465183</v>
      </c>
      <c r="P237">
        <f t="shared" si="99"/>
        <v>99082.566672960325</v>
      </c>
      <c r="R237">
        <f t="shared" si="100"/>
        <v>162.09768757541619</v>
      </c>
    </row>
    <row r="238" spans="1:18" x14ac:dyDescent="0.35">
      <c r="A238" t="s">
        <v>241</v>
      </c>
      <c r="B238" t="s">
        <v>5</v>
      </c>
      <c r="C238">
        <v>469</v>
      </c>
      <c r="E238">
        <f t="shared" si="101"/>
        <v>99082.566672960325</v>
      </c>
      <c r="F238" s="8">
        <f t="shared" si="116"/>
        <v>297.24770001888101</v>
      </c>
      <c r="G238" s="9">
        <f t="shared" si="96"/>
        <v>74.906420404758009</v>
      </c>
      <c r="H238">
        <f t="shared" si="97"/>
        <v>99157.473093365086</v>
      </c>
      <c r="K238" t="s">
        <v>12</v>
      </c>
      <c r="L238">
        <v>470</v>
      </c>
      <c r="N238" s="6">
        <f t="shared" si="117"/>
        <v>347.05115582677774</v>
      </c>
      <c r="O238" s="11">
        <f t="shared" si="98"/>
        <v>87.456891268347988</v>
      </c>
      <c r="P238">
        <f t="shared" si="99"/>
        <v>99244.929984633432</v>
      </c>
      <c r="R238">
        <f t="shared" si="100"/>
        <v>162.36331167310601</v>
      </c>
    </row>
    <row r="239" spans="1:18" s="6" customFormat="1" x14ac:dyDescent="0.35">
      <c r="A239" s="6" t="s">
        <v>242</v>
      </c>
      <c r="B239" s="6" t="s">
        <v>6</v>
      </c>
      <c r="C239" s="6">
        <v>471</v>
      </c>
      <c r="D239" s="7">
        <v>2.0000000000002802E-3</v>
      </c>
      <c r="E239" s="6">
        <f t="shared" si="101"/>
        <v>99244.929984633432</v>
      </c>
      <c r="F239" s="8">
        <f>E239*0.2%</f>
        <v>198.48985996926686</v>
      </c>
      <c r="G239" s="9">
        <f t="shared" si="96"/>
        <v>50.01944471225525</v>
      </c>
      <c r="H239" s="6">
        <f t="shared" si="97"/>
        <v>99294.949429345681</v>
      </c>
      <c r="K239" s="6" t="s">
        <v>12</v>
      </c>
      <c r="L239" s="6">
        <v>472</v>
      </c>
      <c r="M239" s="7">
        <v>5.0000000000000001E-3</v>
      </c>
      <c r="N239" s="6">
        <f>H239*0.5%</f>
        <v>496.47474714672842</v>
      </c>
      <c r="O239" s="11">
        <f t="shared" si="98"/>
        <v>125.11163628097556</v>
      </c>
      <c r="P239" s="6">
        <f t="shared" si="99"/>
        <v>99420.061065626651</v>
      </c>
      <c r="R239" s="6">
        <f t="shared" si="100"/>
        <v>175.1310809932308</v>
      </c>
    </row>
    <row r="240" spans="1:18" x14ac:dyDescent="0.35">
      <c r="A240" t="s">
        <v>243</v>
      </c>
      <c r="B240" t="s">
        <v>6</v>
      </c>
      <c r="C240">
        <v>473</v>
      </c>
      <c r="E240">
        <f t="shared" si="101"/>
        <v>99420.061065626651</v>
      </c>
      <c r="F240" s="8">
        <f t="shared" ref="F240:F243" si="118">E240*0.2%</f>
        <v>198.84012213125331</v>
      </c>
      <c r="G240" s="9">
        <f t="shared" si="96"/>
        <v>50.107710777075837</v>
      </c>
      <c r="H240">
        <f t="shared" si="97"/>
        <v>99470.16877640372</v>
      </c>
      <c r="K240" t="s">
        <v>12</v>
      </c>
      <c r="L240">
        <v>474</v>
      </c>
      <c r="N240" s="6">
        <f t="shared" ref="N240:N243" si="119">H240*0.5%</f>
        <v>497.35084388201864</v>
      </c>
      <c r="O240" s="11">
        <f t="shared" si="98"/>
        <v>125.33241265826869</v>
      </c>
      <c r="P240">
        <f t="shared" si="99"/>
        <v>99595.501189061994</v>
      </c>
      <c r="R240">
        <f t="shared" si="100"/>
        <v>175.44012343534453</v>
      </c>
    </row>
    <row r="241" spans="1:18" x14ac:dyDescent="0.35">
      <c r="A241" t="s">
        <v>244</v>
      </c>
      <c r="B241" t="s">
        <v>6</v>
      </c>
      <c r="C241">
        <v>475</v>
      </c>
      <c r="E241">
        <f t="shared" si="101"/>
        <v>99595.501189061994</v>
      </c>
      <c r="F241" s="8">
        <f t="shared" si="118"/>
        <v>199.19100237812398</v>
      </c>
      <c r="G241" s="9">
        <f t="shared" si="96"/>
        <v>50.196132599287246</v>
      </c>
      <c r="H241">
        <f t="shared" si="97"/>
        <v>99645.697321661282</v>
      </c>
      <c r="K241" t="s">
        <v>12</v>
      </c>
      <c r="L241">
        <v>476</v>
      </c>
      <c r="N241" s="6">
        <f t="shared" si="119"/>
        <v>498.22848660830641</v>
      </c>
      <c r="O241" s="11">
        <f t="shared" si="98"/>
        <v>125.55357862529321</v>
      </c>
      <c r="P241">
        <f t="shared" si="99"/>
        <v>99771.25090028657</v>
      </c>
      <c r="R241">
        <f t="shared" si="100"/>
        <v>175.74971122458047</v>
      </c>
    </row>
    <row r="242" spans="1:18" x14ac:dyDescent="0.35">
      <c r="A242" t="s">
        <v>245</v>
      </c>
      <c r="B242" t="s">
        <v>6</v>
      </c>
      <c r="C242">
        <v>477</v>
      </c>
      <c r="E242">
        <f t="shared" si="101"/>
        <v>99771.25090028657</v>
      </c>
      <c r="F242" s="8">
        <f t="shared" si="118"/>
        <v>199.54250180057315</v>
      </c>
      <c r="G242" s="9">
        <f t="shared" si="96"/>
        <v>50.284710453744431</v>
      </c>
      <c r="H242">
        <f t="shared" si="97"/>
        <v>99821.53561074032</v>
      </c>
      <c r="K242" t="s">
        <v>12</v>
      </c>
      <c r="L242">
        <v>478</v>
      </c>
      <c r="N242" s="6">
        <f t="shared" si="119"/>
        <v>499.10767805370159</v>
      </c>
      <c r="O242" s="11">
        <f t="shared" si="98"/>
        <v>125.77513486953281</v>
      </c>
      <c r="P242">
        <f t="shared" si="99"/>
        <v>99947.310745609851</v>
      </c>
      <c r="R242">
        <f t="shared" si="100"/>
        <v>176.05984532327724</v>
      </c>
    </row>
    <row r="243" spans="1:18" s="13" customFormat="1" x14ac:dyDescent="0.35">
      <c r="A243" s="13" t="s">
        <v>246</v>
      </c>
      <c r="B243" s="13" t="s">
        <v>6</v>
      </c>
      <c r="C243" s="13">
        <v>479</v>
      </c>
      <c r="E243" s="13">
        <f t="shared" si="101"/>
        <v>99947.310745609851</v>
      </c>
      <c r="F243" s="14">
        <f t="shared" si="118"/>
        <v>199.89462149121971</v>
      </c>
      <c r="G243" s="9">
        <f t="shared" si="96"/>
        <v>50.373444615787371</v>
      </c>
      <c r="H243" s="13">
        <f t="shared" si="97"/>
        <v>99997.684190225642</v>
      </c>
      <c r="K243" s="13" t="s">
        <v>12</v>
      </c>
      <c r="L243" s="13">
        <v>480</v>
      </c>
      <c r="N243" s="13">
        <f t="shared" si="119"/>
        <v>499.98842095112821</v>
      </c>
      <c r="O243" s="11">
        <f t="shared" si="98"/>
        <v>125.9970820796843</v>
      </c>
      <c r="P243" s="13">
        <f t="shared" si="99"/>
        <v>100123.68127230533</v>
      </c>
      <c r="R243" s="13">
        <f t="shared" si="100"/>
        <v>176.37052669547168</v>
      </c>
    </row>
    <row r="244" spans="1:18" s="6" customFormat="1" x14ac:dyDescent="0.35">
      <c r="A244" s="6" t="s">
        <v>247</v>
      </c>
      <c r="B244" s="6" t="s">
        <v>6</v>
      </c>
      <c r="C244" s="6">
        <v>481</v>
      </c>
      <c r="D244" s="7">
        <v>4.0000000000000001E-3</v>
      </c>
      <c r="E244" s="6">
        <f t="shared" si="101"/>
        <v>100123.68127230533</v>
      </c>
      <c r="F244" s="8">
        <f>E244*0.4%</f>
        <v>400.49472508922133</v>
      </c>
      <c r="G244" s="9">
        <f t="shared" si="96"/>
        <v>100.92467072248378</v>
      </c>
      <c r="H244" s="6">
        <f t="shared" si="97"/>
        <v>100224.60594302781</v>
      </c>
      <c r="K244" s="6" t="s">
        <v>12</v>
      </c>
      <c r="L244" s="6">
        <v>482</v>
      </c>
      <c r="M244" s="7">
        <v>6.4999999999989198E-3</v>
      </c>
      <c r="N244" s="6">
        <f>H244*0.65%</f>
        <v>651.45993862968078</v>
      </c>
      <c r="O244" s="11">
        <f t="shared" si="98"/>
        <v>164.16790453467956</v>
      </c>
      <c r="P244" s="6">
        <f t="shared" si="99"/>
        <v>100388.77384756249</v>
      </c>
      <c r="R244" s="6">
        <f t="shared" si="100"/>
        <v>265.09257525716333</v>
      </c>
    </row>
    <row r="245" spans="1:18" x14ac:dyDescent="0.35">
      <c r="A245" t="s">
        <v>248</v>
      </c>
      <c r="B245" t="s">
        <v>6</v>
      </c>
      <c r="C245">
        <v>483</v>
      </c>
      <c r="E245">
        <f t="shared" si="101"/>
        <v>100388.77384756249</v>
      </c>
      <c r="F245" s="8">
        <f t="shared" ref="F245:F248" si="120">E245*0.4%</f>
        <v>401.55509539024996</v>
      </c>
      <c r="G245" s="9">
        <f t="shared" si="96"/>
        <v>101.19188403834299</v>
      </c>
      <c r="H245">
        <f t="shared" si="97"/>
        <v>100489.96573160084</v>
      </c>
      <c r="K245" t="s">
        <v>12</v>
      </c>
      <c r="L245">
        <v>484</v>
      </c>
      <c r="N245" s="6">
        <f t="shared" ref="N245:N248" si="121">H245*0.65%</f>
        <v>653.18477725540549</v>
      </c>
      <c r="O245" s="11">
        <f t="shared" si="98"/>
        <v>164.60256386836218</v>
      </c>
      <c r="P245">
        <f t="shared" si="99"/>
        <v>100654.5682954692</v>
      </c>
      <c r="R245">
        <f t="shared" si="100"/>
        <v>265.79444790670516</v>
      </c>
    </row>
    <row r="246" spans="1:18" x14ac:dyDescent="0.35">
      <c r="A246" t="s">
        <v>249</v>
      </c>
      <c r="B246" t="s">
        <v>6</v>
      </c>
      <c r="C246">
        <v>485</v>
      </c>
      <c r="E246">
        <f t="shared" si="101"/>
        <v>100654.5682954692</v>
      </c>
      <c r="F246" s="8">
        <f t="shared" si="120"/>
        <v>402.61827318187682</v>
      </c>
      <c r="G246" s="9">
        <f t="shared" si="96"/>
        <v>101.45980484183296</v>
      </c>
      <c r="H246">
        <f t="shared" si="97"/>
        <v>100756.02810031103</v>
      </c>
      <c r="K246" t="s">
        <v>12</v>
      </c>
      <c r="L246">
        <v>486</v>
      </c>
      <c r="N246" s="6">
        <f t="shared" si="121"/>
        <v>654.91418265202174</v>
      </c>
      <c r="O246" s="11">
        <f t="shared" si="98"/>
        <v>165.03837402830948</v>
      </c>
      <c r="P246">
        <f t="shared" si="99"/>
        <v>100921.06647433934</v>
      </c>
      <c r="R246">
        <f t="shared" si="100"/>
        <v>266.49817887014245</v>
      </c>
    </row>
    <row r="247" spans="1:18" x14ac:dyDescent="0.35">
      <c r="A247" t="s">
        <v>250</v>
      </c>
      <c r="B247" t="s">
        <v>6</v>
      </c>
      <c r="C247">
        <v>487</v>
      </c>
      <c r="E247">
        <f t="shared" si="101"/>
        <v>100921.06647433934</v>
      </c>
      <c r="F247" s="8">
        <f t="shared" si="120"/>
        <v>403.68426589735736</v>
      </c>
      <c r="G247" s="9">
        <f t="shared" si="96"/>
        <v>101.72843500613406</v>
      </c>
      <c r="H247">
        <f t="shared" si="97"/>
        <v>101022.79490934548</v>
      </c>
      <c r="K247" t="s">
        <v>12</v>
      </c>
      <c r="L247">
        <v>488</v>
      </c>
      <c r="N247" s="6">
        <f t="shared" si="121"/>
        <v>656.64816691074566</v>
      </c>
      <c r="O247" s="11">
        <f t="shared" si="98"/>
        <v>165.4753380615079</v>
      </c>
      <c r="P247">
        <f t="shared" si="99"/>
        <v>101188.270247407</v>
      </c>
      <c r="R247">
        <f t="shared" si="100"/>
        <v>267.20377306764198</v>
      </c>
    </row>
    <row r="248" spans="1:18" x14ac:dyDescent="0.35">
      <c r="A248" t="s">
        <v>251</v>
      </c>
      <c r="B248" t="s">
        <v>6</v>
      </c>
      <c r="C248">
        <v>489</v>
      </c>
      <c r="E248">
        <f t="shared" si="101"/>
        <v>101188.270247407</v>
      </c>
      <c r="F248" s="8">
        <f t="shared" si="120"/>
        <v>404.75308098962802</v>
      </c>
      <c r="G248" s="9">
        <f t="shared" si="96"/>
        <v>101.99777640938626</v>
      </c>
      <c r="H248">
        <f t="shared" si="97"/>
        <v>101290.26802381639</v>
      </c>
      <c r="K248" t="s">
        <v>12</v>
      </c>
      <c r="L248">
        <v>490</v>
      </c>
      <c r="N248" s="6">
        <f t="shared" si="121"/>
        <v>658.3867421548066</v>
      </c>
      <c r="O248" s="11">
        <f t="shared" si="98"/>
        <v>165.91345902301126</v>
      </c>
      <c r="P248">
        <f t="shared" si="99"/>
        <v>101456.1814828394</v>
      </c>
      <c r="R248">
        <f t="shared" si="100"/>
        <v>267.91123543239752</v>
      </c>
    </row>
    <row r="249" spans="1:18" s="6" customFormat="1" x14ac:dyDescent="0.35">
      <c r="A249" s="6" t="s">
        <v>252</v>
      </c>
      <c r="B249" s="6" t="s">
        <v>6</v>
      </c>
      <c r="C249" s="6">
        <v>491</v>
      </c>
      <c r="D249" s="7">
        <v>5.99999999999972E-3</v>
      </c>
      <c r="E249" s="6">
        <f t="shared" si="101"/>
        <v>101456.1814828394</v>
      </c>
      <c r="F249" s="8">
        <f>E249*0.6%</f>
        <v>608.73708889703641</v>
      </c>
      <c r="G249" s="9">
        <f t="shared" si="96"/>
        <v>153.40174640205319</v>
      </c>
      <c r="H249" s="6">
        <f t="shared" si="97"/>
        <v>101609.58322924146</v>
      </c>
      <c r="K249" s="6" t="s">
        <v>12</v>
      </c>
      <c r="L249" s="6">
        <v>492</v>
      </c>
      <c r="M249" s="7">
        <v>7.9999999999983799E-3</v>
      </c>
      <c r="N249" s="6">
        <f>H249*0.8%</f>
        <v>812.87666583393161</v>
      </c>
      <c r="O249" s="11">
        <f t="shared" si="98"/>
        <v>204.84491979015075</v>
      </c>
      <c r="P249" s="6">
        <f t="shared" si="99"/>
        <v>101814.42814903161</v>
      </c>
      <c r="R249" s="6">
        <f t="shared" si="100"/>
        <v>358.24666619220397</v>
      </c>
    </row>
    <row r="250" spans="1:18" x14ac:dyDescent="0.35">
      <c r="A250" t="s">
        <v>253</v>
      </c>
      <c r="B250" t="s">
        <v>6</v>
      </c>
      <c r="C250">
        <v>493</v>
      </c>
      <c r="E250">
        <f t="shared" si="101"/>
        <v>101814.42814903161</v>
      </c>
      <c r="F250" s="8">
        <f t="shared" ref="F250:F253" si="122">E250*0.6%</f>
        <v>610.88656889418962</v>
      </c>
      <c r="G250" s="9">
        <f t="shared" si="96"/>
        <v>153.94341536133578</v>
      </c>
      <c r="H250">
        <f t="shared" si="97"/>
        <v>101968.37156439295</v>
      </c>
      <c r="K250" t="s">
        <v>12</v>
      </c>
      <c r="L250">
        <v>494</v>
      </c>
      <c r="N250" s="6">
        <f t="shared" ref="N250:N253" si="123">H250*0.8%</f>
        <v>815.74697251514363</v>
      </c>
      <c r="O250" s="11">
        <f t="shared" si="98"/>
        <v>205.56823707381619</v>
      </c>
      <c r="P250">
        <f t="shared" si="99"/>
        <v>102173.93980146677</v>
      </c>
      <c r="R250">
        <f t="shared" si="100"/>
        <v>359.51165243515197</v>
      </c>
    </row>
    <row r="251" spans="1:18" x14ac:dyDescent="0.35">
      <c r="A251" t="s">
        <v>254</v>
      </c>
      <c r="B251" t="s">
        <v>6</v>
      </c>
      <c r="C251">
        <v>495</v>
      </c>
      <c r="E251">
        <f t="shared" si="101"/>
        <v>102173.93980146677</v>
      </c>
      <c r="F251" s="8">
        <f t="shared" si="122"/>
        <v>613.04363880880067</v>
      </c>
      <c r="G251" s="9">
        <f t="shared" si="96"/>
        <v>154.48699697981777</v>
      </c>
      <c r="H251">
        <f t="shared" si="97"/>
        <v>102328.42679844658</v>
      </c>
      <c r="K251" t="s">
        <v>12</v>
      </c>
      <c r="L251">
        <v>496</v>
      </c>
      <c r="N251" s="6">
        <f t="shared" si="123"/>
        <v>818.62741438757268</v>
      </c>
      <c r="O251" s="11">
        <f t="shared" si="98"/>
        <v>206.29410842566833</v>
      </c>
      <c r="P251">
        <f t="shared" si="99"/>
        <v>102534.72090687226</v>
      </c>
      <c r="R251">
        <f t="shared" si="100"/>
        <v>360.78110540548607</v>
      </c>
    </row>
    <row r="252" spans="1:18" x14ac:dyDescent="0.35">
      <c r="A252" t="s">
        <v>255</v>
      </c>
      <c r="B252" t="s">
        <v>6</v>
      </c>
      <c r="C252">
        <v>497</v>
      </c>
      <c r="E252">
        <f t="shared" si="101"/>
        <v>102534.72090687226</v>
      </c>
      <c r="F252" s="8">
        <f t="shared" si="122"/>
        <v>615.20832544123357</v>
      </c>
      <c r="G252" s="9">
        <f t="shared" si="96"/>
        <v>155.03249801119085</v>
      </c>
      <c r="H252">
        <f t="shared" si="97"/>
        <v>102689.75340488345</v>
      </c>
      <c r="K252" t="s">
        <v>12</v>
      </c>
      <c r="L252">
        <v>498</v>
      </c>
      <c r="N252" s="6">
        <f t="shared" si="123"/>
        <v>821.51802723906758</v>
      </c>
      <c r="O252" s="11">
        <f t="shared" si="98"/>
        <v>207.02254286424503</v>
      </c>
      <c r="P252">
        <f t="shared" si="99"/>
        <v>102896.77594774769</v>
      </c>
      <c r="R252">
        <f t="shared" si="100"/>
        <v>362.05504087543591</v>
      </c>
    </row>
    <row r="253" spans="1:18" x14ac:dyDescent="0.35">
      <c r="A253" t="s">
        <v>256</v>
      </c>
      <c r="B253" t="s">
        <v>6</v>
      </c>
      <c r="C253">
        <v>499</v>
      </c>
      <c r="D253" s="15"/>
      <c r="E253">
        <f t="shared" si="101"/>
        <v>102896.77594774769</v>
      </c>
      <c r="F253" s="8">
        <f t="shared" si="122"/>
        <v>617.38065568648619</v>
      </c>
      <c r="G253" s="9">
        <f t="shared" si="96"/>
        <v>155.57992523299453</v>
      </c>
      <c r="H253">
        <f t="shared" si="97"/>
        <v>103052.35587298068</v>
      </c>
      <c r="K253" t="s">
        <v>12</v>
      </c>
      <c r="L253">
        <v>500</v>
      </c>
      <c r="N253" s="6">
        <f t="shared" si="123"/>
        <v>824.41884698384547</v>
      </c>
      <c r="O253" s="11">
        <f t="shared" si="98"/>
        <v>207.75354943992906</v>
      </c>
      <c r="P253">
        <f t="shared" si="99"/>
        <v>103260.10942242062</v>
      </c>
      <c r="R253">
        <f t="shared" si="100"/>
        <v>363.33347467292356</v>
      </c>
    </row>
    <row r="254" spans="1:18" s="6" customFormat="1" x14ac:dyDescent="0.35">
      <c r="A254" s="6" t="s">
        <v>257</v>
      </c>
      <c r="B254" s="6" t="s">
        <v>5</v>
      </c>
      <c r="C254" s="6">
        <v>501</v>
      </c>
      <c r="D254" s="7">
        <v>7.9999999999994399E-3</v>
      </c>
      <c r="E254" s="6">
        <f t="shared" si="101"/>
        <v>103260.10942242062</v>
      </c>
      <c r="F254" s="8">
        <f>E254*0.8%</f>
        <v>826.08087537936501</v>
      </c>
      <c r="G254" s="9">
        <f t="shared" si="96"/>
        <v>208.17238059559998</v>
      </c>
      <c r="H254" s="6">
        <f t="shared" si="97"/>
        <v>103468.28180301622</v>
      </c>
      <c r="K254" s="6" t="s">
        <v>6</v>
      </c>
      <c r="L254" s="6">
        <v>502</v>
      </c>
      <c r="M254" s="7">
        <v>4.0000000000000001E-3</v>
      </c>
      <c r="N254" s="6">
        <f>H254*0.4%</f>
        <v>413.8731272120649</v>
      </c>
      <c r="O254" s="11">
        <f t="shared" si="98"/>
        <v>104.29602805744035</v>
      </c>
      <c r="P254" s="6">
        <f t="shared" si="99"/>
        <v>103572.57783107365</v>
      </c>
      <c r="R254" s="6">
        <f t="shared" si="100"/>
        <v>312.46840865304034</v>
      </c>
    </row>
    <row r="255" spans="1:18" x14ac:dyDescent="0.35">
      <c r="A255" t="s">
        <v>258</v>
      </c>
      <c r="B255" t="s">
        <v>5</v>
      </c>
      <c r="C255">
        <v>503</v>
      </c>
      <c r="E255">
        <f t="shared" si="101"/>
        <v>103572.57783107365</v>
      </c>
      <c r="F255" s="8">
        <f t="shared" ref="F255:F258" si="124">E255*0.8%</f>
        <v>828.58062264858927</v>
      </c>
      <c r="G255" s="9">
        <f t="shared" si="96"/>
        <v>208.80231690744449</v>
      </c>
      <c r="H255">
        <f t="shared" si="97"/>
        <v>103781.38014798109</v>
      </c>
      <c r="I255" s="16"/>
      <c r="J255" s="16"/>
      <c r="K255" s="16" t="s">
        <v>6</v>
      </c>
      <c r="L255">
        <v>504</v>
      </c>
      <c r="N255" s="6">
        <f t="shared" ref="N255:N258" si="125">H255*0.4%</f>
        <v>415.12552059192438</v>
      </c>
      <c r="O255" s="11">
        <f t="shared" si="98"/>
        <v>104.61163118916494</v>
      </c>
      <c r="P255">
        <f t="shared" si="99"/>
        <v>103885.99177917026</v>
      </c>
      <c r="R255">
        <f t="shared" si="100"/>
        <v>313.41394809660943</v>
      </c>
    </row>
    <row r="256" spans="1:18" x14ac:dyDescent="0.35">
      <c r="A256" t="s">
        <v>259</v>
      </c>
      <c r="B256" t="s">
        <v>5</v>
      </c>
      <c r="C256">
        <v>505</v>
      </c>
      <c r="E256">
        <f t="shared" si="101"/>
        <v>103885.99177917026</v>
      </c>
      <c r="F256" s="8">
        <f t="shared" si="124"/>
        <v>831.08793423336215</v>
      </c>
      <c r="G256" s="9">
        <f t="shared" si="96"/>
        <v>209.43415942680727</v>
      </c>
      <c r="H256">
        <f t="shared" si="97"/>
        <v>104095.42593859707</v>
      </c>
      <c r="K256" t="s">
        <v>6</v>
      </c>
      <c r="L256">
        <v>506</v>
      </c>
      <c r="N256" s="6">
        <f t="shared" si="125"/>
        <v>416.3817037543883</v>
      </c>
      <c r="O256" s="11">
        <f t="shared" si="98"/>
        <v>104.92818934610585</v>
      </c>
      <c r="P256">
        <f t="shared" si="99"/>
        <v>104200.35412794317</v>
      </c>
      <c r="R256">
        <f t="shared" si="100"/>
        <v>314.36234877291315</v>
      </c>
    </row>
    <row r="257" spans="1:18" x14ac:dyDescent="0.35">
      <c r="A257" t="s">
        <v>260</v>
      </c>
      <c r="B257" t="s">
        <v>5</v>
      </c>
      <c r="C257">
        <v>507</v>
      </c>
      <c r="E257">
        <f t="shared" si="101"/>
        <v>104200.35412794317</v>
      </c>
      <c r="F257" s="8">
        <f t="shared" si="124"/>
        <v>833.60283302354537</v>
      </c>
      <c r="G257" s="9">
        <f t="shared" si="96"/>
        <v>210.06791392193344</v>
      </c>
      <c r="H257">
        <f t="shared" si="97"/>
        <v>104410.42204186509</v>
      </c>
      <c r="K257" t="s">
        <v>6</v>
      </c>
      <c r="L257">
        <v>508</v>
      </c>
      <c r="N257" s="6">
        <f t="shared" si="125"/>
        <v>417.64168816746042</v>
      </c>
      <c r="O257" s="11">
        <f t="shared" si="98"/>
        <v>105.24570541820003</v>
      </c>
      <c r="P257">
        <f t="shared" si="99"/>
        <v>104515.6677472833</v>
      </c>
      <c r="R257">
        <f t="shared" si="100"/>
        <v>315.31361934013347</v>
      </c>
    </row>
    <row r="258" spans="1:18" x14ac:dyDescent="0.35">
      <c r="A258" t="s">
        <v>261</v>
      </c>
      <c r="B258" t="s">
        <v>5</v>
      </c>
      <c r="C258">
        <v>509</v>
      </c>
      <c r="E258">
        <f t="shared" si="101"/>
        <v>104515.6677472833</v>
      </c>
      <c r="F258" s="8">
        <f t="shared" si="124"/>
        <v>836.12534197826642</v>
      </c>
      <c r="G258" s="9">
        <f t="shared" si="96"/>
        <v>210.70358617852315</v>
      </c>
      <c r="H258">
        <f t="shared" si="97"/>
        <v>104726.37133346182</v>
      </c>
      <c r="K258" t="s">
        <v>6</v>
      </c>
      <c r="L258">
        <v>510</v>
      </c>
      <c r="N258" s="6">
        <f t="shared" si="125"/>
        <v>418.90548533384731</v>
      </c>
      <c r="O258" s="11">
        <f t="shared" si="98"/>
        <v>105.56418230412952</v>
      </c>
      <c r="P258">
        <f t="shared" si="99"/>
        <v>104831.93551576594</v>
      </c>
      <c r="R258">
        <f t="shared" si="100"/>
        <v>316.26776848265268</v>
      </c>
    </row>
    <row r="259" spans="1:18" s="6" customFormat="1" x14ac:dyDescent="0.35">
      <c r="A259" s="6" t="s">
        <v>262</v>
      </c>
      <c r="B259" s="6" t="s">
        <v>6</v>
      </c>
      <c r="C259" s="6">
        <v>511</v>
      </c>
      <c r="D259" s="7">
        <v>4.0000000000000001E-3</v>
      </c>
      <c r="E259" s="6">
        <f t="shared" si="101"/>
        <v>104831.93551576594</v>
      </c>
      <c r="F259" s="8">
        <f>E259*0.4%</f>
        <v>419.32774206306379</v>
      </c>
      <c r="G259" s="9">
        <f t="shared" si="96"/>
        <v>105.67059099989207</v>
      </c>
      <c r="H259" s="6">
        <f t="shared" si="97"/>
        <v>104937.60610676583</v>
      </c>
      <c r="K259" s="6" t="s">
        <v>12</v>
      </c>
      <c r="L259" s="6">
        <v>512</v>
      </c>
      <c r="M259" s="7">
        <v>8.5000000000000006E-3</v>
      </c>
      <c r="N259" s="6">
        <f>H259*0.85%</f>
        <v>891.96965190750961</v>
      </c>
      <c r="O259" s="11">
        <f t="shared" si="98"/>
        <v>224.77635228069244</v>
      </c>
      <c r="P259" s="6">
        <f t="shared" si="99"/>
        <v>105162.38245904652</v>
      </c>
      <c r="R259" s="6">
        <f t="shared" si="100"/>
        <v>330.44694328058449</v>
      </c>
    </row>
    <row r="260" spans="1:18" x14ac:dyDescent="0.35">
      <c r="A260" t="s">
        <v>263</v>
      </c>
      <c r="B260" t="s">
        <v>6</v>
      </c>
      <c r="C260">
        <v>513</v>
      </c>
      <c r="E260">
        <f t="shared" si="101"/>
        <v>105162.38245904652</v>
      </c>
      <c r="F260" s="8">
        <f t="shared" ref="F260:F263" si="126">E260*0.4%</f>
        <v>420.6495298361861</v>
      </c>
      <c r="G260" s="9">
        <f t="shared" si="96"/>
        <v>106.00368151871889</v>
      </c>
      <c r="H260">
        <f t="shared" si="97"/>
        <v>105268.38614056524</v>
      </c>
      <c r="K260" t="s">
        <v>12</v>
      </c>
      <c r="L260">
        <v>514</v>
      </c>
      <c r="N260" s="6">
        <f t="shared" ref="N260:N263" si="127">H260*0.85%</f>
        <v>894.78128219480459</v>
      </c>
      <c r="O260" s="11">
        <f t="shared" si="98"/>
        <v>225.48488311309075</v>
      </c>
      <c r="P260">
        <f t="shared" si="99"/>
        <v>105493.87102367834</v>
      </c>
      <c r="R260">
        <f t="shared" si="100"/>
        <v>331.48856463180965</v>
      </c>
    </row>
    <row r="261" spans="1:18" x14ac:dyDescent="0.35">
      <c r="A261" t="s">
        <v>264</v>
      </c>
      <c r="B261" t="s">
        <v>6</v>
      </c>
      <c r="C261">
        <v>515</v>
      </c>
      <c r="E261">
        <f t="shared" si="101"/>
        <v>105493.87102367834</v>
      </c>
      <c r="F261" s="8">
        <f t="shared" si="126"/>
        <v>421.97548409471335</v>
      </c>
      <c r="G261" s="9">
        <f t="shared" ref="G261:G294" si="128">F261*25.2%</f>
        <v>106.33782199186777</v>
      </c>
      <c r="H261">
        <f t="shared" ref="H261:H294" si="129">G261+E261</f>
        <v>105600.2088456702</v>
      </c>
      <c r="K261" t="s">
        <v>12</v>
      </c>
      <c r="L261">
        <v>516</v>
      </c>
      <c r="N261" s="6">
        <f t="shared" si="127"/>
        <v>897.60177518819683</v>
      </c>
      <c r="O261" s="11">
        <f t="shared" ref="O261:O294" si="130">N261*25.2%</f>
        <v>226.19564734742559</v>
      </c>
      <c r="P261">
        <f t="shared" ref="P261:P294" si="131">O261+H261</f>
        <v>105826.40449301763</v>
      </c>
      <c r="R261">
        <f t="shared" ref="R261:R294" si="132">O261+G261</f>
        <v>332.53346933929333</v>
      </c>
    </row>
    <row r="262" spans="1:18" x14ac:dyDescent="0.35">
      <c r="A262" t="s">
        <v>265</v>
      </c>
      <c r="B262" t="s">
        <v>6</v>
      </c>
      <c r="C262">
        <v>517</v>
      </c>
      <c r="E262">
        <f t="shared" ref="E262:E294" si="133">P261</f>
        <v>105826.40449301763</v>
      </c>
      <c r="F262" s="8">
        <f t="shared" si="126"/>
        <v>423.30561797207054</v>
      </c>
      <c r="G262" s="9">
        <f t="shared" si="128"/>
        <v>106.67301572896177</v>
      </c>
      <c r="H262">
        <f t="shared" si="129"/>
        <v>105933.07750874659</v>
      </c>
      <c r="K262" t="s">
        <v>12</v>
      </c>
      <c r="L262">
        <v>518</v>
      </c>
      <c r="N262" s="6">
        <f t="shared" si="127"/>
        <v>900.43115882434608</v>
      </c>
      <c r="O262" s="11">
        <f t="shared" si="130"/>
        <v>226.90865202373521</v>
      </c>
      <c r="P262">
        <f t="shared" si="131"/>
        <v>106159.98616077032</v>
      </c>
      <c r="R262">
        <f t="shared" si="132"/>
        <v>333.581667752697</v>
      </c>
    </row>
    <row r="263" spans="1:18" x14ac:dyDescent="0.35">
      <c r="A263" t="s">
        <v>266</v>
      </c>
      <c r="B263" t="s">
        <v>6</v>
      </c>
      <c r="C263">
        <v>519</v>
      </c>
      <c r="D263" s="15"/>
      <c r="E263">
        <f t="shared" si="133"/>
        <v>106159.98616077032</v>
      </c>
      <c r="F263" s="8">
        <f t="shared" si="126"/>
        <v>424.63994464308126</v>
      </c>
      <c r="G263" s="9">
        <f t="shared" si="128"/>
        <v>107.00926605005648</v>
      </c>
      <c r="H263">
        <f t="shared" si="129"/>
        <v>106266.99542682037</v>
      </c>
      <c r="K263" t="s">
        <v>12</v>
      </c>
      <c r="L263">
        <v>520</v>
      </c>
      <c r="N263" s="6">
        <f t="shared" si="127"/>
        <v>903.26946112797327</v>
      </c>
      <c r="O263" s="11">
        <f t="shared" si="130"/>
        <v>227.62390420424927</v>
      </c>
      <c r="P263">
        <f t="shared" si="131"/>
        <v>106494.61933102462</v>
      </c>
      <c r="R263">
        <f t="shared" si="132"/>
        <v>334.63317025430575</v>
      </c>
    </row>
    <row r="264" spans="1:18" s="6" customFormat="1" x14ac:dyDescent="0.35">
      <c r="A264" s="6" t="s">
        <v>267</v>
      </c>
      <c r="B264" s="6" t="s">
        <v>6</v>
      </c>
      <c r="C264" s="6">
        <v>521</v>
      </c>
      <c r="D264" s="7">
        <v>7.0000000000000001E-3</v>
      </c>
      <c r="E264" s="6">
        <f t="shared" si="133"/>
        <v>106494.61933102462</v>
      </c>
      <c r="F264" s="8">
        <f>E264*0.7%</f>
        <v>745.46233531717223</v>
      </c>
      <c r="G264" s="9">
        <f t="shared" si="128"/>
        <v>187.8565084999274</v>
      </c>
      <c r="H264" s="6">
        <f t="shared" si="129"/>
        <v>106682.47583952454</v>
      </c>
      <c r="K264" s="6" t="s">
        <v>6</v>
      </c>
      <c r="L264" s="6">
        <v>522</v>
      </c>
      <c r="M264" s="7">
        <v>3.5000000000000001E-3</v>
      </c>
      <c r="N264" s="6">
        <f>H264*0.35%</f>
        <v>373.38866543833586</v>
      </c>
      <c r="O264" s="11">
        <f t="shared" si="130"/>
        <v>94.093943690460634</v>
      </c>
      <c r="P264" s="6">
        <f t="shared" si="131"/>
        <v>106776.569783215</v>
      </c>
      <c r="R264" s="6">
        <f t="shared" si="132"/>
        <v>281.95045219038803</v>
      </c>
    </row>
    <row r="265" spans="1:18" x14ac:dyDescent="0.35">
      <c r="A265" t="s">
        <v>268</v>
      </c>
      <c r="B265" t="s">
        <v>6</v>
      </c>
      <c r="C265">
        <v>523</v>
      </c>
      <c r="E265">
        <f t="shared" si="133"/>
        <v>106776.569783215</v>
      </c>
      <c r="F265" s="8">
        <f t="shared" ref="F265:F268" si="134">E265*0.7%</f>
        <v>747.43598848250497</v>
      </c>
      <c r="G265" s="9">
        <f t="shared" si="128"/>
        <v>188.35386909759126</v>
      </c>
      <c r="H265">
        <f t="shared" si="129"/>
        <v>106964.9236523126</v>
      </c>
      <c r="K265" t="s">
        <v>6</v>
      </c>
      <c r="L265">
        <v>524</v>
      </c>
      <c r="N265" s="6">
        <f t="shared" ref="N265:N268" si="135">H265*0.35%</f>
        <v>374.37723278309409</v>
      </c>
      <c r="O265" s="11">
        <f t="shared" si="130"/>
        <v>94.343062661339715</v>
      </c>
      <c r="P265">
        <f t="shared" si="131"/>
        <v>107059.26671497394</v>
      </c>
      <c r="R265">
        <f t="shared" si="132"/>
        <v>282.69693175893099</v>
      </c>
    </row>
    <row r="266" spans="1:18" x14ac:dyDescent="0.35">
      <c r="A266" t="s">
        <v>269</v>
      </c>
      <c r="B266" t="s">
        <v>6</v>
      </c>
      <c r="C266">
        <v>525</v>
      </c>
      <c r="E266">
        <f t="shared" si="133"/>
        <v>107059.26671497394</v>
      </c>
      <c r="F266" s="8">
        <f t="shared" si="134"/>
        <v>749.41486700481755</v>
      </c>
      <c r="G266" s="9">
        <f t="shared" si="128"/>
        <v>188.85254648521402</v>
      </c>
      <c r="H266">
        <f t="shared" si="129"/>
        <v>107248.11926145916</v>
      </c>
      <c r="K266" t="s">
        <v>6</v>
      </c>
      <c r="L266">
        <v>526</v>
      </c>
      <c r="N266" s="6">
        <f t="shared" si="135"/>
        <v>375.36841741510699</v>
      </c>
      <c r="O266" s="11">
        <f t="shared" si="130"/>
        <v>94.592841188606968</v>
      </c>
      <c r="P266">
        <f t="shared" si="131"/>
        <v>107342.71210264777</v>
      </c>
      <c r="R266">
        <f t="shared" si="132"/>
        <v>283.44538767382096</v>
      </c>
    </row>
    <row r="267" spans="1:18" x14ac:dyDescent="0.35">
      <c r="A267" t="s">
        <v>270</v>
      </c>
      <c r="B267" t="s">
        <v>6</v>
      </c>
      <c r="C267">
        <v>527</v>
      </c>
      <c r="E267">
        <f t="shared" si="133"/>
        <v>107342.71210264777</v>
      </c>
      <c r="F267" s="8">
        <f t="shared" si="134"/>
        <v>751.39898471853428</v>
      </c>
      <c r="G267" s="9">
        <f t="shared" si="128"/>
        <v>189.35254414907064</v>
      </c>
      <c r="H267">
        <f t="shared" si="129"/>
        <v>107532.06464679683</v>
      </c>
      <c r="K267" t="s">
        <v>6</v>
      </c>
      <c r="L267">
        <v>528</v>
      </c>
      <c r="N267" s="6">
        <f t="shared" si="135"/>
        <v>376.3622262637889</v>
      </c>
      <c r="O267" s="11">
        <f t="shared" si="130"/>
        <v>94.843281018474798</v>
      </c>
      <c r="P267">
        <f t="shared" si="131"/>
        <v>107626.90792781531</v>
      </c>
      <c r="R267">
        <f t="shared" si="132"/>
        <v>284.19582516754542</v>
      </c>
    </row>
    <row r="268" spans="1:18" x14ac:dyDescent="0.35">
      <c r="A268" t="s">
        <v>271</v>
      </c>
      <c r="B268" t="s">
        <v>6</v>
      </c>
      <c r="C268">
        <v>529</v>
      </c>
      <c r="E268">
        <f t="shared" si="133"/>
        <v>107626.90792781531</v>
      </c>
      <c r="F268" s="8">
        <f t="shared" si="134"/>
        <v>753.38835549470707</v>
      </c>
      <c r="G268" s="9">
        <f t="shared" si="128"/>
        <v>189.85386558466618</v>
      </c>
      <c r="H268">
        <f t="shared" si="129"/>
        <v>107816.76179339997</v>
      </c>
      <c r="K268" t="s">
        <v>6</v>
      </c>
      <c r="L268">
        <v>530</v>
      </c>
      <c r="N268" s="6">
        <f t="shared" si="135"/>
        <v>377.35866627689984</v>
      </c>
      <c r="O268" s="11">
        <f t="shared" si="130"/>
        <v>95.094383901778755</v>
      </c>
      <c r="P268">
        <f t="shared" si="131"/>
        <v>107911.85617730176</v>
      </c>
      <c r="R268">
        <f t="shared" si="132"/>
        <v>284.94824948644492</v>
      </c>
    </row>
    <row r="269" spans="1:18" s="6" customFormat="1" x14ac:dyDescent="0.35">
      <c r="A269" s="6" t="s">
        <v>272</v>
      </c>
      <c r="B269" s="6" t="s">
        <v>5</v>
      </c>
      <c r="C269" s="6">
        <v>531</v>
      </c>
      <c r="D269" s="7">
        <v>8.0000000000000002E-3</v>
      </c>
      <c r="E269" s="6">
        <f t="shared" si="133"/>
        <v>107911.85617730176</v>
      </c>
      <c r="F269" s="8">
        <f>E269*0.8%</f>
        <v>863.29484941841406</v>
      </c>
      <c r="G269" s="9">
        <f t="shared" si="128"/>
        <v>217.55030205344033</v>
      </c>
      <c r="H269" s="6">
        <f t="shared" si="129"/>
        <v>108129.4064793552</v>
      </c>
      <c r="K269" s="6" t="s">
        <v>6</v>
      </c>
      <c r="L269" s="6">
        <v>532</v>
      </c>
      <c r="M269" s="7">
        <v>4.4999999999999997E-3</v>
      </c>
      <c r="N269" s="6">
        <f>H269*0.45%</f>
        <v>486.58232915709846</v>
      </c>
      <c r="O269" s="11">
        <f t="shared" si="130"/>
        <v>122.61874694758882</v>
      </c>
      <c r="P269" s="6">
        <f t="shared" si="131"/>
        <v>108252.02522630278</v>
      </c>
      <c r="R269" s="6">
        <f t="shared" si="132"/>
        <v>340.16904900102918</v>
      </c>
    </row>
    <row r="270" spans="1:18" x14ac:dyDescent="0.35">
      <c r="A270" t="s">
        <v>273</v>
      </c>
      <c r="B270" t="s">
        <v>5</v>
      </c>
      <c r="C270">
        <v>533</v>
      </c>
      <c r="E270">
        <f t="shared" si="133"/>
        <v>108252.02522630278</v>
      </c>
      <c r="F270" s="8">
        <f t="shared" ref="F270:F273" si="136">E270*0.8%</f>
        <v>866.01620181042222</v>
      </c>
      <c r="G270" s="9">
        <f t="shared" si="128"/>
        <v>218.2360828562264</v>
      </c>
      <c r="H270">
        <f t="shared" si="129"/>
        <v>108470.261309159</v>
      </c>
      <c r="K270" t="s">
        <v>6</v>
      </c>
      <c r="L270">
        <v>534</v>
      </c>
      <c r="N270" s="6">
        <f t="shared" ref="N270:N273" si="137">H270*0.45%</f>
        <v>488.11617589121556</v>
      </c>
      <c r="O270" s="11">
        <f t="shared" si="130"/>
        <v>123.00527632458632</v>
      </c>
      <c r="P270">
        <f t="shared" si="131"/>
        <v>108593.26658548359</v>
      </c>
      <c r="R270">
        <f t="shared" si="132"/>
        <v>341.24135918081271</v>
      </c>
    </row>
    <row r="271" spans="1:18" x14ac:dyDescent="0.35">
      <c r="A271" t="s">
        <v>274</v>
      </c>
      <c r="B271" t="s">
        <v>5</v>
      </c>
      <c r="C271">
        <v>535</v>
      </c>
      <c r="E271">
        <f t="shared" si="133"/>
        <v>108593.26658548359</v>
      </c>
      <c r="F271" s="8">
        <f t="shared" si="136"/>
        <v>868.74613268386872</v>
      </c>
      <c r="G271" s="9">
        <f t="shared" si="128"/>
        <v>218.92402543633492</v>
      </c>
      <c r="H271">
        <f t="shared" si="129"/>
        <v>108812.19061091993</v>
      </c>
      <c r="K271" t="s">
        <v>6</v>
      </c>
      <c r="L271">
        <v>536</v>
      </c>
      <c r="N271" s="6">
        <f t="shared" si="137"/>
        <v>489.65485774913975</v>
      </c>
      <c r="O271" s="11">
        <f t="shared" si="130"/>
        <v>123.39302415278321</v>
      </c>
      <c r="P271">
        <f t="shared" si="131"/>
        <v>108935.58363507272</v>
      </c>
      <c r="R271">
        <f t="shared" si="132"/>
        <v>342.31704958911814</v>
      </c>
    </row>
    <row r="272" spans="1:18" x14ac:dyDescent="0.35">
      <c r="A272" t="s">
        <v>275</v>
      </c>
      <c r="B272" t="s">
        <v>5</v>
      </c>
      <c r="C272">
        <v>537</v>
      </c>
      <c r="E272">
        <f t="shared" si="133"/>
        <v>108935.58363507272</v>
      </c>
      <c r="F272" s="8">
        <f t="shared" si="136"/>
        <v>871.48466908058174</v>
      </c>
      <c r="G272" s="9">
        <f t="shared" si="128"/>
        <v>219.61413660830661</v>
      </c>
      <c r="H272">
        <f t="shared" si="129"/>
        <v>109155.19777168102</v>
      </c>
      <c r="K272" t="s">
        <v>6</v>
      </c>
      <c r="L272">
        <v>538</v>
      </c>
      <c r="N272" s="6">
        <f t="shared" si="137"/>
        <v>491.19838997256466</v>
      </c>
      <c r="O272" s="11">
        <f t="shared" si="130"/>
        <v>123.7819942730863</v>
      </c>
      <c r="P272">
        <f t="shared" si="131"/>
        <v>109278.97976595411</v>
      </c>
      <c r="Q272" t="s">
        <v>0</v>
      </c>
      <c r="R272">
        <f t="shared" si="132"/>
        <v>343.39613088139288</v>
      </c>
    </row>
    <row r="273" spans="1:18" s="17" customFormat="1" x14ac:dyDescent="0.35">
      <c r="A273" s="17" t="s">
        <v>276</v>
      </c>
      <c r="B273" s="17" t="s">
        <v>5</v>
      </c>
      <c r="C273" s="17">
        <v>539</v>
      </c>
      <c r="E273" s="17">
        <f t="shared" si="133"/>
        <v>109278.97976595411</v>
      </c>
      <c r="F273" s="8">
        <f t="shared" si="136"/>
        <v>874.23183812763284</v>
      </c>
      <c r="G273" s="9">
        <f t="shared" si="128"/>
        <v>220.30642320816347</v>
      </c>
      <c r="H273" s="17">
        <f t="shared" si="129"/>
        <v>109499.28618916227</v>
      </c>
      <c r="K273" s="17" t="s">
        <v>6</v>
      </c>
      <c r="L273" s="17">
        <v>540</v>
      </c>
      <c r="M273"/>
      <c r="N273" s="6">
        <f t="shared" si="137"/>
        <v>492.74678785123029</v>
      </c>
      <c r="O273" s="11">
        <f t="shared" si="130"/>
        <v>124.17219053851004</v>
      </c>
      <c r="P273" s="17">
        <f t="shared" si="131"/>
        <v>109623.45837970078</v>
      </c>
      <c r="R273" s="17">
        <f t="shared" si="132"/>
        <v>344.47861374667349</v>
      </c>
    </row>
    <row r="274" spans="1:18" s="9" customFormat="1" x14ac:dyDescent="0.35">
      <c r="A274" s="9" t="s">
        <v>277</v>
      </c>
      <c r="B274" s="9" t="s">
        <v>5</v>
      </c>
      <c r="C274" s="9">
        <v>541</v>
      </c>
      <c r="D274" s="18">
        <v>8.9999999999999993E-3</v>
      </c>
      <c r="E274" s="9">
        <f t="shared" si="133"/>
        <v>109623.45837970078</v>
      </c>
      <c r="F274" s="19">
        <f t="shared" ref="F274:F278" si="138">E274*0.9%</f>
        <v>986.61112541730711</v>
      </c>
      <c r="G274" s="9">
        <f t="shared" si="128"/>
        <v>248.6260036051614</v>
      </c>
      <c r="H274" s="9">
        <f t="shared" si="129"/>
        <v>109872.08438330595</v>
      </c>
      <c r="K274" s="9" t="s">
        <v>6</v>
      </c>
      <c r="L274" s="9">
        <v>542</v>
      </c>
      <c r="M274" s="7">
        <v>5.5000000000064797E-3</v>
      </c>
      <c r="N274" s="9">
        <f>H274*0.55%</f>
        <v>604.29646410818282</v>
      </c>
      <c r="O274" s="11">
        <f t="shared" si="130"/>
        <v>152.28270895526208</v>
      </c>
      <c r="P274" s="9">
        <f t="shared" si="131"/>
        <v>110024.36709226121</v>
      </c>
      <c r="R274" s="9">
        <f t="shared" si="132"/>
        <v>400.90871256042351</v>
      </c>
    </row>
    <row r="275" spans="1:18" x14ac:dyDescent="0.35">
      <c r="A275" t="s">
        <v>278</v>
      </c>
      <c r="B275" t="s">
        <v>5</v>
      </c>
      <c r="C275">
        <v>543</v>
      </c>
      <c r="E275">
        <f t="shared" si="133"/>
        <v>110024.36709226121</v>
      </c>
      <c r="F275" s="19">
        <f t="shared" si="138"/>
        <v>990.21930383035101</v>
      </c>
      <c r="G275" s="9">
        <f t="shared" si="128"/>
        <v>249.53526456524847</v>
      </c>
      <c r="H275">
        <f t="shared" si="129"/>
        <v>110273.90235682645</v>
      </c>
      <c r="K275" t="s">
        <v>6</v>
      </c>
      <c r="L275">
        <v>544</v>
      </c>
      <c r="N275" s="9">
        <f t="shared" ref="N275:N278" si="139">H275*0.55%</f>
        <v>606.50646296254558</v>
      </c>
      <c r="O275" s="11">
        <f t="shared" si="130"/>
        <v>152.83962866656148</v>
      </c>
      <c r="P275">
        <f t="shared" si="131"/>
        <v>110426.74198549302</v>
      </c>
      <c r="R275">
        <f t="shared" si="132"/>
        <v>402.37489323180995</v>
      </c>
    </row>
    <row r="276" spans="1:18" x14ac:dyDescent="0.35">
      <c r="A276" t="s">
        <v>279</v>
      </c>
      <c r="B276" t="s">
        <v>5</v>
      </c>
      <c r="C276">
        <v>545</v>
      </c>
      <c r="E276">
        <f t="shared" si="133"/>
        <v>110426.74198549302</v>
      </c>
      <c r="F276" s="19">
        <f t="shared" si="138"/>
        <v>993.84067786943729</v>
      </c>
      <c r="G276" s="9">
        <f t="shared" si="128"/>
        <v>250.44785082309821</v>
      </c>
      <c r="H276">
        <f t="shared" si="129"/>
        <v>110677.18983631612</v>
      </c>
      <c r="K276" t="s">
        <v>6</v>
      </c>
      <c r="L276">
        <v>546</v>
      </c>
      <c r="N276" s="9">
        <f t="shared" si="139"/>
        <v>608.72454409973875</v>
      </c>
      <c r="O276" s="11">
        <f t="shared" si="130"/>
        <v>153.39858511313417</v>
      </c>
      <c r="P276">
        <f t="shared" si="131"/>
        <v>110830.58842142925</v>
      </c>
      <c r="Q276" t="s">
        <v>0</v>
      </c>
      <c r="R276">
        <f t="shared" si="132"/>
        <v>403.84643593623241</v>
      </c>
    </row>
    <row r="277" spans="1:18" x14ac:dyDescent="0.35">
      <c r="A277" t="s">
        <v>280</v>
      </c>
      <c r="B277" t="s">
        <v>5</v>
      </c>
      <c r="C277">
        <v>546</v>
      </c>
      <c r="E277">
        <f t="shared" si="133"/>
        <v>110830.58842142925</v>
      </c>
      <c r="F277" s="19">
        <f t="shared" si="138"/>
        <v>997.47529579286334</v>
      </c>
      <c r="G277" s="9">
        <f t="shared" si="128"/>
        <v>251.36377453980157</v>
      </c>
      <c r="H277">
        <f t="shared" si="129"/>
        <v>111081.95219596905</v>
      </c>
      <c r="K277" t="s">
        <v>6</v>
      </c>
      <c r="L277">
        <v>547</v>
      </c>
      <c r="N277" s="9">
        <f t="shared" si="139"/>
        <v>610.95073707782979</v>
      </c>
      <c r="O277" s="11">
        <f t="shared" si="130"/>
        <v>153.9595857436131</v>
      </c>
      <c r="P277">
        <f t="shared" si="131"/>
        <v>111235.91178171265</v>
      </c>
      <c r="Q277" t="s">
        <v>0</v>
      </c>
      <c r="R277">
        <f t="shared" si="132"/>
        <v>405.32336028341467</v>
      </c>
    </row>
    <row r="278" spans="1:18" x14ac:dyDescent="0.35">
      <c r="A278" t="s">
        <v>281</v>
      </c>
      <c r="B278" t="s">
        <v>5</v>
      </c>
      <c r="C278">
        <v>547</v>
      </c>
      <c r="E278">
        <f t="shared" si="133"/>
        <v>111235.91178171265</v>
      </c>
      <c r="F278" s="19">
        <f t="shared" si="138"/>
        <v>1001.123206035414</v>
      </c>
      <c r="G278" s="9">
        <f t="shared" si="128"/>
        <v>252.28304792092433</v>
      </c>
      <c r="H278">
        <f t="shared" si="129"/>
        <v>111488.19482963358</v>
      </c>
      <c r="K278" t="s">
        <v>6</v>
      </c>
      <c r="L278">
        <v>548</v>
      </c>
      <c r="N278" s="9">
        <f t="shared" si="139"/>
        <v>613.18507156298472</v>
      </c>
      <c r="O278" s="11">
        <f t="shared" si="130"/>
        <v>154.52263803387214</v>
      </c>
      <c r="P278">
        <f t="shared" si="131"/>
        <v>111642.71746766745</v>
      </c>
      <c r="Q278" t="s">
        <v>0</v>
      </c>
      <c r="R278">
        <f t="shared" si="132"/>
        <v>406.80568595479645</v>
      </c>
    </row>
    <row r="279" spans="1:18" s="6" customFormat="1" x14ac:dyDescent="0.35">
      <c r="A279" s="6" t="s">
        <v>282</v>
      </c>
      <c r="B279" s="6" t="s">
        <v>5</v>
      </c>
      <c r="C279" s="6">
        <v>548</v>
      </c>
      <c r="D279" s="7">
        <v>8.0000000000000002E-3</v>
      </c>
      <c r="E279" s="6">
        <f t="shared" si="133"/>
        <v>111642.71746766745</v>
      </c>
      <c r="F279" s="8">
        <f>E279*0.8%</f>
        <v>893.14173974133962</v>
      </c>
      <c r="G279" s="9">
        <f t="shared" si="128"/>
        <v>225.07171841481758</v>
      </c>
      <c r="H279" s="6">
        <f t="shared" si="129"/>
        <v>111867.78918608227</v>
      </c>
      <c r="K279" s="6" t="s">
        <v>6</v>
      </c>
      <c r="L279" s="6">
        <v>549</v>
      </c>
      <c r="M279" s="7">
        <v>4.5000000000086403E-3</v>
      </c>
      <c r="N279" s="6">
        <f>H279*0.45%</f>
        <v>503.40505133737025</v>
      </c>
      <c r="O279" s="11">
        <f t="shared" si="130"/>
        <v>126.85807293701731</v>
      </c>
      <c r="P279" s="6">
        <f t="shared" si="131"/>
        <v>111994.64725901929</v>
      </c>
      <c r="Q279" s="6" t="s">
        <v>0</v>
      </c>
      <c r="R279" s="6">
        <f t="shared" si="132"/>
        <v>351.92979135183487</v>
      </c>
    </row>
    <row r="280" spans="1:18" x14ac:dyDescent="0.35">
      <c r="A280" t="s">
        <v>283</v>
      </c>
      <c r="B280" t="s">
        <v>5</v>
      </c>
      <c r="C280">
        <v>549</v>
      </c>
      <c r="E280">
        <f t="shared" si="133"/>
        <v>111994.64725901929</v>
      </c>
      <c r="F280" s="8">
        <f t="shared" ref="F280:F283" si="140">E280*0.8%</f>
        <v>895.95717807215431</v>
      </c>
      <c r="G280" s="9">
        <f t="shared" si="128"/>
        <v>225.78120887418288</v>
      </c>
      <c r="H280">
        <f t="shared" si="129"/>
        <v>112220.42846789346</v>
      </c>
      <c r="K280" t="s">
        <v>6</v>
      </c>
      <c r="L280">
        <v>550</v>
      </c>
      <c r="N280" s="6">
        <f t="shared" ref="N280:N283" si="141">H280*0.45%</f>
        <v>504.99192810552063</v>
      </c>
      <c r="O280" s="11">
        <f t="shared" si="130"/>
        <v>127.25796588259119</v>
      </c>
      <c r="P280">
        <f t="shared" si="131"/>
        <v>112347.68643377605</v>
      </c>
      <c r="Q280" t="s">
        <v>0</v>
      </c>
      <c r="R280">
        <f t="shared" si="132"/>
        <v>353.03917475677406</v>
      </c>
    </row>
    <row r="281" spans="1:18" x14ac:dyDescent="0.35">
      <c r="A281" t="s">
        <v>284</v>
      </c>
      <c r="B281" t="s">
        <v>5</v>
      </c>
      <c r="C281">
        <v>550</v>
      </c>
      <c r="E281">
        <f t="shared" si="133"/>
        <v>112347.68643377605</v>
      </c>
      <c r="F281" s="8">
        <f t="shared" si="140"/>
        <v>898.78149147020838</v>
      </c>
      <c r="G281" s="9">
        <f t="shared" si="128"/>
        <v>226.4929358504925</v>
      </c>
      <c r="H281">
        <f t="shared" si="129"/>
        <v>112574.17936962654</v>
      </c>
      <c r="K281" t="s">
        <v>6</v>
      </c>
      <c r="L281">
        <v>551</v>
      </c>
      <c r="N281" s="6">
        <f t="shared" si="141"/>
        <v>506.58380716331948</v>
      </c>
      <c r="O281" s="11">
        <f t="shared" si="130"/>
        <v>127.6591194051565</v>
      </c>
      <c r="P281">
        <f t="shared" si="131"/>
        <v>112701.8384890317</v>
      </c>
      <c r="Q281" t="s">
        <v>0</v>
      </c>
      <c r="R281">
        <f t="shared" si="132"/>
        <v>354.15205525564897</v>
      </c>
    </row>
    <row r="282" spans="1:18" x14ac:dyDescent="0.35">
      <c r="A282" t="s">
        <v>285</v>
      </c>
      <c r="B282" t="s">
        <v>5</v>
      </c>
      <c r="C282">
        <v>551</v>
      </c>
      <c r="E282">
        <f t="shared" si="133"/>
        <v>112701.8384890317</v>
      </c>
      <c r="F282" s="8">
        <f t="shared" si="140"/>
        <v>901.61470791225361</v>
      </c>
      <c r="G282" s="9">
        <f t="shared" si="128"/>
        <v>227.20690639388792</v>
      </c>
      <c r="H282">
        <f t="shared" si="129"/>
        <v>112929.04539542558</v>
      </c>
      <c r="K282" t="s">
        <v>6</v>
      </c>
      <c r="L282">
        <v>552</v>
      </c>
      <c r="N282" s="6">
        <f t="shared" si="141"/>
        <v>508.18070427941518</v>
      </c>
      <c r="O282" s="11">
        <f t="shared" si="130"/>
        <v>128.06153747841262</v>
      </c>
      <c r="P282">
        <f t="shared" si="131"/>
        <v>113057.10693290399</v>
      </c>
      <c r="Q282" t="s">
        <v>0</v>
      </c>
      <c r="R282">
        <f t="shared" si="132"/>
        <v>355.26844387230051</v>
      </c>
    </row>
    <row r="283" spans="1:18" x14ac:dyDescent="0.35">
      <c r="A283" t="s">
        <v>286</v>
      </c>
      <c r="B283" t="s">
        <v>5</v>
      </c>
      <c r="C283">
        <v>552</v>
      </c>
      <c r="E283">
        <f t="shared" si="133"/>
        <v>113057.10693290399</v>
      </c>
      <c r="F283" s="8">
        <f t="shared" si="140"/>
        <v>904.45685546323193</v>
      </c>
      <c r="G283" s="9">
        <f t="shared" si="128"/>
        <v>227.92312757673446</v>
      </c>
      <c r="H283">
        <f t="shared" si="129"/>
        <v>113285.03006048073</v>
      </c>
      <c r="K283" t="s">
        <v>6</v>
      </c>
      <c r="L283">
        <v>553</v>
      </c>
      <c r="N283" s="6">
        <f t="shared" si="141"/>
        <v>509.7826352721633</v>
      </c>
      <c r="O283" s="11">
        <f t="shared" si="130"/>
        <v>128.46522408858516</v>
      </c>
      <c r="P283">
        <f t="shared" si="131"/>
        <v>113413.49528456932</v>
      </c>
      <c r="Q283" t="s">
        <v>0</v>
      </c>
      <c r="R283">
        <f t="shared" si="132"/>
        <v>356.38835166531965</v>
      </c>
    </row>
    <row r="284" spans="1:18" s="6" customFormat="1" x14ac:dyDescent="0.35">
      <c r="A284" s="6" t="s">
        <v>287</v>
      </c>
      <c r="B284" s="6" t="s">
        <v>5</v>
      </c>
      <c r="C284" s="6">
        <v>553</v>
      </c>
      <c r="D284" s="7">
        <v>7.0000000000000001E-3</v>
      </c>
      <c r="E284" s="6">
        <f t="shared" si="133"/>
        <v>113413.49528456932</v>
      </c>
      <c r="F284" s="8">
        <f>E284*0.7%</f>
        <v>793.89446699198515</v>
      </c>
      <c r="G284" s="9">
        <f t="shared" si="128"/>
        <v>200.06140568198026</v>
      </c>
      <c r="H284" s="6">
        <f t="shared" si="129"/>
        <v>113613.55669025129</v>
      </c>
      <c r="K284" s="6" t="s">
        <v>6</v>
      </c>
      <c r="L284" s="6">
        <v>554</v>
      </c>
      <c r="M284" s="7">
        <v>3.5000000000108E-3</v>
      </c>
      <c r="N284" s="6">
        <f>H284*0.35%</f>
        <v>397.64744841587947</v>
      </c>
      <c r="O284" s="11">
        <f t="shared" si="130"/>
        <v>100.20715700080163</v>
      </c>
      <c r="P284" s="6">
        <f t="shared" si="131"/>
        <v>113713.76384725209</v>
      </c>
      <c r="Q284" s="6" t="s">
        <v>0</v>
      </c>
      <c r="R284" s="6">
        <f t="shared" si="132"/>
        <v>300.26856268278186</v>
      </c>
    </row>
    <row r="285" spans="1:18" x14ac:dyDescent="0.35">
      <c r="A285" t="s">
        <v>288</v>
      </c>
      <c r="B285" t="s">
        <v>5</v>
      </c>
      <c r="C285">
        <v>554</v>
      </c>
      <c r="E285">
        <f t="shared" si="133"/>
        <v>113713.76384725209</v>
      </c>
      <c r="F285" s="8">
        <f t="shared" ref="F285:F288" si="142">E285*0.7%</f>
        <v>795.99634693076462</v>
      </c>
      <c r="G285" s="9">
        <f t="shared" si="128"/>
        <v>200.59107942655268</v>
      </c>
      <c r="H285">
        <f t="shared" si="129"/>
        <v>113914.35492667864</v>
      </c>
      <c r="K285" t="s">
        <v>6</v>
      </c>
      <c r="L285">
        <v>555</v>
      </c>
      <c r="N285" s="6">
        <f t="shared" ref="N285:N288" si="143">H285*0.35%</f>
        <v>398.70024224337521</v>
      </c>
      <c r="O285" s="11">
        <f t="shared" si="130"/>
        <v>100.47246104533056</v>
      </c>
      <c r="P285">
        <f t="shared" si="131"/>
        <v>114014.82738772397</v>
      </c>
      <c r="Q285" t="s">
        <v>0</v>
      </c>
      <c r="R285">
        <f t="shared" si="132"/>
        <v>301.06354047188324</v>
      </c>
    </row>
    <row r="286" spans="1:18" x14ac:dyDescent="0.35">
      <c r="A286" t="s">
        <v>289</v>
      </c>
      <c r="B286" t="s">
        <v>5</v>
      </c>
      <c r="C286">
        <v>555</v>
      </c>
      <c r="E286">
        <f t="shared" si="133"/>
        <v>114014.82738772397</v>
      </c>
      <c r="F286" s="8">
        <f t="shared" si="142"/>
        <v>798.10379171406771</v>
      </c>
      <c r="G286" s="9">
        <f t="shared" si="128"/>
        <v>201.12215551194507</v>
      </c>
      <c r="H286">
        <f t="shared" si="129"/>
        <v>114215.94954323591</v>
      </c>
      <c r="K286" t="s">
        <v>6</v>
      </c>
      <c r="L286">
        <v>556</v>
      </c>
      <c r="N286" s="6">
        <f t="shared" si="143"/>
        <v>399.75582340132564</v>
      </c>
      <c r="O286" s="11">
        <f t="shared" si="130"/>
        <v>100.73846749713407</v>
      </c>
      <c r="P286">
        <f t="shared" si="131"/>
        <v>114316.68801073305</v>
      </c>
      <c r="Q286" t="s">
        <v>0</v>
      </c>
      <c r="R286">
        <f t="shared" si="132"/>
        <v>301.86062300907912</v>
      </c>
    </row>
    <row r="287" spans="1:18" x14ac:dyDescent="0.35">
      <c r="A287" t="s">
        <v>290</v>
      </c>
      <c r="B287" t="s">
        <v>5</v>
      </c>
      <c r="C287">
        <v>556</v>
      </c>
      <c r="E287">
        <f t="shared" si="133"/>
        <v>114316.68801073305</v>
      </c>
      <c r="F287" s="8">
        <f t="shared" si="142"/>
        <v>800.21681607513131</v>
      </c>
      <c r="G287" s="9">
        <f t="shared" si="128"/>
        <v>201.6546376509331</v>
      </c>
      <c r="H287">
        <f t="shared" si="129"/>
        <v>114518.34264838399</v>
      </c>
      <c r="K287" t="s">
        <v>6</v>
      </c>
      <c r="L287">
        <v>557</v>
      </c>
      <c r="N287" s="6">
        <f t="shared" si="143"/>
        <v>400.81419926934393</v>
      </c>
      <c r="O287" s="11">
        <f t="shared" si="130"/>
        <v>101.00517821587466</v>
      </c>
      <c r="P287">
        <f t="shared" si="131"/>
        <v>114619.34782659986</v>
      </c>
      <c r="Q287" t="s">
        <v>0</v>
      </c>
      <c r="R287">
        <f t="shared" si="132"/>
        <v>302.65981586680778</v>
      </c>
    </row>
    <row r="288" spans="1:18" x14ac:dyDescent="0.35">
      <c r="A288" t="s">
        <v>291</v>
      </c>
      <c r="B288" t="s">
        <v>5</v>
      </c>
      <c r="C288">
        <v>557</v>
      </c>
      <c r="E288">
        <f t="shared" si="133"/>
        <v>114619.34782659986</v>
      </c>
      <c r="F288" s="8">
        <f t="shared" si="142"/>
        <v>802.3354347861989</v>
      </c>
      <c r="G288" s="9">
        <f t="shared" si="128"/>
        <v>202.18852956612213</v>
      </c>
      <c r="H288">
        <f t="shared" si="129"/>
        <v>114821.53635616598</v>
      </c>
      <c r="K288" t="s">
        <v>6</v>
      </c>
      <c r="L288">
        <v>558</v>
      </c>
      <c r="N288" s="6">
        <f t="shared" si="143"/>
        <v>401.87537724658085</v>
      </c>
      <c r="O288" s="11">
        <f t="shared" si="130"/>
        <v>101.27259506613838</v>
      </c>
      <c r="P288">
        <f t="shared" si="131"/>
        <v>114922.80895123212</v>
      </c>
      <c r="Q288" t="s">
        <v>0</v>
      </c>
      <c r="R288">
        <f t="shared" si="132"/>
        <v>303.46112463226052</v>
      </c>
    </row>
    <row r="289" spans="1:18" s="6" customFormat="1" x14ac:dyDescent="0.35">
      <c r="A289" s="6" t="s">
        <v>292</v>
      </c>
      <c r="B289" s="6" t="s">
        <v>5</v>
      </c>
      <c r="C289" s="6">
        <v>558</v>
      </c>
      <c r="D289" s="7">
        <v>6.0000000000000001E-3</v>
      </c>
      <c r="E289" s="6">
        <f t="shared" si="133"/>
        <v>114922.80895123212</v>
      </c>
      <c r="F289" s="8">
        <f>E289*0.6%</f>
        <v>689.53685370739277</v>
      </c>
      <c r="G289" s="9">
        <f t="shared" si="128"/>
        <v>173.76328713426298</v>
      </c>
      <c r="H289" s="6">
        <f t="shared" si="129"/>
        <v>115096.57223836638</v>
      </c>
      <c r="K289" s="6" t="s">
        <v>12</v>
      </c>
      <c r="L289" s="6">
        <v>559</v>
      </c>
      <c r="M289" s="7">
        <v>7.0000000000000001E-3</v>
      </c>
      <c r="N289" s="6">
        <f>H289*0.7%</f>
        <v>805.67600566856458</v>
      </c>
      <c r="O289" s="11">
        <f t="shared" si="130"/>
        <v>203.03035342847826</v>
      </c>
      <c r="P289" s="6">
        <f t="shared" si="131"/>
        <v>115299.60259179486</v>
      </c>
      <c r="Q289" s="6" t="s">
        <v>0</v>
      </c>
      <c r="R289" s="6">
        <f t="shared" si="132"/>
        <v>376.79364056274125</v>
      </c>
    </row>
    <row r="290" spans="1:18" x14ac:dyDescent="0.35">
      <c r="A290" t="s">
        <v>293</v>
      </c>
      <c r="B290" t="s">
        <v>5</v>
      </c>
      <c r="C290">
        <v>559</v>
      </c>
      <c r="E290">
        <f t="shared" si="133"/>
        <v>115299.60259179486</v>
      </c>
      <c r="F290" s="8">
        <f t="shared" ref="F290:F293" si="144">E290*0.6%</f>
        <v>691.79761555076914</v>
      </c>
      <c r="G290" s="9">
        <f t="shared" si="128"/>
        <v>174.33299911879382</v>
      </c>
      <c r="H290">
        <f t="shared" si="129"/>
        <v>115473.93559091365</v>
      </c>
      <c r="K290" t="s">
        <v>12</v>
      </c>
      <c r="L290">
        <v>560</v>
      </c>
      <c r="N290" s="6">
        <f t="shared" ref="N290:N293" si="145">H290*0.7%</f>
        <v>808.31754913639543</v>
      </c>
      <c r="O290" s="11">
        <f t="shared" si="130"/>
        <v>203.69602238237164</v>
      </c>
      <c r="P290">
        <f t="shared" si="131"/>
        <v>115677.63161329602</v>
      </c>
      <c r="Q290" t="s">
        <v>0</v>
      </c>
      <c r="R290">
        <f t="shared" si="132"/>
        <v>378.02902150116546</v>
      </c>
    </row>
    <row r="291" spans="1:18" x14ac:dyDescent="0.35">
      <c r="A291" t="s">
        <v>294</v>
      </c>
      <c r="B291" t="s">
        <v>5</v>
      </c>
      <c r="C291">
        <v>560</v>
      </c>
      <c r="E291">
        <f t="shared" si="133"/>
        <v>115677.63161329602</v>
      </c>
      <c r="F291" s="8">
        <f t="shared" si="144"/>
        <v>694.06578967977612</v>
      </c>
      <c r="G291" s="9">
        <f t="shared" si="128"/>
        <v>174.9045789993036</v>
      </c>
      <c r="H291">
        <f t="shared" si="129"/>
        <v>115852.53619229533</v>
      </c>
      <c r="K291" t="s">
        <v>12</v>
      </c>
      <c r="L291">
        <v>561</v>
      </c>
      <c r="N291" s="6">
        <f t="shared" si="145"/>
        <v>810.96775334606718</v>
      </c>
      <c r="O291" s="11">
        <f t="shared" si="130"/>
        <v>204.36387384320892</v>
      </c>
      <c r="P291">
        <f t="shared" si="131"/>
        <v>116056.90006613854</v>
      </c>
      <c r="Q291" t="s">
        <v>0</v>
      </c>
      <c r="R291">
        <f t="shared" si="132"/>
        <v>379.26845284251249</v>
      </c>
    </row>
    <row r="292" spans="1:18" x14ac:dyDescent="0.35">
      <c r="A292" t="s">
        <v>295</v>
      </c>
      <c r="B292" t="s">
        <v>5</v>
      </c>
      <c r="C292">
        <v>561</v>
      </c>
      <c r="E292">
        <f t="shared" si="133"/>
        <v>116056.90006613854</v>
      </c>
      <c r="F292" s="8">
        <f t="shared" si="144"/>
        <v>696.3414003968312</v>
      </c>
      <c r="G292" s="9">
        <f t="shared" si="128"/>
        <v>175.47803290000147</v>
      </c>
      <c r="H292">
        <f t="shared" si="129"/>
        <v>116232.37809903854</v>
      </c>
      <c r="K292" t="s">
        <v>12</v>
      </c>
      <c r="L292">
        <v>562</v>
      </c>
      <c r="N292" s="6">
        <f t="shared" si="145"/>
        <v>813.62664669326966</v>
      </c>
      <c r="O292" s="11">
        <f t="shared" si="130"/>
        <v>205.03391496670395</v>
      </c>
      <c r="P292">
        <f t="shared" si="131"/>
        <v>116437.41201400524</v>
      </c>
      <c r="Q292" t="s">
        <v>0</v>
      </c>
      <c r="R292">
        <f t="shared" si="132"/>
        <v>380.51194786670544</v>
      </c>
    </row>
    <row r="293" spans="1:18" x14ac:dyDescent="0.35">
      <c r="A293" t="s">
        <v>296</v>
      </c>
      <c r="B293" t="s">
        <v>5</v>
      </c>
      <c r="C293">
        <v>562</v>
      </c>
      <c r="E293">
        <f t="shared" si="133"/>
        <v>116437.41201400524</v>
      </c>
      <c r="F293" s="8">
        <f t="shared" si="144"/>
        <v>698.62447208403148</v>
      </c>
      <c r="G293" s="9">
        <f t="shared" si="128"/>
        <v>176.05336696517594</v>
      </c>
      <c r="H293">
        <f t="shared" si="129"/>
        <v>116613.46538097042</v>
      </c>
      <c r="K293" t="s">
        <v>12</v>
      </c>
      <c r="L293">
        <v>563</v>
      </c>
      <c r="N293" s="6">
        <f t="shared" si="145"/>
        <v>816.29425766679287</v>
      </c>
      <c r="O293" s="11">
        <f t="shared" si="130"/>
        <v>205.70615293203181</v>
      </c>
      <c r="P293">
        <f t="shared" si="131"/>
        <v>116819.17153390245</v>
      </c>
      <c r="Q293" t="s">
        <v>0</v>
      </c>
      <c r="R293">
        <f t="shared" si="132"/>
        <v>381.75951989720772</v>
      </c>
    </row>
    <row r="294" spans="1:18" s="6" customFormat="1" x14ac:dyDescent="0.35">
      <c r="A294" s="6" t="s">
        <v>297</v>
      </c>
      <c r="B294" s="6" t="s">
        <v>6</v>
      </c>
      <c r="C294" s="6">
        <v>563</v>
      </c>
      <c r="D294" s="7">
        <v>5.4999999999999997E-3</v>
      </c>
      <c r="E294" s="6">
        <f t="shared" si="133"/>
        <v>116819.17153390245</v>
      </c>
      <c r="F294" s="8">
        <f t="shared" ref="F294" si="146">E294*0.9%</f>
        <v>1051.3725438051222</v>
      </c>
      <c r="G294" s="9">
        <f t="shared" si="128"/>
        <v>264.94588103889078</v>
      </c>
      <c r="H294" s="6">
        <f t="shared" si="129"/>
        <v>117084.11741494134</v>
      </c>
      <c r="K294" s="6" t="s">
        <v>12</v>
      </c>
      <c r="L294" s="6">
        <v>564</v>
      </c>
      <c r="M294" s="7">
        <v>6.0000000000000001E-3</v>
      </c>
      <c r="N294" s="6">
        <f t="shared" ref="N294" si="147">H294*1%</f>
        <v>1170.8411741494135</v>
      </c>
      <c r="O294" s="11">
        <f t="shared" si="130"/>
        <v>295.05197588565221</v>
      </c>
      <c r="P294" s="6">
        <f t="shared" si="131"/>
        <v>117379.169390827</v>
      </c>
      <c r="Q294" s="6" t="s">
        <v>0</v>
      </c>
      <c r="R294" s="6">
        <f t="shared" si="132"/>
        <v>559.99785692454293</v>
      </c>
    </row>
    <row r="295" spans="1:18" x14ac:dyDescent="0.35">
      <c r="A295" t="s">
        <v>298</v>
      </c>
    </row>
    <row r="296" spans="1:18" x14ac:dyDescent="0.35">
      <c r="A296" t="s">
        <v>299</v>
      </c>
    </row>
    <row r="297" spans="1:18" x14ac:dyDescent="0.35">
      <c r="A297" t="s">
        <v>300</v>
      </c>
    </row>
    <row r="298" spans="1:18" x14ac:dyDescent="0.35">
      <c r="A298" t="s">
        <v>301</v>
      </c>
    </row>
    <row r="299" spans="1:18" x14ac:dyDescent="0.35">
      <c r="A299" t="s">
        <v>302</v>
      </c>
    </row>
    <row r="300" spans="1:18" x14ac:dyDescent="0.35">
      <c r="A300" t="s">
        <v>303</v>
      </c>
    </row>
    <row r="301" spans="1:18" x14ac:dyDescent="0.35">
      <c r="A301" t="s">
        <v>304</v>
      </c>
    </row>
    <row r="302" spans="1:18" x14ac:dyDescent="0.35">
      <c r="A302" t="s">
        <v>305</v>
      </c>
    </row>
    <row r="303" spans="1:18" x14ac:dyDescent="0.35">
      <c r="A303" s="20" t="s">
        <v>306</v>
      </c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</row>
    <row r="304" spans="1:18" x14ac:dyDescent="0.35">
      <c r="A304" t="s">
        <v>307</v>
      </c>
    </row>
    <row r="305" spans="1:1" x14ac:dyDescent="0.35">
      <c r="A305" t="s">
        <v>308</v>
      </c>
    </row>
    <row r="306" spans="1:1" x14ac:dyDescent="0.35">
      <c r="A306" t="s">
        <v>309</v>
      </c>
    </row>
    <row r="307" spans="1:1" x14ac:dyDescent="0.35">
      <c r="A307" t="s">
        <v>310</v>
      </c>
    </row>
    <row r="308" spans="1:1" x14ac:dyDescent="0.35">
      <c r="A308" t="s">
        <v>311</v>
      </c>
    </row>
    <row r="309" spans="1:1" x14ac:dyDescent="0.35">
      <c r="A309" t="s">
        <v>312</v>
      </c>
    </row>
    <row r="310" spans="1:1" x14ac:dyDescent="0.35">
      <c r="A310" t="s">
        <v>313</v>
      </c>
    </row>
    <row r="311" spans="1:1" x14ac:dyDescent="0.35">
      <c r="A311" t="s">
        <v>314</v>
      </c>
    </row>
    <row r="312" spans="1:1" x14ac:dyDescent="0.35">
      <c r="A312" t="s">
        <v>315</v>
      </c>
    </row>
    <row r="313" spans="1:1" x14ac:dyDescent="0.35">
      <c r="A313" t="s">
        <v>316</v>
      </c>
    </row>
    <row r="314" spans="1:1" x14ac:dyDescent="0.35">
      <c r="A314" t="s">
        <v>317</v>
      </c>
    </row>
    <row r="315" spans="1:1" x14ac:dyDescent="0.35">
      <c r="A315" t="s">
        <v>318</v>
      </c>
    </row>
    <row r="316" spans="1:1" x14ac:dyDescent="0.35">
      <c r="A316" t="s">
        <v>319</v>
      </c>
    </row>
    <row r="317" spans="1:1" x14ac:dyDescent="0.35">
      <c r="A317" t="s">
        <v>320</v>
      </c>
    </row>
    <row r="318" spans="1:1" x14ac:dyDescent="0.35">
      <c r="A318" t="s">
        <v>321</v>
      </c>
    </row>
    <row r="319" spans="1:1" x14ac:dyDescent="0.35">
      <c r="A319" t="s">
        <v>322</v>
      </c>
    </row>
    <row r="320" spans="1:1" x14ac:dyDescent="0.35">
      <c r="A320" t="s">
        <v>323</v>
      </c>
    </row>
    <row r="321" spans="1:18" x14ac:dyDescent="0.35">
      <c r="A321" t="s">
        <v>324</v>
      </c>
    </row>
    <row r="322" spans="1:18" x14ac:dyDescent="0.35">
      <c r="A322" t="s">
        <v>325</v>
      </c>
    </row>
    <row r="323" spans="1:18" x14ac:dyDescent="0.35">
      <c r="A323" t="s">
        <v>326</v>
      </c>
    </row>
    <row r="324" spans="1:18" x14ac:dyDescent="0.35">
      <c r="A324" t="s">
        <v>327</v>
      </c>
    </row>
    <row r="325" spans="1:18" x14ac:dyDescent="0.35">
      <c r="A325" t="s">
        <v>328</v>
      </c>
    </row>
    <row r="326" spans="1:18" x14ac:dyDescent="0.35">
      <c r="A326" t="s">
        <v>329</v>
      </c>
    </row>
    <row r="327" spans="1:18" x14ac:dyDescent="0.35">
      <c r="A327" t="s">
        <v>330</v>
      </c>
    </row>
    <row r="328" spans="1:18" x14ac:dyDescent="0.35">
      <c r="A328" t="s">
        <v>331</v>
      </c>
    </row>
    <row r="329" spans="1:18" x14ac:dyDescent="0.35">
      <c r="A329" t="s">
        <v>332</v>
      </c>
    </row>
    <row r="330" spans="1:18" x14ac:dyDescent="0.35">
      <c r="A330" t="s">
        <v>333</v>
      </c>
    </row>
    <row r="331" spans="1:18" x14ac:dyDescent="0.35">
      <c r="A331" t="s">
        <v>334</v>
      </c>
    </row>
    <row r="332" spans="1:18" x14ac:dyDescent="0.35">
      <c r="A332" t="s">
        <v>335</v>
      </c>
    </row>
    <row r="333" spans="1:18" x14ac:dyDescent="0.35">
      <c r="A333" s="20" t="s">
        <v>336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</row>
    <row r="334" spans="1:18" x14ac:dyDescent="0.35">
      <c r="A334" t="s">
        <v>337</v>
      </c>
    </row>
    <row r="335" spans="1:18" x14ac:dyDescent="0.35">
      <c r="A335" t="s">
        <v>338</v>
      </c>
    </row>
    <row r="336" spans="1:18" x14ac:dyDescent="0.35">
      <c r="A336" t="s">
        <v>339</v>
      </c>
    </row>
    <row r="337" spans="1:1" x14ac:dyDescent="0.35">
      <c r="A337" t="s">
        <v>340</v>
      </c>
    </row>
    <row r="338" spans="1:1" x14ac:dyDescent="0.35">
      <c r="A338" t="s">
        <v>341</v>
      </c>
    </row>
    <row r="339" spans="1:1" x14ac:dyDescent="0.35">
      <c r="A339" t="s">
        <v>342</v>
      </c>
    </row>
    <row r="340" spans="1:1" x14ac:dyDescent="0.35">
      <c r="A340" t="s">
        <v>343</v>
      </c>
    </row>
    <row r="341" spans="1:1" x14ac:dyDescent="0.35">
      <c r="A341" t="s">
        <v>344</v>
      </c>
    </row>
    <row r="342" spans="1:1" x14ac:dyDescent="0.35">
      <c r="A342" t="s">
        <v>345</v>
      </c>
    </row>
    <row r="343" spans="1:1" x14ac:dyDescent="0.35">
      <c r="A343" t="s">
        <v>346</v>
      </c>
    </row>
    <row r="344" spans="1:1" x14ac:dyDescent="0.35">
      <c r="A344" t="s">
        <v>347</v>
      </c>
    </row>
    <row r="345" spans="1:1" x14ac:dyDescent="0.35">
      <c r="A345" t="s">
        <v>348</v>
      </c>
    </row>
    <row r="346" spans="1:1" x14ac:dyDescent="0.35">
      <c r="A346" t="s">
        <v>349</v>
      </c>
    </row>
    <row r="347" spans="1:1" x14ac:dyDescent="0.35">
      <c r="A347" t="s">
        <v>350</v>
      </c>
    </row>
    <row r="348" spans="1:1" x14ac:dyDescent="0.35">
      <c r="A348" t="s">
        <v>351</v>
      </c>
    </row>
    <row r="349" spans="1:1" x14ac:dyDescent="0.35">
      <c r="A349" t="s">
        <v>352</v>
      </c>
    </row>
    <row r="350" spans="1:1" x14ac:dyDescent="0.35">
      <c r="A350" t="s">
        <v>353</v>
      </c>
    </row>
    <row r="351" spans="1:1" x14ac:dyDescent="0.35">
      <c r="A351" t="s">
        <v>354</v>
      </c>
    </row>
    <row r="352" spans="1:1" x14ac:dyDescent="0.35">
      <c r="A352" t="s">
        <v>355</v>
      </c>
    </row>
    <row r="353" spans="1:18" x14ac:dyDescent="0.35">
      <c r="A353" t="s">
        <v>356</v>
      </c>
    </row>
    <row r="354" spans="1:18" x14ac:dyDescent="0.35">
      <c r="A354" t="s">
        <v>357</v>
      </c>
    </row>
    <row r="355" spans="1:18" x14ac:dyDescent="0.35">
      <c r="A355" t="s">
        <v>358</v>
      </c>
    </row>
    <row r="356" spans="1:18" x14ac:dyDescent="0.35">
      <c r="A356" t="s">
        <v>359</v>
      </c>
    </row>
    <row r="357" spans="1:18" x14ac:dyDescent="0.35">
      <c r="A357" t="s">
        <v>360</v>
      </c>
    </row>
    <row r="358" spans="1:18" x14ac:dyDescent="0.35">
      <c r="A358" t="s">
        <v>361</v>
      </c>
    </row>
    <row r="359" spans="1:18" x14ac:dyDescent="0.35">
      <c r="A359" t="s">
        <v>362</v>
      </c>
    </row>
    <row r="360" spans="1:18" x14ac:dyDescent="0.35">
      <c r="A360" t="s">
        <v>363</v>
      </c>
    </row>
    <row r="361" spans="1:18" x14ac:dyDescent="0.35">
      <c r="A361" t="s">
        <v>364</v>
      </c>
    </row>
    <row r="362" spans="1:18" x14ac:dyDescent="0.35">
      <c r="A362" t="s">
        <v>365</v>
      </c>
    </row>
    <row r="363" spans="1:18" x14ac:dyDescent="0.35">
      <c r="A363" s="20" t="s">
        <v>366</v>
      </c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</row>
    <row r="364" spans="1:18" x14ac:dyDescent="0.35">
      <c r="A364" t="s">
        <v>367</v>
      </c>
    </row>
    <row r="365" spans="1:18" x14ac:dyDescent="0.35">
      <c r="A365" t="s">
        <v>368</v>
      </c>
    </row>
    <row r="366" spans="1:18" x14ac:dyDescent="0.35">
      <c r="A366" t="s">
        <v>369</v>
      </c>
    </row>
    <row r="367" spans="1:18" x14ac:dyDescent="0.35">
      <c r="A367" t="s">
        <v>370</v>
      </c>
    </row>
    <row r="368" spans="1:18" x14ac:dyDescent="0.35">
      <c r="A368" t="s">
        <v>371</v>
      </c>
    </row>
    <row r="369" spans="1:1" x14ac:dyDescent="0.35">
      <c r="A369" t="s">
        <v>372</v>
      </c>
    </row>
    <row r="370" spans="1:1" x14ac:dyDescent="0.35">
      <c r="A370" t="s">
        <v>373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003"/>
  <sheetViews>
    <sheetView workbookViewId="0">
      <selection activeCell="F21" sqref="F20:F21"/>
    </sheetView>
  </sheetViews>
  <sheetFormatPr defaultRowHeight="14.5" x14ac:dyDescent="0.35"/>
  <cols>
    <col min="3" max="3" width="8.7265625" style="21"/>
    <col min="4" max="5" width="16.1796875" bestFit="1" customWidth="1"/>
    <col min="6" max="7" width="14.81640625" bestFit="1" customWidth="1"/>
    <col min="8" max="8" width="16.1796875" bestFit="1" customWidth="1"/>
  </cols>
  <sheetData>
    <row r="2" spans="3:8" x14ac:dyDescent="0.35">
      <c r="C2" s="21" t="s">
        <v>2369</v>
      </c>
      <c r="D2" t="s">
        <v>2371</v>
      </c>
      <c r="E2" t="s">
        <v>2372</v>
      </c>
      <c r="F2" t="s">
        <v>2373</v>
      </c>
      <c r="G2" t="s">
        <v>2374</v>
      </c>
      <c r="H2" t="s">
        <v>2375</v>
      </c>
    </row>
    <row r="3" spans="3:8" x14ac:dyDescent="0.35">
      <c r="C3" s="21" t="s">
        <v>2370</v>
      </c>
    </row>
    <row r="4" spans="3:8" x14ac:dyDescent="0.35">
      <c r="C4" s="21">
        <v>1</v>
      </c>
      <c r="D4" t="s">
        <v>374</v>
      </c>
      <c r="E4" t="s">
        <v>1372</v>
      </c>
      <c r="F4" t="s">
        <v>674</v>
      </c>
      <c r="G4" t="s">
        <v>1672</v>
      </c>
      <c r="H4" t="s">
        <v>974</v>
      </c>
    </row>
    <row r="5" spans="3:8" x14ac:dyDescent="0.35">
      <c r="C5" s="21">
        <v>2</v>
      </c>
      <c r="D5" t="s">
        <v>375</v>
      </c>
      <c r="E5" t="s">
        <v>1373</v>
      </c>
      <c r="F5" t="s">
        <v>675</v>
      </c>
      <c r="G5" t="s">
        <v>1673</v>
      </c>
      <c r="H5" t="s">
        <v>975</v>
      </c>
    </row>
    <row r="6" spans="3:8" x14ac:dyDescent="0.35">
      <c r="C6" s="21">
        <v>3</v>
      </c>
      <c r="D6" t="s">
        <v>376</v>
      </c>
      <c r="E6" t="s">
        <v>1374</v>
      </c>
      <c r="F6" t="s">
        <v>676</v>
      </c>
      <c r="G6" t="s">
        <v>1674</v>
      </c>
      <c r="H6" t="s">
        <v>976</v>
      </c>
    </row>
    <row r="7" spans="3:8" x14ac:dyDescent="0.35">
      <c r="C7" s="21">
        <v>4</v>
      </c>
      <c r="D7" t="s">
        <v>377</v>
      </c>
      <c r="E7" t="s">
        <v>1375</v>
      </c>
      <c r="F7" t="s">
        <v>677</v>
      </c>
      <c r="G7" t="s">
        <v>1675</v>
      </c>
      <c r="H7" t="s">
        <v>977</v>
      </c>
    </row>
    <row r="8" spans="3:8" x14ac:dyDescent="0.35">
      <c r="C8" s="21">
        <v>5</v>
      </c>
      <c r="D8" t="s">
        <v>378</v>
      </c>
      <c r="E8" t="s">
        <v>1376</v>
      </c>
      <c r="F8" t="s">
        <v>678</v>
      </c>
      <c r="G8" t="s">
        <v>1676</v>
      </c>
      <c r="H8" t="s">
        <v>978</v>
      </c>
    </row>
    <row r="9" spans="3:8" x14ac:dyDescent="0.35">
      <c r="C9" s="21">
        <v>6</v>
      </c>
      <c r="D9" t="s">
        <v>379</v>
      </c>
      <c r="E9" t="s">
        <v>1377</v>
      </c>
      <c r="F9" t="s">
        <v>679</v>
      </c>
      <c r="G9" t="s">
        <v>1677</v>
      </c>
      <c r="H9" t="s">
        <v>979</v>
      </c>
    </row>
    <row r="10" spans="3:8" x14ac:dyDescent="0.35">
      <c r="C10" s="21">
        <v>7</v>
      </c>
      <c r="D10" t="s">
        <v>380</v>
      </c>
      <c r="E10" t="s">
        <v>1378</v>
      </c>
      <c r="F10" t="s">
        <v>680</v>
      </c>
      <c r="G10" t="s">
        <v>1678</v>
      </c>
      <c r="H10" t="s">
        <v>980</v>
      </c>
    </row>
    <row r="11" spans="3:8" x14ac:dyDescent="0.35">
      <c r="C11" s="21">
        <v>8</v>
      </c>
      <c r="D11" t="s">
        <v>381</v>
      </c>
      <c r="E11" t="s">
        <v>1379</v>
      </c>
      <c r="F11" t="s">
        <v>681</v>
      </c>
      <c r="G11" t="s">
        <v>1679</v>
      </c>
      <c r="H11" t="s">
        <v>981</v>
      </c>
    </row>
    <row r="12" spans="3:8" x14ac:dyDescent="0.35">
      <c r="C12" s="21">
        <v>9</v>
      </c>
      <c r="D12" t="s">
        <v>382</v>
      </c>
      <c r="E12" t="s">
        <v>1380</v>
      </c>
      <c r="F12" t="s">
        <v>682</v>
      </c>
      <c r="G12" t="s">
        <v>1680</v>
      </c>
      <c r="H12" t="s">
        <v>982</v>
      </c>
    </row>
    <row r="13" spans="3:8" x14ac:dyDescent="0.35">
      <c r="C13" s="21">
        <v>10</v>
      </c>
      <c r="D13" t="s">
        <v>383</v>
      </c>
      <c r="E13" t="s">
        <v>1381</v>
      </c>
      <c r="F13" t="s">
        <v>683</v>
      </c>
      <c r="G13" t="s">
        <v>1681</v>
      </c>
      <c r="H13" t="s">
        <v>983</v>
      </c>
    </row>
    <row r="14" spans="3:8" x14ac:dyDescent="0.35">
      <c r="C14" s="21">
        <v>11</v>
      </c>
      <c r="D14" t="s">
        <v>384</v>
      </c>
      <c r="E14" t="s">
        <v>1382</v>
      </c>
      <c r="F14" t="s">
        <v>684</v>
      </c>
      <c r="G14" t="s">
        <v>1682</v>
      </c>
      <c r="H14" t="s">
        <v>984</v>
      </c>
    </row>
    <row r="15" spans="3:8" x14ac:dyDescent="0.35">
      <c r="C15" s="21">
        <v>12</v>
      </c>
      <c r="D15" t="s">
        <v>385</v>
      </c>
      <c r="E15" t="s">
        <v>1383</v>
      </c>
      <c r="F15" t="s">
        <v>685</v>
      </c>
      <c r="G15" t="s">
        <v>1683</v>
      </c>
      <c r="H15" t="s">
        <v>985</v>
      </c>
    </row>
    <row r="16" spans="3:8" x14ac:dyDescent="0.35">
      <c r="C16" s="21">
        <v>13</v>
      </c>
      <c r="D16" t="s">
        <v>386</v>
      </c>
      <c r="E16" t="s">
        <v>1384</v>
      </c>
      <c r="F16" t="s">
        <v>686</v>
      </c>
      <c r="G16" t="s">
        <v>1684</v>
      </c>
      <c r="H16" t="s">
        <v>986</v>
      </c>
    </row>
    <row r="17" spans="3:8" x14ac:dyDescent="0.35">
      <c r="C17" s="21">
        <v>14</v>
      </c>
      <c r="D17" t="s">
        <v>387</v>
      </c>
      <c r="E17" t="s">
        <v>1385</v>
      </c>
      <c r="F17" t="s">
        <v>687</v>
      </c>
      <c r="G17" t="s">
        <v>1685</v>
      </c>
      <c r="H17" t="s">
        <v>987</v>
      </c>
    </row>
    <row r="18" spans="3:8" x14ac:dyDescent="0.35">
      <c r="C18" s="21">
        <v>15</v>
      </c>
      <c r="D18" t="s">
        <v>388</v>
      </c>
      <c r="E18" t="s">
        <v>1386</v>
      </c>
      <c r="F18" t="s">
        <v>688</v>
      </c>
      <c r="G18" t="s">
        <v>1686</v>
      </c>
      <c r="H18" t="s">
        <v>988</v>
      </c>
    </row>
    <row r="19" spans="3:8" x14ac:dyDescent="0.35">
      <c r="C19" s="21">
        <v>16</v>
      </c>
      <c r="D19" t="s">
        <v>389</v>
      </c>
      <c r="E19" t="s">
        <v>1387</v>
      </c>
      <c r="F19" t="s">
        <v>689</v>
      </c>
      <c r="G19" t="s">
        <v>1687</v>
      </c>
      <c r="H19" t="s">
        <v>989</v>
      </c>
    </row>
    <row r="20" spans="3:8" x14ac:dyDescent="0.35">
      <c r="C20" s="21">
        <v>17</v>
      </c>
      <c r="D20" t="s">
        <v>390</v>
      </c>
      <c r="E20" t="s">
        <v>1388</v>
      </c>
      <c r="F20" t="s">
        <v>690</v>
      </c>
      <c r="G20" t="s">
        <v>1688</v>
      </c>
      <c r="H20" t="s">
        <v>990</v>
      </c>
    </row>
    <row r="21" spans="3:8" x14ac:dyDescent="0.35">
      <c r="C21" s="21">
        <v>18</v>
      </c>
      <c r="D21" t="s">
        <v>391</v>
      </c>
      <c r="E21" t="s">
        <v>1389</v>
      </c>
      <c r="F21" t="s">
        <v>691</v>
      </c>
      <c r="G21" t="s">
        <v>1689</v>
      </c>
      <c r="H21" t="s">
        <v>991</v>
      </c>
    </row>
    <row r="22" spans="3:8" x14ac:dyDescent="0.35">
      <c r="C22" s="21">
        <v>19</v>
      </c>
      <c r="D22" t="s">
        <v>392</v>
      </c>
      <c r="E22" t="s">
        <v>1390</v>
      </c>
      <c r="F22" t="s">
        <v>692</v>
      </c>
      <c r="G22" t="s">
        <v>1690</v>
      </c>
      <c r="H22" t="s">
        <v>992</v>
      </c>
    </row>
    <row r="23" spans="3:8" x14ac:dyDescent="0.35">
      <c r="C23" s="21">
        <v>20</v>
      </c>
      <c r="D23" t="s">
        <v>393</v>
      </c>
      <c r="E23" t="s">
        <v>1391</v>
      </c>
      <c r="F23" t="s">
        <v>693</v>
      </c>
      <c r="G23" t="s">
        <v>1691</v>
      </c>
      <c r="H23" t="s">
        <v>993</v>
      </c>
    </row>
    <row r="24" spans="3:8" x14ac:dyDescent="0.35">
      <c r="C24" s="21">
        <v>21</v>
      </c>
      <c r="D24" t="s">
        <v>394</v>
      </c>
      <c r="E24" t="s">
        <v>1392</v>
      </c>
      <c r="F24" t="s">
        <v>694</v>
      </c>
      <c r="G24" t="s">
        <v>1692</v>
      </c>
      <c r="H24" t="s">
        <v>994</v>
      </c>
    </row>
    <row r="25" spans="3:8" x14ac:dyDescent="0.35">
      <c r="C25" s="21">
        <v>22</v>
      </c>
      <c r="D25" t="s">
        <v>395</v>
      </c>
      <c r="E25" t="s">
        <v>1393</v>
      </c>
      <c r="F25" t="s">
        <v>695</v>
      </c>
      <c r="G25" t="s">
        <v>1693</v>
      </c>
      <c r="H25" t="s">
        <v>995</v>
      </c>
    </row>
    <row r="26" spans="3:8" x14ac:dyDescent="0.35">
      <c r="C26" s="21">
        <v>23</v>
      </c>
      <c r="D26" t="s">
        <v>396</v>
      </c>
      <c r="E26" t="s">
        <v>1394</v>
      </c>
      <c r="F26" t="s">
        <v>696</v>
      </c>
      <c r="G26" t="s">
        <v>1694</v>
      </c>
      <c r="H26" t="s">
        <v>996</v>
      </c>
    </row>
    <row r="27" spans="3:8" x14ac:dyDescent="0.35">
      <c r="C27" s="21">
        <v>24</v>
      </c>
      <c r="D27" t="s">
        <v>397</v>
      </c>
      <c r="E27" t="s">
        <v>1395</v>
      </c>
      <c r="F27" t="s">
        <v>697</v>
      </c>
      <c r="G27" t="s">
        <v>1695</v>
      </c>
      <c r="H27" t="s">
        <v>997</v>
      </c>
    </row>
    <row r="28" spans="3:8" x14ac:dyDescent="0.35">
      <c r="C28" s="21">
        <v>25</v>
      </c>
      <c r="D28" t="s">
        <v>398</v>
      </c>
      <c r="E28" t="s">
        <v>1396</v>
      </c>
      <c r="F28" t="s">
        <v>698</v>
      </c>
      <c r="G28" t="s">
        <v>1696</v>
      </c>
      <c r="H28" t="s">
        <v>998</v>
      </c>
    </row>
    <row r="29" spans="3:8" x14ac:dyDescent="0.35">
      <c r="C29" s="21">
        <v>26</v>
      </c>
      <c r="D29" t="s">
        <v>399</v>
      </c>
      <c r="E29" t="s">
        <v>1397</v>
      </c>
      <c r="F29" t="s">
        <v>699</v>
      </c>
      <c r="G29" t="s">
        <v>1697</v>
      </c>
      <c r="H29" t="s">
        <v>999</v>
      </c>
    </row>
    <row r="30" spans="3:8" x14ac:dyDescent="0.35">
      <c r="C30" s="21">
        <v>27</v>
      </c>
      <c r="D30" t="s">
        <v>400</v>
      </c>
      <c r="E30" t="s">
        <v>1398</v>
      </c>
      <c r="F30" t="s">
        <v>700</v>
      </c>
      <c r="G30" t="s">
        <v>1698</v>
      </c>
      <c r="H30" t="s">
        <v>1000</v>
      </c>
    </row>
    <row r="31" spans="3:8" x14ac:dyDescent="0.35">
      <c r="C31" s="21">
        <v>28</v>
      </c>
      <c r="D31" t="s">
        <v>401</v>
      </c>
      <c r="E31" t="s">
        <v>1399</v>
      </c>
      <c r="F31" t="s">
        <v>701</v>
      </c>
      <c r="G31" t="s">
        <v>1699</v>
      </c>
      <c r="H31" t="s">
        <v>1001</v>
      </c>
    </row>
    <row r="32" spans="3:8" x14ac:dyDescent="0.35">
      <c r="C32" s="21">
        <v>29</v>
      </c>
      <c r="D32" t="s">
        <v>402</v>
      </c>
      <c r="E32" t="s">
        <v>1400</v>
      </c>
      <c r="F32" t="s">
        <v>702</v>
      </c>
      <c r="G32" t="s">
        <v>1700</v>
      </c>
      <c r="H32" t="s">
        <v>1002</v>
      </c>
    </row>
    <row r="33" spans="3:8" x14ac:dyDescent="0.35">
      <c r="C33" s="21">
        <v>30</v>
      </c>
      <c r="D33" t="s">
        <v>403</v>
      </c>
      <c r="E33" t="s">
        <v>1401</v>
      </c>
      <c r="F33" t="s">
        <v>703</v>
      </c>
      <c r="G33" t="s">
        <v>1701</v>
      </c>
      <c r="H33" t="s">
        <v>1003</v>
      </c>
    </row>
    <row r="34" spans="3:8" x14ac:dyDescent="0.35">
      <c r="C34" s="21">
        <v>31</v>
      </c>
      <c r="D34" t="s">
        <v>404</v>
      </c>
      <c r="E34" t="s">
        <v>1402</v>
      </c>
      <c r="F34" t="s">
        <v>704</v>
      </c>
      <c r="G34" t="s">
        <v>1702</v>
      </c>
      <c r="H34" t="s">
        <v>1004</v>
      </c>
    </row>
    <row r="35" spans="3:8" x14ac:dyDescent="0.35">
      <c r="C35" s="21">
        <v>32</v>
      </c>
      <c r="D35" t="s">
        <v>405</v>
      </c>
      <c r="E35" t="s">
        <v>1403</v>
      </c>
      <c r="F35" t="s">
        <v>705</v>
      </c>
      <c r="G35" t="s">
        <v>1703</v>
      </c>
      <c r="H35" t="s">
        <v>1005</v>
      </c>
    </row>
    <row r="36" spans="3:8" x14ac:dyDescent="0.35">
      <c r="C36" s="21">
        <v>33</v>
      </c>
      <c r="D36" t="s">
        <v>406</v>
      </c>
      <c r="E36" t="s">
        <v>1404</v>
      </c>
      <c r="F36" t="s">
        <v>706</v>
      </c>
      <c r="G36" t="s">
        <v>1704</v>
      </c>
      <c r="H36" t="s">
        <v>1006</v>
      </c>
    </row>
    <row r="37" spans="3:8" x14ac:dyDescent="0.35">
      <c r="C37" s="21">
        <v>34</v>
      </c>
      <c r="D37" t="s">
        <v>407</v>
      </c>
      <c r="E37" t="s">
        <v>1405</v>
      </c>
      <c r="F37" t="s">
        <v>707</v>
      </c>
      <c r="G37" t="s">
        <v>1705</v>
      </c>
      <c r="H37" t="s">
        <v>1007</v>
      </c>
    </row>
    <row r="38" spans="3:8" x14ac:dyDescent="0.35">
      <c r="C38" s="21">
        <v>35</v>
      </c>
      <c r="D38" t="s">
        <v>408</v>
      </c>
      <c r="E38" t="s">
        <v>1406</v>
      </c>
      <c r="F38" t="s">
        <v>708</v>
      </c>
      <c r="G38" t="s">
        <v>1706</v>
      </c>
      <c r="H38" t="s">
        <v>1008</v>
      </c>
    </row>
    <row r="39" spans="3:8" x14ac:dyDescent="0.35">
      <c r="C39" s="21">
        <v>36</v>
      </c>
      <c r="D39" t="s">
        <v>409</v>
      </c>
      <c r="E39" t="s">
        <v>1407</v>
      </c>
      <c r="F39" t="s">
        <v>709</v>
      </c>
      <c r="G39" t="s">
        <v>1707</v>
      </c>
      <c r="H39" t="s">
        <v>1009</v>
      </c>
    </row>
    <row r="40" spans="3:8" x14ac:dyDescent="0.35">
      <c r="C40" s="21">
        <v>37</v>
      </c>
      <c r="D40" t="s">
        <v>410</v>
      </c>
      <c r="E40" t="s">
        <v>1408</v>
      </c>
      <c r="F40" t="s">
        <v>710</v>
      </c>
      <c r="G40" t="s">
        <v>1708</v>
      </c>
      <c r="H40" t="s">
        <v>1010</v>
      </c>
    </row>
    <row r="41" spans="3:8" x14ac:dyDescent="0.35">
      <c r="C41" s="21">
        <v>38</v>
      </c>
      <c r="D41" t="s">
        <v>411</v>
      </c>
      <c r="E41" t="s">
        <v>1409</v>
      </c>
      <c r="F41" t="s">
        <v>711</v>
      </c>
      <c r="G41" t="s">
        <v>1709</v>
      </c>
      <c r="H41" t="s">
        <v>1011</v>
      </c>
    </row>
    <row r="42" spans="3:8" x14ac:dyDescent="0.35">
      <c r="C42" s="21">
        <v>39</v>
      </c>
      <c r="D42" t="s">
        <v>412</v>
      </c>
      <c r="E42" t="s">
        <v>1410</v>
      </c>
      <c r="F42" t="s">
        <v>712</v>
      </c>
      <c r="G42" t="s">
        <v>1710</v>
      </c>
      <c r="H42" t="s">
        <v>1012</v>
      </c>
    </row>
    <row r="43" spans="3:8" x14ac:dyDescent="0.35">
      <c r="C43" s="21">
        <v>40</v>
      </c>
      <c r="D43" t="s">
        <v>413</v>
      </c>
      <c r="E43" t="s">
        <v>1411</v>
      </c>
      <c r="F43" t="s">
        <v>713</v>
      </c>
      <c r="G43" t="s">
        <v>1711</v>
      </c>
      <c r="H43" t="s">
        <v>1013</v>
      </c>
    </row>
    <row r="44" spans="3:8" x14ac:dyDescent="0.35">
      <c r="C44" s="21">
        <v>41</v>
      </c>
      <c r="D44" t="s">
        <v>414</v>
      </c>
      <c r="E44" t="s">
        <v>1412</v>
      </c>
      <c r="F44" t="s">
        <v>714</v>
      </c>
      <c r="G44" t="s">
        <v>1712</v>
      </c>
      <c r="H44" t="s">
        <v>1014</v>
      </c>
    </row>
    <row r="45" spans="3:8" x14ac:dyDescent="0.35">
      <c r="C45" s="21">
        <v>42</v>
      </c>
      <c r="D45" t="s">
        <v>415</v>
      </c>
      <c r="E45" t="s">
        <v>1413</v>
      </c>
      <c r="F45" t="s">
        <v>715</v>
      </c>
      <c r="G45" t="s">
        <v>1713</v>
      </c>
      <c r="H45" t="s">
        <v>1015</v>
      </c>
    </row>
    <row r="46" spans="3:8" x14ac:dyDescent="0.35">
      <c r="C46" s="21">
        <v>43</v>
      </c>
      <c r="D46" t="s">
        <v>416</v>
      </c>
      <c r="E46" t="s">
        <v>1414</v>
      </c>
      <c r="F46" t="s">
        <v>716</v>
      </c>
      <c r="G46" t="s">
        <v>1714</v>
      </c>
      <c r="H46" t="s">
        <v>1016</v>
      </c>
    </row>
    <row r="47" spans="3:8" x14ac:dyDescent="0.35">
      <c r="C47" s="21">
        <v>44</v>
      </c>
      <c r="D47" t="s">
        <v>417</v>
      </c>
      <c r="E47" t="s">
        <v>1415</v>
      </c>
      <c r="F47" t="s">
        <v>717</v>
      </c>
      <c r="G47" t="s">
        <v>1715</v>
      </c>
      <c r="H47" t="s">
        <v>1017</v>
      </c>
    </row>
    <row r="48" spans="3:8" x14ac:dyDescent="0.35">
      <c r="C48" s="21">
        <v>45</v>
      </c>
      <c r="D48" t="s">
        <v>418</v>
      </c>
      <c r="E48" t="s">
        <v>1416</v>
      </c>
      <c r="F48" t="s">
        <v>718</v>
      </c>
      <c r="G48" t="s">
        <v>1716</v>
      </c>
      <c r="H48" t="s">
        <v>1018</v>
      </c>
    </row>
    <row r="49" spans="3:8" x14ac:dyDescent="0.35">
      <c r="C49" s="21">
        <v>46</v>
      </c>
      <c r="D49" t="s">
        <v>419</v>
      </c>
      <c r="E49" t="s">
        <v>1417</v>
      </c>
      <c r="F49" t="s">
        <v>719</v>
      </c>
      <c r="G49" t="s">
        <v>1717</v>
      </c>
      <c r="H49" t="s">
        <v>1019</v>
      </c>
    </row>
    <row r="50" spans="3:8" x14ac:dyDescent="0.35">
      <c r="C50" s="21">
        <v>47</v>
      </c>
      <c r="D50" t="s">
        <v>420</v>
      </c>
      <c r="E50" t="s">
        <v>1418</v>
      </c>
      <c r="F50" t="s">
        <v>720</v>
      </c>
      <c r="G50" t="s">
        <v>1718</v>
      </c>
      <c r="H50" t="s">
        <v>1020</v>
      </c>
    </row>
    <row r="51" spans="3:8" x14ac:dyDescent="0.35">
      <c r="C51" s="21">
        <v>48</v>
      </c>
      <c r="D51" t="s">
        <v>421</v>
      </c>
      <c r="E51" t="s">
        <v>1419</v>
      </c>
      <c r="F51" t="s">
        <v>721</v>
      </c>
      <c r="G51" t="s">
        <v>1719</v>
      </c>
      <c r="H51" t="s">
        <v>1021</v>
      </c>
    </row>
    <row r="52" spans="3:8" x14ac:dyDescent="0.35">
      <c r="C52" s="21">
        <v>49</v>
      </c>
      <c r="D52" t="s">
        <v>422</v>
      </c>
      <c r="E52" t="s">
        <v>1420</v>
      </c>
      <c r="F52" t="s">
        <v>722</v>
      </c>
      <c r="G52" t="s">
        <v>1720</v>
      </c>
      <c r="H52" t="s">
        <v>1022</v>
      </c>
    </row>
    <row r="53" spans="3:8" x14ac:dyDescent="0.35">
      <c r="C53" s="21">
        <v>50</v>
      </c>
      <c r="D53" t="s">
        <v>423</v>
      </c>
      <c r="E53" t="s">
        <v>1421</v>
      </c>
      <c r="F53" t="s">
        <v>723</v>
      </c>
      <c r="G53" t="s">
        <v>1721</v>
      </c>
      <c r="H53" t="s">
        <v>1023</v>
      </c>
    </row>
    <row r="54" spans="3:8" x14ac:dyDescent="0.35">
      <c r="C54" s="21">
        <v>51</v>
      </c>
      <c r="D54" t="s">
        <v>424</v>
      </c>
      <c r="E54" t="s">
        <v>1422</v>
      </c>
      <c r="F54" t="s">
        <v>724</v>
      </c>
      <c r="G54" t="s">
        <v>1722</v>
      </c>
      <c r="H54" t="s">
        <v>1024</v>
      </c>
    </row>
    <row r="55" spans="3:8" x14ac:dyDescent="0.35">
      <c r="C55" s="21">
        <v>52</v>
      </c>
      <c r="D55" t="s">
        <v>425</v>
      </c>
      <c r="E55" t="s">
        <v>1423</v>
      </c>
      <c r="F55" t="s">
        <v>725</v>
      </c>
      <c r="G55" t="s">
        <v>1723</v>
      </c>
      <c r="H55" t="s">
        <v>1025</v>
      </c>
    </row>
    <row r="56" spans="3:8" x14ac:dyDescent="0.35">
      <c r="C56" s="21">
        <v>53</v>
      </c>
      <c r="D56" t="s">
        <v>426</v>
      </c>
      <c r="E56" t="s">
        <v>1424</v>
      </c>
      <c r="F56" t="s">
        <v>726</v>
      </c>
      <c r="G56" t="s">
        <v>1724</v>
      </c>
      <c r="H56" t="s">
        <v>1026</v>
      </c>
    </row>
    <row r="57" spans="3:8" x14ac:dyDescent="0.35">
      <c r="C57" s="21">
        <v>54</v>
      </c>
      <c r="D57" t="s">
        <v>427</v>
      </c>
      <c r="E57" t="s">
        <v>1425</v>
      </c>
      <c r="F57" t="s">
        <v>727</v>
      </c>
      <c r="G57" t="s">
        <v>1725</v>
      </c>
      <c r="H57" t="s">
        <v>1027</v>
      </c>
    </row>
    <row r="58" spans="3:8" x14ac:dyDescent="0.35">
      <c r="C58" s="21">
        <v>55</v>
      </c>
      <c r="D58" t="s">
        <v>428</v>
      </c>
      <c r="E58" t="s">
        <v>1426</v>
      </c>
      <c r="F58" t="s">
        <v>728</v>
      </c>
      <c r="G58" t="s">
        <v>1726</v>
      </c>
      <c r="H58" t="s">
        <v>1028</v>
      </c>
    </row>
    <row r="59" spans="3:8" x14ac:dyDescent="0.35">
      <c r="C59" s="21">
        <v>56</v>
      </c>
      <c r="D59" t="s">
        <v>429</v>
      </c>
      <c r="E59" t="s">
        <v>1427</v>
      </c>
      <c r="F59" t="s">
        <v>729</v>
      </c>
      <c r="G59" t="s">
        <v>1727</v>
      </c>
      <c r="H59" t="s">
        <v>1029</v>
      </c>
    </row>
    <row r="60" spans="3:8" x14ac:dyDescent="0.35">
      <c r="C60" s="21">
        <v>57</v>
      </c>
      <c r="D60" t="s">
        <v>430</v>
      </c>
      <c r="E60" t="s">
        <v>1428</v>
      </c>
      <c r="F60" t="s">
        <v>730</v>
      </c>
      <c r="G60" t="s">
        <v>1728</v>
      </c>
      <c r="H60" t="s">
        <v>1030</v>
      </c>
    </row>
    <row r="61" spans="3:8" x14ac:dyDescent="0.35">
      <c r="C61" s="21">
        <v>58</v>
      </c>
      <c r="D61" t="s">
        <v>431</v>
      </c>
      <c r="E61" t="s">
        <v>1429</v>
      </c>
      <c r="F61" t="s">
        <v>731</v>
      </c>
      <c r="G61" t="s">
        <v>1729</v>
      </c>
      <c r="H61" t="s">
        <v>1031</v>
      </c>
    </row>
    <row r="62" spans="3:8" x14ac:dyDescent="0.35">
      <c r="C62" s="21">
        <v>59</v>
      </c>
      <c r="D62" t="s">
        <v>432</v>
      </c>
      <c r="E62" t="s">
        <v>1430</v>
      </c>
      <c r="F62" t="s">
        <v>732</v>
      </c>
      <c r="G62" t="s">
        <v>1730</v>
      </c>
      <c r="H62" t="s">
        <v>1032</v>
      </c>
    </row>
    <row r="63" spans="3:8" x14ac:dyDescent="0.35">
      <c r="C63" s="21">
        <v>60</v>
      </c>
      <c r="D63" t="s">
        <v>433</v>
      </c>
      <c r="E63" t="s">
        <v>1431</v>
      </c>
      <c r="F63" t="s">
        <v>733</v>
      </c>
      <c r="G63" t="s">
        <v>1731</v>
      </c>
      <c r="H63" t="s">
        <v>1033</v>
      </c>
    </row>
    <row r="64" spans="3:8" x14ac:dyDescent="0.35">
      <c r="C64" s="21">
        <v>61</v>
      </c>
      <c r="D64" t="s">
        <v>434</v>
      </c>
      <c r="E64" t="s">
        <v>1432</v>
      </c>
      <c r="F64" t="s">
        <v>734</v>
      </c>
      <c r="G64" t="s">
        <v>1732</v>
      </c>
      <c r="H64" t="s">
        <v>1034</v>
      </c>
    </row>
    <row r="65" spans="3:8" x14ac:dyDescent="0.35">
      <c r="C65" s="21">
        <v>62</v>
      </c>
      <c r="D65" t="s">
        <v>435</v>
      </c>
      <c r="E65" t="s">
        <v>1433</v>
      </c>
      <c r="F65" t="s">
        <v>735</v>
      </c>
      <c r="G65" t="s">
        <v>1733</v>
      </c>
      <c r="H65" t="s">
        <v>1035</v>
      </c>
    </row>
    <row r="66" spans="3:8" x14ac:dyDescent="0.35">
      <c r="C66" s="21">
        <v>63</v>
      </c>
      <c r="D66" t="s">
        <v>436</v>
      </c>
      <c r="E66" t="s">
        <v>1434</v>
      </c>
      <c r="F66" t="s">
        <v>736</v>
      </c>
      <c r="G66" t="s">
        <v>1734</v>
      </c>
      <c r="H66" t="s">
        <v>1036</v>
      </c>
    </row>
    <row r="67" spans="3:8" x14ac:dyDescent="0.35">
      <c r="C67" s="21">
        <v>64</v>
      </c>
      <c r="D67" t="s">
        <v>437</v>
      </c>
      <c r="E67" t="s">
        <v>1435</v>
      </c>
      <c r="F67" t="s">
        <v>737</v>
      </c>
      <c r="G67" t="s">
        <v>1735</v>
      </c>
      <c r="H67" t="s">
        <v>1037</v>
      </c>
    </row>
    <row r="68" spans="3:8" x14ac:dyDescent="0.35">
      <c r="C68" s="21">
        <v>65</v>
      </c>
      <c r="D68" t="s">
        <v>438</v>
      </c>
      <c r="E68" t="s">
        <v>1436</v>
      </c>
      <c r="F68" t="s">
        <v>738</v>
      </c>
      <c r="G68" t="s">
        <v>1736</v>
      </c>
      <c r="H68" t="s">
        <v>1038</v>
      </c>
    </row>
    <row r="69" spans="3:8" x14ac:dyDescent="0.35">
      <c r="C69" s="21">
        <v>66</v>
      </c>
      <c r="D69" t="s">
        <v>439</v>
      </c>
      <c r="E69" t="s">
        <v>1437</v>
      </c>
      <c r="F69" t="s">
        <v>739</v>
      </c>
      <c r="G69" t="s">
        <v>1737</v>
      </c>
      <c r="H69" t="s">
        <v>1039</v>
      </c>
    </row>
    <row r="70" spans="3:8" x14ac:dyDescent="0.35">
      <c r="C70" s="21">
        <v>67</v>
      </c>
      <c r="D70" t="s">
        <v>440</v>
      </c>
      <c r="E70" t="s">
        <v>1438</v>
      </c>
      <c r="F70" t="s">
        <v>740</v>
      </c>
      <c r="G70" t="s">
        <v>1738</v>
      </c>
      <c r="H70" t="s">
        <v>1040</v>
      </c>
    </row>
    <row r="71" spans="3:8" x14ac:dyDescent="0.35">
      <c r="C71" s="21">
        <v>68</v>
      </c>
      <c r="D71" t="s">
        <v>441</v>
      </c>
      <c r="E71" t="s">
        <v>1439</v>
      </c>
      <c r="F71" t="s">
        <v>741</v>
      </c>
      <c r="G71" t="s">
        <v>1739</v>
      </c>
      <c r="H71" t="s">
        <v>1041</v>
      </c>
    </row>
    <row r="72" spans="3:8" x14ac:dyDescent="0.35">
      <c r="C72" s="21">
        <v>69</v>
      </c>
      <c r="D72" t="s">
        <v>442</v>
      </c>
      <c r="E72" t="s">
        <v>1440</v>
      </c>
      <c r="F72" t="s">
        <v>742</v>
      </c>
      <c r="G72" t="s">
        <v>1740</v>
      </c>
      <c r="H72" t="s">
        <v>1042</v>
      </c>
    </row>
    <row r="73" spans="3:8" x14ac:dyDescent="0.35">
      <c r="C73" s="21">
        <v>70</v>
      </c>
      <c r="D73" t="s">
        <v>443</v>
      </c>
      <c r="E73" t="s">
        <v>1441</v>
      </c>
      <c r="F73" t="s">
        <v>743</v>
      </c>
      <c r="G73" t="s">
        <v>1741</v>
      </c>
      <c r="H73" t="s">
        <v>1043</v>
      </c>
    </row>
    <row r="74" spans="3:8" x14ac:dyDescent="0.35">
      <c r="C74" s="21">
        <v>71</v>
      </c>
      <c r="D74" t="s">
        <v>444</v>
      </c>
      <c r="E74" t="s">
        <v>1442</v>
      </c>
      <c r="F74" t="s">
        <v>744</v>
      </c>
      <c r="G74" t="s">
        <v>1742</v>
      </c>
      <c r="H74" t="s">
        <v>1044</v>
      </c>
    </row>
    <row r="75" spans="3:8" x14ac:dyDescent="0.35">
      <c r="C75" s="21">
        <v>72</v>
      </c>
      <c r="D75" t="s">
        <v>445</v>
      </c>
      <c r="E75" t="s">
        <v>1443</v>
      </c>
      <c r="F75" t="s">
        <v>745</v>
      </c>
      <c r="G75" t="s">
        <v>1743</v>
      </c>
      <c r="H75" t="s">
        <v>1045</v>
      </c>
    </row>
    <row r="76" spans="3:8" x14ac:dyDescent="0.35">
      <c r="C76" s="21">
        <v>73</v>
      </c>
      <c r="D76" t="s">
        <v>446</v>
      </c>
      <c r="E76" t="s">
        <v>1444</v>
      </c>
      <c r="F76" t="s">
        <v>746</v>
      </c>
      <c r="G76" t="s">
        <v>1744</v>
      </c>
      <c r="H76" t="s">
        <v>1046</v>
      </c>
    </row>
    <row r="77" spans="3:8" x14ac:dyDescent="0.35">
      <c r="C77" s="21">
        <v>74</v>
      </c>
      <c r="D77" t="s">
        <v>447</v>
      </c>
      <c r="E77" t="s">
        <v>1445</v>
      </c>
      <c r="F77" t="s">
        <v>747</v>
      </c>
      <c r="G77" t="s">
        <v>1745</v>
      </c>
      <c r="H77" t="s">
        <v>1047</v>
      </c>
    </row>
    <row r="78" spans="3:8" x14ac:dyDescent="0.35">
      <c r="C78" s="21">
        <v>75</v>
      </c>
      <c r="D78" t="s">
        <v>448</v>
      </c>
      <c r="E78" t="s">
        <v>1446</v>
      </c>
      <c r="F78" t="s">
        <v>748</v>
      </c>
      <c r="G78" t="s">
        <v>1746</v>
      </c>
      <c r="H78" t="s">
        <v>1048</v>
      </c>
    </row>
    <row r="79" spans="3:8" x14ac:dyDescent="0.35">
      <c r="C79" s="21">
        <v>76</v>
      </c>
      <c r="D79" t="s">
        <v>449</v>
      </c>
      <c r="E79" t="s">
        <v>1447</v>
      </c>
      <c r="F79" t="s">
        <v>749</v>
      </c>
      <c r="G79" t="s">
        <v>1747</v>
      </c>
      <c r="H79" t="s">
        <v>1049</v>
      </c>
    </row>
    <row r="80" spans="3:8" x14ac:dyDescent="0.35">
      <c r="C80" s="21">
        <v>77</v>
      </c>
      <c r="D80" t="s">
        <v>450</v>
      </c>
      <c r="E80" t="s">
        <v>1448</v>
      </c>
      <c r="F80" t="s">
        <v>750</v>
      </c>
      <c r="G80" t="s">
        <v>1748</v>
      </c>
      <c r="H80" t="s">
        <v>1050</v>
      </c>
    </row>
    <row r="81" spans="3:8" x14ac:dyDescent="0.35">
      <c r="C81" s="21">
        <v>78</v>
      </c>
      <c r="D81" t="s">
        <v>451</v>
      </c>
      <c r="E81" t="s">
        <v>1449</v>
      </c>
      <c r="F81" t="s">
        <v>751</v>
      </c>
      <c r="G81" t="s">
        <v>1749</v>
      </c>
      <c r="H81" t="s">
        <v>1051</v>
      </c>
    </row>
    <row r="82" spans="3:8" x14ac:dyDescent="0.35">
      <c r="C82" s="21">
        <v>79</v>
      </c>
      <c r="D82" t="s">
        <v>452</v>
      </c>
      <c r="E82" t="s">
        <v>1450</v>
      </c>
      <c r="F82" t="s">
        <v>752</v>
      </c>
      <c r="G82" t="s">
        <v>1750</v>
      </c>
      <c r="H82" t="s">
        <v>1052</v>
      </c>
    </row>
    <row r="83" spans="3:8" x14ac:dyDescent="0.35">
      <c r="C83" s="21">
        <v>80</v>
      </c>
      <c r="D83" t="s">
        <v>453</v>
      </c>
      <c r="E83" t="s">
        <v>1451</v>
      </c>
      <c r="F83" t="s">
        <v>753</v>
      </c>
      <c r="G83" t="s">
        <v>1751</v>
      </c>
      <c r="H83" t="s">
        <v>1053</v>
      </c>
    </row>
    <row r="84" spans="3:8" x14ac:dyDescent="0.35">
      <c r="C84" s="21">
        <v>81</v>
      </c>
      <c r="D84" t="s">
        <v>454</v>
      </c>
      <c r="E84" t="s">
        <v>1452</v>
      </c>
      <c r="F84" t="s">
        <v>754</v>
      </c>
      <c r="G84" t="s">
        <v>1752</v>
      </c>
      <c r="H84" t="s">
        <v>1054</v>
      </c>
    </row>
    <row r="85" spans="3:8" x14ac:dyDescent="0.35">
      <c r="C85" s="21">
        <v>82</v>
      </c>
      <c r="D85" t="s">
        <v>455</v>
      </c>
      <c r="E85" t="s">
        <v>1453</v>
      </c>
      <c r="F85" t="s">
        <v>755</v>
      </c>
      <c r="G85" t="s">
        <v>1753</v>
      </c>
      <c r="H85" t="s">
        <v>1055</v>
      </c>
    </row>
    <row r="86" spans="3:8" x14ac:dyDescent="0.35">
      <c r="C86" s="21">
        <v>83</v>
      </c>
      <c r="D86" t="s">
        <v>456</v>
      </c>
      <c r="E86" t="s">
        <v>1454</v>
      </c>
      <c r="F86" t="s">
        <v>756</v>
      </c>
      <c r="G86" t="s">
        <v>1754</v>
      </c>
      <c r="H86" t="s">
        <v>1056</v>
      </c>
    </row>
    <row r="87" spans="3:8" x14ac:dyDescent="0.35">
      <c r="C87" s="21">
        <v>84</v>
      </c>
      <c r="D87" t="s">
        <v>457</v>
      </c>
      <c r="E87" t="s">
        <v>1455</v>
      </c>
      <c r="F87" t="s">
        <v>757</v>
      </c>
      <c r="G87" t="s">
        <v>1755</v>
      </c>
      <c r="H87" t="s">
        <v>1057</v>
      </c>
    </row>
    <row r="88" spans="3:8" x14ac:dyDescent="0.35">
      <c r="C88" s="21">
        <v>85</v>
      </c>
      <c r="D88" t="s">
        <v>458</v>
      </c>
      <c r="E88" t="s">
        <v>1456</v>
      </c>
      <c r="F88" t="s">
        <v>758</v>
      </c>
      <c r="G88" t="s">
        <v>1756</v>
      </c>
      <c r="H88" t="s">
        <v>1058</v>
      </c>
    </row>
    <row r="89" spans="3:8" x14ac:dyDescent="0.35">
      <c r="C89" s="21">
        <v>86</v>
      </c>
      <c r="D89" t="s">
        <v>459</v>
      </c>
      <c r="E89" t="s">
        <v>1457</v>
      </c>
      <c r="F89" t="s">
        <v>759</v>
      </c>
      <c r="G89" t="s">
        <v>1757</v>
      </c>
      <c r="H89" t="s">
        <v>1059</v>
      </c>
    </row>
    <row r="90" spans="3:8" x14ac:dyDescent="0.35">
      <c r="C90" s="21">
        <v>87</v>
      </c>
      <c r="D90" t="s">
        <v>460</v>
      </c>
      <c r="E90" t="s">
        <v>1458</v>
      </c>
      <c r="F90" t="s">
        <v>760</v>
      </c>
      <c r="G90" t="s">
        <v>1758</v>
      </c>
      <c r="H90" t="s">
        <v>1060</v>
      </c>
    </row>
    <row r="91" spans="3:8" x14ac:dyDescent="0.35">
      <c r="C91" s="21">
        <v>88</v>
      </c>
      <c r="D91" t="s">
        <v>461</v>
      </c>
      <c r="E91" t="s">
        <v>1459</v>
      </c>
      <c r="F91" t="s">
        <v>761</v>
      </c>
      <c r="G91" t="s">
        <v>1759</v>
      </c>
      <c r="H91" t="s">
        <v>1061</v>
      </c>
    </row>
    <row r="92" spans="3:8" x14ac:dyDescent="0.35">
      <c r="C92" s="21">
        <v>89</v>
      </c>
      <c r="D92" t="s">
        <v>462</v>
      </c>
      <c r="E92" t="s">
        <v>1460</v>
      </c>
      <c r="F92" t="s">
        <v>762</v>
      </c>
      <c r="G92" t="s">
        <v>1760</v>
      </c>
      <c r="H92" t="s">
        <v>1062</v>
      </c>
    </row>
    <row r="93" spans="3:8" x14ac:dyDescent="0.35">
      <c r="C93" s="21">
        <v>90</v>
      </c>
      <c r="D93" t="s">
        <v>463</v>
      </c>
      <c r="E93" t="s">
        <v>1461</v>
      </c>
      <c r="F93" t="s">
        <v>763</v>
      </c>
      <c r="G93" t="s">
        <v>1761</v>
      </c>
      <c r="H93" t="s">
        <v>1063</v>
      </c>
    </row>
    <row r="94" spans="3:8" x14ac:dyDescent="0.35">
      <c r="C94" s="21">
        <v>91</v>
      </c>
      <c r="D94" t="s">
        <v>464</v>
      </c>
      <c r="E94" t="s">
        <v>1462</v>
      </c>
      <c r="F94" t="s">
        <v>764</v>
      </c>
      <c r="G94" t="s">
        <v>1762</v>
      </c>
      <c r="H94" t="s">
        <v>1064</v>
      </c>
    </row>
    <row r="95" spans="3:8" x14ac:dyDescent="0.35">
      <c r="C95" s="21">
        <v>92</v>
      </c>
      <c r="D95" t="s">
        <v>465</v>
      </c>
      <c r="E95" t="s">
        <v>1463</v>
      </c>
      <c r="F95" t="s">
        <v>765</v>
      </c>
      <c r="G95" t="s">
        <v>1763</v>
      </c>
      <c r="H95" t="s">
        <v>1065</v>
      </c>
    </row>
    <row r="96" spans="3:8" x14ac:dyDescent="0.35">
      <c r="C96" s="21">
        <v>93</v>
      </c>
      <c r="D96" t="s">
        <v>466</v>
      </c>
      <c r="E96" t="s">
        <v>1464</v>
      </c>
      <c r="F96" t="s">
        <v>766</v>
      </c>
      <c r="G96" t="s">
        <v>1764</v>
      </c>
      <c r="H96" t="s">
        <v>1066</v>
      </c>
    </row>
    <row r="97" spans="3:8" x14ac:dyDescent="0.35">
      <c r="C97" s="21">
        <v>94</v>
      </c>
      <c r="D97" t="s">
        <v>467</v>
      </c>
      <c r="E97" t="s">
        <v>1465</v>
      </c>
      <c r="F97" t="s">
        <v>767</v>
      </c>
      <c r="G97" t="s">
        <v>1765</v>
      </c>
      <c r="H97" t="s">
        <v>1067</v>
      </c>
    </row>
    <row r="98" spans="3:8" x14ac:dyDescent="0.35">
      <c r="C98" s="21">
        <v>95</v>
      </c>
      <c r="D98" t="s">
        <v>468</v>
      </c>
      <c r="E98" t="s">
        <v>1466</v>
      </c>
      <c r="F98" t="s">
        <v>768</v>
      </c>
      <c r="G98" t="s">
        <v>1766</v>
      </c>
      <c r="H98" t="s">
        <v>1068</v>
      </c>
    </row>
    <row r="99" spans="3:8" x14ac:dyDescent="0.35">
      <c r="C99" s="21">
        <v>96</v>
      </c>
      <c r="D99" t="s">
        <v>469</v>
      </c>
      <c r="E99" t="s">
        <v>1467</v>
      </c>
      <c r="F99" t="s">
        <v>769</v>
      </c>
      <c r="G99" t="s">
        <v>1767</v>
      </c>
      <c r="H99" t="s">
        <v>1069</v>
      </c>
    </row>
    <row r="100" spans="3:8" x14ac:dyDescent="0.35">
      <c r="C100" s="21">
        <v>97</v>
      </c>
      <c r="D100" t="s">
        <v>470</v>
      </c>
      <c r="E100" t="s">
        <v>1468</v>
      </c>
      <c r="F100" t="s">
        <v>770</v>
      </c>
      <c r="G100" t="s">
        <v>1768</v>
      </c>
      <c r="H100" t="s">
        <v>1070</v>
      </c>
    </row>
    <row r="101" spans="3:8" x14ac:dyDescent="0.35">
      <c r="C101" s="21">
        <v>98</v>
      </c>
      <c r="D101" t="s">
        <v>471</v>
      </c>
      <c r="E101" t="s">
        <v>1469</v>
      </c>
      <c r="F101" t="s">
        <v>771</v>
      </c>
      <c r="G101" t="s">
        <v>1769</v>
      </c>
      <c r="H101" t="s">
        <v>1071</v>
      </c>
    </row>
    <row r="102" spans="3:8" x14ac:dyDescent="0.35">
      <c r="C102" s="21">
        <v>99</v>
      </c>
      <c r="D102" t="s">
        <v>472</v>
      </c>
      <c r="E102" t="s">
        <v>1470</v>
      </c>
      <c r="F102" t="s">
        <v>772</v>
      </c>
      <c r="G102" t="s">
        <v>1770</v>
      </c>
      <c r="H102" t="s">
        <v>1072</v>
      </c>
    </row>
    <row r="103" spans="3:8" x14ac:dyDescent="0.35">
      <c r="C103" s="21">
        <v>100</v>
      </c>
      <c r="D103" t="s">
        <v>473</v>
      </c>
      <c r="E103" t="s">
        <v>1471</v>
      </c>
      <c r="F103" t="s">
        <v>773</v>
      </c>
      <c r="G103" t="s">
        <v>1771</v>
      </c>
      <c r="H103" t="s">
        <v>1073</v>
      </c>
    </row>
    <row r="104" spans="3:8" x14ac:dyDescent="0.35">
      <c r="C104" s="21">
        <v>101</v>
      </c>
      <c r="D104" t="s">
        <v>474</v>
      </c>
      <c r="E104" t="s">
        <v>1472</v>
      </c>
      <c r="F104" t="s">
        <v>774</v>
      </c>
      <c r="G104" t="s">
        <v>1772</v>
      </c>
      <c r="H104" t="s">
        <v>1074</v>
      </c>
    </row>
    <row r="105" spans="3:8" x14ac:dyDescent="0.35">
      <c r="C105" s="21">
        <v>102</v>
      </c>
      <c r="D105" t="s">
        <v>475</v>
      </c>
      <c r="E105" t="s">
        <v>1473</v>
      </c>
      <c r="F105" t="s">
        <v>775</v>
      </c>
      <c r="G105" t="s">
        <v>1773</v>
      </c>
      <c r="H105" t="s">
        <v>1075</v>
      </c>
    </row>
    <row r="106" spans="3:8" x14ac:dyDescent="0.35">
      <c r="C106" s="21">
        <v>103</v>
      </c>
      <c r="D106" t="s">
        <v>476</v>
      </c>
      <c r="E106" t="s">
        <v>1474</v>
      </c>
      <c r="F106" t="s">
        <v>776</v>
      </c>
      <c r="G106" t="s">
        <v>1774</v>
      </c>
      <c r="H106" t="s">
        <v>1076</v>
      </c>
    </row>
    <row r="107" spans="3:8" x14ac:dyDescent="0.35">
      <c r="C107" s="21">
        <v>104</v>
      </c>
      <c r="D107" t="s">
        <v>477</v>
      </c>
      <c r="E107" t="s">
        <v>1475</v>
      </c>
      <c r="F107" t="s">
        <v>777</v>
      </c>
      <c r="G107" t="s">
        <v>1775</v>
      </c>
      <c r="H107" t="s">
        <v>1077</v>
      </c>
    </row>
    <row r="108" spans="3:8" x14ac:dyDescent="0.35">
      <c r="C108" s="21">
        <v>105</v>
      </c>
      <c r="D108" t="s">
        <v>478</v>
      </c>
      <c r="E108" t="s">
        <v>1476</v>
      </c>
      <c r="F108" t="s">
        <v>778</v>
      </c>
      <c r="G108" t="s">
        <v>1776</v>
      </c>
      <c r="H108" t="s">
        <v>1078</v>
      </c>
    </row>
    <row r="109" spans="3:8" x14ac:dyDescent="0.35">
      <c r="C109" s="21">
        <v>106</v>
      </c>
      <c r="D109" t="s">
        <v>479</v>
      </c>
      <c r="E109" t="s">
        <v>1477</v>
      </c>
      <c r="F109" t="s">
        <v>779</v>
      </c>
      <c r="G109" t="s">
        <v>1777</v>
      </c>
      <c r="H109" t="s">
        <v>1079</v>
      </c>
    </row>
    <row r="110" spans="3:8" x14ac:dyDescent="0.35">
      <c r="C110" s="21">
        <v>107</v>
      </c>
      <c r="D110" t="s">
        <v>480</v>
      </c>
      <c r="E110" t="s">
        <v>1478</v>
      </c>
      <c r="F110" t="s">
        <v>780</v>
      </c>
      <c r="G110" t="s">
        <v>1778</v>
      </c>
      <c r="H110" t="s">
        <v>1080</v>
      </c>
    </row>
    <row r="111" spans="3:8" x14ac:dyDescent="0.35">
      <c r="C111" s="21">
        <v>108</v>
      </c>
      <c r="D111" t="s">
        <v>481</v>
      </c>
      <c r="E111" t="s">
        <v>1479</v>
      </c>
      <c r="F111" t="s">
        <v>781</v>
      </c>
      <c r="G111" t="s">
        <v>1779</v>
      </c>
      <c r="H111" t="s">
        <v>1081</v>
      </c>
    </row>
    <row r="112" spans="3:8" x14ac:dyDescent="0.35">
      <c r="C112" s="21">
        <v>109</v>
      </c>
      <c r="D112" t="s">
        <v>482</v>
      </c>
      <c r="E112" t="s">
        <v>1480</v>
      </c>
      <c r="F112" t="s">
        <v>782</v>
      </c>
      <c r="G112" t="s">
        <v>1780</v>
      </c>
      <c r="H112" t="s">
        <v>1082</v>
      </c>
    </row>
    <row r="113" spans="3:8" x14ac:dyDescent="0.35">
      <c r="C113" s="21">
        <v>110</v>
      </c>
      <c r="D113" t="s">
        <v>483</v>
      </c>
      <c r="E113" t="s">
        <v>1481</v>
      </c>
      <c r="F113" t="s">
        <v>783</v>
      </c>
      <c r="G113" t="s">
        <v>1781</v>
      </c>
      <c r="H113" t="s">
        <v>1083</v>
      </c>
    </row>
    <row r="114" spans="3:8" x14ac:dyDescent="0.35">
      <c r="C114" s="21">
        <v>111</v>
      </c>
      <c r="D114" t="s">
        <v>484</v>
      </c>
      <c r="E114" t="s">
        <v>1482</v>
      </c>
      <c r="F114" t="s">
        <v>784</v>
      </c>
      <c r="G114" t="s">
        <v>1782</v>
      </c>
      <c r="H114" t="s">
        <v>1084</v>
      </c>
    </row>
    <row r="115" spans="3:8" x14ac:dyDescent="0.35">
      <c r="C115" s="21">
        <v>112</v>
      </c>
      <c r="D115" t="s">
        <v>485</v>
      </c>
      <c r="E115" t="s">
        <v>1483</v>
      </c>
      <c r="F115" t="s">
        <v>785</v>
      </c>
      <c r="G115" t="s">
        <v>1783</v>
      </c>
      <c r="H115" t="s">
        <v>1085</v>
      </c>
    </row>
    <row r="116" spans="3:8" x14ac:dyDescent="0.35">
      <c r="C116" s="21">
        <v>113</v>
      </c>
      <c r="D116" t="s">
        <v>486</v>
      </c>
      <c r="E116" t="s">
        <v>1484</v>
      </c>
      <c r="F116" t="s">
        <v>786</v>
      </c>
      <c r="G116" t="s">
        <v>1784</v>
      </c>
      <c r="H116" t="s">
        <v>1086</v>
      </c>
    </row>
    <row r="117" spans="3:8" x14ac:dyDescent="0.35">
      <c r="C117" s="21">
        <v>114</v>
      </c>
      <c r="D117" t="s">
        <v>487</v>
      </c>
      <c r="E117" t="s">
        <v>1485</v>
      </c>
      <c r="F117" t="s">
        <v>787</v>
      </c>
      <c r="G117" t="s">
        <v>1785</v>
      </c>
      <c r="H117" t="s">
        <v>1087</v>
      </c>
    </row>
    <row r="118" spans="3:8" x14ac:dyDescent="0.35">
      <c r="C118" s="21">
        <v>115</v>
      </c>
      <c r="D118" t="s">
        <v>488</v>
      </c>
      <c r="E118" t="s">
        <v>1486</v>
      </c>
      <c r="F118" t="s">
        <v>788</v>
      </c>
      <c r="G118" t="s">
        <v>1786</v>
      </c>
      <c r="H118" t="s">
        <v>1088</v>
      </c>
    </row>
    <row r="119" spans="3:8" x14ac:dyDescent="0.35">
      <c r="C119" s="21">
        <v>116</v>
      </c>
      <c r="D119" t="s">
        <v>489</v>
      </c>
      <c r="E119" t="s">
        <v>1487</v>
      </c>
      <c r="F119" t="s">
        <v>789</v>
      </c>
      <c r="G119" t="s">
        <v>1787</v>
      </c>
      <c r="H119" t="s">
        <v>1089</v>
      </c>
    </row>
    <row r="120" spans="3:8" x14ac:dyDescent="0.35">
      <c r="C120" s="21">
        <v>117</v>
      </c>
      <c r="D120" t="s">
        <v>490</v>
      </c>
      <c r="E120" t="s">
        <v>1488</v>
      </c>
      <c r="F120" t="s">
        <v>790</v>
      </c>
      <c r="G120" t="s">
        <v>1788</v>
      </c>
      <c r="H120" t="s">
        <v>1090</v>
      </c>
    </row>
    <row r="121" spans="3:8" x14ac:dyDescent="0.35">
      <c r="C121" s="21">
        <v>118</v>
      </c>
      <c r="D121" t="s">
        <v>491</v>
      </c>
      <c r="E121" t="s">
        <v>1489</v>
      </c>
      <c r="F121" t="s">
        <v>791</v>
      </c>
      <c r="G121" t="s">
        <v>1789</v>
      </c>
      <c r="H121" t="s">
        <v>1091</v>
      </c>
    </row>
    <row r="122" spans="3:8" x14ac:dyDescent="0.35">
      <c r="C122" s="21">
        <v>119</v>
      </c>
      <c r="D122" t="s">
        <v>492</v>
      </c>
      <c r="E122" t="s">
        <v>1490</v>
      </c>
      <c r="F122" t="s">
        <v>792</v>
      </c>
      <c r="G122" t="s">
        <v>1790</v>
      </c>
      <c r="H122" t="s">
        <v>1092</v>
      </c>
    </row>
    <row r="123" spans="3:8" x14ac:dyDescent="0.35">
      <c r="C123" s="21">
        <v>120</v>
      </c>
      <c r="D123" t="s">
        <v>493</v>
      </c>
      <c r="E123" t="s">
        <v>1491</v>
      </c>
      <c r="F123" t="s">
        <v>793</v>
      </c>
      <c r="G123" t="s">
        <v>1791</v>
      </c>
      <c r="H123" t="s">
        <v>1093</v>
      </c>
    </row>
    <row r="124" spans="3:8" x14ac:dyDescent="0.35">
      <c r="C124" s="21">
        <v>121</v>
      </c>
      <c r="D124" t="s">
        <v>494</v>
      </c>
      <c r="E124" t="s">
        <v>1492</v>
      </c>
      <c r="F124" t="s">
        <v>794</v>
      </c>
      <c r="G124" t="s">
        <v>1792</v>
      </c>
      <c r="H124" t="s">
        <v>1094</v>
      </c>
    </row>
    <row r="125" spans="3:8" x14ac:dyDescent="0.35">
      <c r="C125" s="21">
        <v>122</v>
      </c>
      <c r="D125" t="s">
        <v>495</v>
      </c>
      <c r="E125" t="s">
        <v>1493</v>
      </c>
      <c r="F125" t="s">
        <v>795</v>
      </c>
      <c r="G125" t="s">
        <v>1793</v>
      </c>
      <c r="H125" t="s">
        <v>1095</v>
      </c>
    </row>
    <row r="126" spans="3:8" x14ac:dyDescent="0.35">
      <c r="C126" s="21">
        <v>123</v>
      </c>
      <c r="D126" t="s">
        <v>496</v>
      </c>
      <c r="E126" t="s">
        <v>1494</v>
      </c>
      <c r="F126" t="s">
        <v>796</v>
      </c>
      <c r="G126" t="s">
        <v>1794</v>
      </c>
      <c r="H126" t="s">
        <v>1096</v>
      </c>
    </row>
    <row r="127" spans="3:8" x14ac:dyDescent="0.35">
      <c r="C127" s="21">
        <v>124</v>
      </c>
      <c r="D127" t="s">
        <v>497</v>
      </c>
      <c r="E127" t="s">
        <v>1495</v>
      </c>
      <c r="F127" t="s">
        <v>797</v>
      </c>
      <c r="G127" t="s">
        <v>1795</v>
      </c>
      <c r="H127" t="s">
        <v>1097</v>
      </c>
    </row>
    <row r="128" spans="3:8" x14ac:dyDescent="0.35">
      <c r="C128" s="21">
        <v>125</v>
      </c>
      <c r="D128" t="s">
        <v>498</v>
      </c>
      <c r="E128" t="s">
        <v>1496</v>
      </c>
      <c r="F128" t="s">
        <v>798</v>
      </c>
      <c r="G128" t="s">
        <v>1796</v>
      </c>
      <c r="H128" t="s">
        <v>1098</v>
      </c>
    </row>
    <row r="129" spans="3:8" x14ac:dyDescent="0.35">
      <c r="C129" s="21">
        <v>126</v>
      </c>
      <c r="D129" t="s">
        <v>499</v>
      </c>
      <c r="E129" t="s">
        <v>1497</v>
      </c>
      <c r="F129" t="s">
        <v>799</v>
      </c>
      <c r="G129" t="s">
        <v>1797</v>
      </c>
      <c r="H129" t="s">
        <v>1099</v>
      </c>
    </row>
    <row r="130" spans="3:8" x14ac:dyDescent="0.35">
      <c r="C130" s="21">
        <v>127</v>
      </c>
      <c r="D130" t="s">
        <v>500</v>
      </c>
      <c r="E130" t="s">
        <v>1498</v>
      </c>
      <c r="F130" t="s">
        <v>800</v>
      </c>
      <c r="G130" t="s">
        <v>1798</v>
      </c>
      <c r="H130" t="s">
        <v>1100</v>
      </c>
    </row>
    <row r="131" spans="3:8" x14ac:dyDescent="0.35">
      <c r="C131" s="21">
        <v>128</v>
      </c>
      <c r="D131" t="s">
        <v>501</v>
      </c>
      <c r="E131" t="s">
        <v>1499</v>
      </c>
      <c r="F131" t="s">
        <v>801</v>
      </c>
      <c r="G131" t="s">
        <v>1799</v>
      </c>
      <c r="H131" t="s">
        <v>1101</v>
      </c>
    </row>
    <row r="132" spans="3:8" x14ac:dyDescent="0.35">
      <c r="C132" s="21">
        <v>129</v>
      </c>
      <c r="D132" t="s">
        <v>502</v>
      </c>
      <c r="E132" t="s">
        <v>1500</v>
      </c>
      <c r="F132" t="s">
        <v>802</v>
      </c>
      <c r="G132" t="s">
        <v>1800</v>
      </c>
      <c r="H132" t="s">
        <v>1102</v>
      </c>
    </row>
    <row r="133" spans="3:8" x14ac:dyDescent="0.35">
      <c r="C133" s="21">
        <v>130</v>
      </c>
      <c r="D133" t="s">
        <v>503</v>
      </c>
      <c r="E133" t="s">
        <v>1501</v>
      </c>
      <c r="F133" t="s">
        <v>803</v>
      </c>
      <c r="G133" t="s">
        <v>1801</v>
      </c>
      <c r="H133" t="s">
        <v>1103</v>
      </c>
    </row>
    <row r="134" spans="3:8" x14ac:dyDescent="0.35">
      <c r="C134" s="21">
        <v>131</v>
      </c>
      <c r="D134" t="s">
        <v>504</v>
      </c>
      <c r="E134" t="s">
        <v>1502</v>
      </c>
      <c r="F134" t="s">
        <v>804</v>
      </c>
      <c r="G134" t="s">
        <v>1802</v>
      </c>
      <c r="H134" t="s">
        <v>1104</v>
      </c>
    </row>
    <row r="135" spans="3:8" x14ac:dyDescent="0.35">
      <c r="C135" s="21">
        <v>132</v>
      </c>
      <c r="D135" t="s">
        <v>505</v>
      </c>
      <c r="E135" t="s">
        <v>1503</v>
      </c>
      <c r="F135" t="s">
        <v>805</v>
      </c>
      <c r="G135" t="s">
        <v>1803</v>
      </c>
      <c r="H135" t="s">
        <v>1105</v>
      </c>
    </row>
    <row r="136" spans="3:8" x14ac:dyDescent="0.35">
      <c r="C136" s="21">
        <v>133</v>
      </c>
      <c r="D136" t="s">
        <v>506</v>
      </c>
      <c r="E136" t="s">
        <v>1504</v>
      </c>
      <c r="F136" t="s">
        <v>806</v>
      </c>
      <c r="G136" t="s">
        <v>1804</v>
      </c>
      <c r="H136" t="s">
        <v>1106</v>
      </c>
    </row>
    <row r="137" spans="3:8" x14ac:dyDescent="0.35">
      <c r="C137" s="21">
        <v>134</v>
      </c>
      <c r="D137" t="s">
        <v>507</v>
      </c>
      <c r="E137" t="s">
        <v>1505</v>
      </c>
      <c r="F137" t="s">
        <v>807</v>
      </c>
      <c r="G137" t="s">
        <v>1805</v>
      </c>
      <c r="H137" t="s">
        <v>1107</v>
      </c>
    </row>
    <row r="138" spans="3:8" x14ac:dyDescent="0.35">
      <c r="C138" s="21">
        <v>135</v>
      </c>
      <c r="D138" t="s">
        <v>508</v>
      </c>
      <c r="E138" t="s">
        <v>1506</v>
      </c>
      <c r="F138" t="s">
        <v>808</v>
      </c>
      <c r="G138" t="s">
        <v>1806</v>
      </c>
      <c r="H138" t="s">
        <v>1108</v>
      </c>
    </row>
    <row r="139" spans="3:8" x14ac:dyDescent="0.35">
      <c r="C139" s="21">
        <v>136</v>
      </c>
      <c r="D139" t="s">
        <v>509</v>
      </c>
      <c r="E139" t="s">
        <v>1507</v>
      </c>
      <c r="F139" t="s">
        <v>809</v>
      </c>
      <c r="G139" t="s">
        <v>1807</v>
      </c>
      <c r="H139" t="s">
        <v>1109</v>
      </c>
    </row>
    <row r="140" spans="3:8" x14ac:dyDescent="0.35">
      <c r="C140" s="21">
        <v>137</v>
      </c>
      <c r="D140" t="s">
        <v>510</v>
      </c>
      <c r="E140" t="s">
        <v>1508</v>
      </c>
      <c r="F140" t="s">
        <v>810</v>
      </c>
      <c r="G140" t="s">
        <v>1808</v>
      </c>
      <c r="H140" t="s">
        <v>1110</v>
      </c>
    </row>
    <row r="141" spans="3:8" x14ac:dyDescent="0.35">
      <c r="C141" s="21">
        <v>138</v>
      </c>
      <c r="D141" t="s">
        <v>511</v>
      </c>
      <c r="E141" t="s">
        <v>1509</v>
      </c>
      <c r="F141" t="s">
        <v>811</v>
      </c>
      <c r="G141" t="s">
        <v>1809</v>
      </c>
      <c r="H141" t="s">
        <v>1111</v>
      </c>
    </row>
    <row r="142" spans="3:8" x14ac:dyDescent="0.35">
      <c r="C142" s="21">
        <v>139</v>
      </c>
      <c r="D142" t="s">
        <v>512</v>
      </c>
      <c r="E142" t="s">
        <v>1510</v>
      </c>
      <c r="F142" t="s">
        <v>812</v>
      </c>
      <c r="G142" t="s">
        <v>1810</v>
      </c>
      <c r="H142" t="s">
        <v>1112</v>
      </c>
    </row>
    <row r="143" spans="3:8" x14ac:dyDescent="0.35">
      <c r="C143" s="21">
        <v>140</v>
      </c>
      <c r="D143" t="s">
        <v>513</v>
      </c>
      <c r="E143" t="s">
        <v>1511</v>
      </c>
      <c r="F143" t="s">
        <v>813</v>
      </c>
      <c r="G143" t="s">
        <v>1811</v>
      </c>
      <c r="H143" t="s">
        <v>1113</v>
      </c>
    </row>
    <row r="144" spans="3:8" x14ac:dyDescent="0.35">
      <c r="C144" s="21">
        <v>141</v>
      </c>
      <c r="D144" t="s">
        <v>514</v>
      </c>
      <c r="E144" t="s">
        <v>1512</v>
      </c>
      <c r="F144" t="s">
        <v>814</v>
      </c>
      <c r="G144" t="s">
        <v>1812</v>
      </c>
      <c r="H144" t="s">
        <v>1114</v>
      </c>
    </row>
    <row r="145" spans="3:8" x14ac:dyDescent="0.35">
      <c r="C145" s="21">
        <v>142</v>
      </c>
      <c r="D145" t="s">
        <v>515</v>
      </c>
      <c r="E145" t="s">
        <v>1513</v>
      </c>
      <c r="F145" t="s">
        <v>815</v>
      </c>
      <c r="G145" t="s">
        <v>1813</v>
      </c>
      <c r="H145" t="s">
        <v>1115</v>
      </c>
    </row>
    <row r="146" spans="3:8" x14ac:dyDescent="0.35">
      <c r="C146" s="21">
        <v>143</v>
      </c>
      <c r="D146" t="s">
        <v>516</v>
      </c>
      <c r="E146" t="s">
        <v>1514</v>
      </c>
      <c r="F146" t="s">
        <v>816</v>
      </c>
      <c r="G146" t="s">
        <v>1814</v>
      </c>
      <c r="H146" t="s">
        <v>1116</v>
      </c>
    </row>
    <row r="147" spans="3:8" x14ac:dyDescent="0.35">
      <c r="C147" s="21">
        <v>144</v>
      </c>
      <c r="D147" t="s">
        <v>517</v>
      </c>
      <c r="E147" t="s">
        <v>1515</v>
      </c>
      <c r="F147" t="s">
        <v>817</v>
      </c>
      <c r="G147" t="s">
        <v>1815</v>
      </c>
      <c r="H147" t="s">
        <v>1117</v>
      </c>
    </row>
    <row r="148" spans="3:8" x14ac:dyDescent="0.35">
      <c r="C148" s="21">
        <v>145</v>
      </c>
      <c r="D148" t="s">
        <v>518</v>
      </c>
      <c r="E148" t="s">
        <v>1516</v>
      </c>
      <c r="F148" t="s">
        <v>818</v>
      </c>
      <c r="G148" t="s">
        <v>1816</v>
      </c>
      <c r="H148" t="s">
        <v>1118</v>
      </c>
    </row>
    <row r="149" spans="3:8" x14ac:dyDescent="0.35">
      <c r="C149" s="21">
        <v>146</v>
      </c>
      <c r="D149" t="s">
        <v>519</v>
      </c>
      <c r="E149" t="s">
        <v>1517</v>
      </c>
      <c r="F149" t="s">
        <v>819</v>
      </c>
      <c r="G149" t="s">
        <v>1817</v>
      </c>
      <c r="H149" t="s">
        <v>1119</v>
      </c>
    </row>
    <row r="150" spans="3:8" x14ac:dyDescent="0.35">
      <c r="C150" s="21">
        <v>147</v>
      </c>
      <c r="D150" t="s">
        <v>520</v>
      </c>
      <c r="E150" t="s">
        <v>1518</v>
      </c>
      <c r="F150" t="s">
        <v>820</v>
      </c>
      <c r="G150" t="s">
        <v>1818</v>
      </c>
      <c r="H150" t="s">
        <v>1120</v>
      </c>
    </row>
    <row r="151" spans="3:8" x14ac:dyDescent="0.35">
      <c r="C151" s="21">
        <v>148</v>
      </c>
      <c r="D151" t="s">
        <v>521</v>
      </c>
      <c r="E151" t="s">
        <v>1519</v>
      </c>
      <c r="F151" t="s">
        <v>821</v>
      </c>
      <c r="G151" t="s">
        <v>1819</v>
      </c>
      <c r="H151" t="s">
        <v>1121</v>
      </c>
    </row>
    <row r="152" spans="3:8" x14ac:dyDescent="0.35">
      <c r="C152" s="21">
        <v>149</v>
      </c>
      <c r="D152" t="s">
        <v>522</v>
      </c>
      <c r="E152" t="s">
        <v>1520</v>
      </c>
      <c r="F152" t="s">
        <v>822</v>
      </c>
      <c r="G152" t="s">
        <v>1820</v>
      </c>
      <c r="H152" t="s">
        <v>1122</v>
      </c>
    </row>
    <row r="153" spans="3:8" x14ac:dyDescent="0.35">
      <c r="C153" s="21">
        <v>150</v>
      </c>
      <c r="D153" t="s">
        <v>523</v>
      </c>
      <c r="E153" t="s">
        <v>1521</v>
      </c>
      <c r="F153" t="s">
        <v>823</v>
      </c>
      <c r="G153" t="s">
        <v>1821</v>
      </c>
      <c r="H153" t="s">
        <v>1123</v>
      </c>
    </row>
    <row r="154" spans="3:8" x14ac:dyDescent="0.35">
      <c r="C154" s="21">
        <v>151</v>
      </c>
      <c r="D154" t="s">
        <v>524</v>
      </c>
      <c r="E154" t="s">
        <v>1522</v>
      </c>
      <c r="F154" t="s">
        <v>824</v>
      </c>
      <c r="G154" t="s">
        <v>1822</v>
      </c>
      <c r="H154" t="s">
        <v>1972</v>
      </c>
    </row>
    <row r="155" spans="3:8" x14ac:dyDescent="0.35">
      <c r="C155" s="21">
        <v>152</v>
      </c>
      <c r="D155" t="s">
        <v>525</v>
      </c>
      <c r="E155" t="s">
        <v>1523</v>
      </c>
      <c r="F155" t="s">
        <v>825</v>
      </c>
      <c r="G155" t="s">
        <v>1823</v>
      </c>
      <c r="H155" t="s">
        <v>1973</v>
      </c>
    </row>
    <row r="156" spans="3:8" x14ac:dyDescent="0.35">
      <c r="C156" s="21">
        <v>153</v>
      </c>
      <c r="D156" t="s">
        <v>526</v>
      </c>
      <c r="E156" t="s">
        <v>1524</v>
      </c>
      <c r="F156" t="s">
        <v>826</v>
      </c>
      <c r="G156" t="s">
        <v>1824</v>
      </c>
      <c r="H156" t="s">
        <v>1974</v>
      </c>
    </row>
    <row r="157" spans="3:8" x14ac:dyDescent="0.35">
      <c r="C157" s="21">
        <v>154</v>
      </c>
      <c r="D157" t="s">
        <v>527</v>
      </c>
      <c r="E157" t="s">
        <v>1525</v>
      </c>
      <c r="F157" t="s">
        <v>827</v>
      </c>
      <c r="G157" t="s">
        <v>1825</v>
      </c>
      <c r="H157" t="s">
        <v>1975</v>
      </c>
    </row>
    <row r="158" spans="3:8" x14ac:dyDescent="0.35">
      <c r="C158" s="21">
        <v>155</v>
      </c>
      <c r="D158" t="s">
        <v>528</v>
      </c>
      <c r="E158" t="s">
        <v>1526</v>
      </c>
      <c r="F158" t="s">
        <v>828</v>
      </c>
      <c r="G158" t="s">
        <v>1826</v>
      </c>
      <c r="H158" t="s">
        <v>1976</v>
      </c>
    </row>
    <row r="159" spans="3:8" x14ac:dyDescent="0.35">
      <c r="C159" s="21">
        <v>156</v>
      </c>
      <c r="D159" t="s">
        <v>529</v>
      </c>
      <c r="E159" t="s">
        <v>1527</v>
      </c>
      <c r="F159" t="s">
        <v>829</v>
      </c>
      <c r="G159" t="s">
        <v>1827</v>
      </c>
      <c r="H159" t="s">
        <v>1977</v>
      </c>
    </row>
    <row r="160" spans="3:8" x14ac:dyDescent="0.35">
      <c r="C160" s="21">
        <v>157</v>
      </c>
      <c r="D160" t="s">
        <v>530</v>
      </c>
      <c r="E160" t="s">
        <v>1528</v>
      </c>
      <c r="F160" t="s">
        <v>830</v>
      </c>
      <c r="G160" t="s">
        <v>1828</v>
      </c>
      <c r="H160" t="s">
        <v>1978</v>
      </c>
    </row>
    <row r="161" spans="3:8" x14ac:dyDescent="0.35">
      <c r="C161" s="21">
        <v>158</v>
      </c>
      <c r="D161" t="s">
        <v>531</v>
      </c>
      <c r="E161" t="s">
        <v>1529</v>
      </c>
      <c r="F161" t="s">
        <v>831</v>
      </c>
      <c r="G161" t="s">
        <v>1829</v>
      </c>
      <c r="H161" t="s">
        <v>1979</v>
      </c>
    </row>
    <row r="162" spans="3:8" x14ac:dyDescent="0.35">
      <c r="C162" s="21">
        <v>159</v>
      </c>
      <c r="D162" t="s">
        <v>532</v>
      </c>
      <c r="E162" t="s">
        <v>1530</v>
      </c>
      <c r="F162" t="s">
        <v>832</v>
      </c>
      <c r="G162" t="s">
        <v>1830</v>
      </c>
      <c r="H162" t="s">
        <v>1980</v>
      </c>
    </row>
    <row r="163" spans="3:8" x14ac:dyDescent="0.35">
      <c r="C163" s="21">
        <v>160</v>
      </c>
      <c r="D163" t="s">
        <v>533</v>
      </c>
      <c r="E163" t="s">
        <v>1531</v>
      </c>
      <c r="F163" t="s">
        <v>833</v>
      </c>
      <c r="G163" t="s">
        <v>1831</v>
      </c>
      <c r="H163" t="s">
        <v>1981</v>
      </c>
    </row>
    <row r="164" spans="3:8" x14ac:dyDescent="0.35">
      <c r="C164" s="21">
        <v>161</v>
      </c>
      <c r="D164" t="s">
        <v>534</v>
      </c>
      <c r="E164" t="s">
        <v>1532</v>
      </c>
      <c r="F164" t="s">
        <v>834</v>
      </c>
      <c r="G164" t="s">
        <v>1832</v>
      </c>
      <c r="H164" t="s">
        <v>1982</v>
      </c>
    </row>
    <row r="165" spans="3:8" x14ac:dyDescent="0.35">
      <c r="C165" s="21">
        <v>162</v>
      </c>
      <c r="D165" t="s">
        <v>535</v>
      </c>
      <c r="E165" t="s">
        <v>1533</v>
      </c>
      <c r="F165" t="s">
        <v>835</v>
      </c>
      <c r="G165" t="s">
        <v>1833</v>
      </c>
      <c r="H165" t="s">
        <v>1983</v>
      </c>
    </row>
    <row r="166" spans="3:8" x14ac:dyDescent="0.35">
      <c r="C166" s="21">
        <v>163</v>
      </c>
      <c r="D166" t="s">
        <v>536</v>
      </c>
      <c r="E166" t="s">
        <v>1534</v>
      </c>
      <c r="F166" t="s">
        <v>836</v>
      </c>
      <c r="G166" t="s">
        <v>1834</v>
      </c>
      <c r="H166" t="s">
        <v>1984</v>
      </c>
    </row>
    <row r="167" spans="3:8" x14ac:dyDescent="0.35">
      <c r="C167" s="21">
        <v>164</v>
      </c>
      <c r="D167" t="s">
        <v>537</v>
      </c>
      <c r="E167" t="s">
        <v>1535</v>
      </c>
      <c r="F167" t="s">
        <v>837</v>
      </c>
      <c r="G167" t="s">
        <v>1835</v>
      </c>
      <c r="H167" t="s">
        <v>1985</v>
      </c>
    </row>
    <row r="168" spans="3:8" x14ac:dyDescent="0.35">
      <c r="C168" s="21">
        <v>165</v>
      </c>
      <c r="D168" t="s">
        <v>538</v>
      </c>
      <c r="E168" t="s">
        <v>1536</v>
      </c>
      <c r="F168" t="s">
        <v>838</v>
      </c>
      <c r="G168" t="s">
        <v>1836</v>
      </c>
      <c r="H168" t="s">
        <v>1986</v>
      </c>
    </row>
    <row r="169" spans="3:8" x14ac:dyDescent="0.35">
      <c r="C169" s="21">
        <v>166</v>
      </c>
      <c r="D169" t="s">
        <v>539</v>
      </c>
      <c r="E169" t="s">
        <v>1537</v>
      </c>
      <c r="F169" t="s">
        <v>839</v>
      </c>
      <c r="G169" t="s">
        <v>1837</v>
      </c>
      <c r="H169" t="s">
        <v>1987</v>
      </c>
    </row>
    <row r="170" spans="3:8" x14ac:dyDescent="0.35">
      <c r="C170" s="21">
        <v>167</v>
      </c>
      <c r="D170" t="s">
        <v>540</v>
      </c>
      <c r="E170" t="s">
        <v>1538</v>
      </c>
      <c r="F170" t="s">
        <v>840</v>
      </c>
      <c r="G170" t="s">
        <v>1838</v>
      </c>
      <c r="H170" t="s">
        <v>1988</v>
      </c>
    </row>
    <row r="171" spans="3:8" x14ac:dyDescent="0.35">
      <c r="C171" s="21">
        <v>168</v>
      </c>
      <c r="D171" t="s">
        <v>541</v>
      </c>
      <c r="E171" t="s">
        <v>1539</v>
      </c>
      <c r="F171" t="s">
        <v>841</v>
      </c>
      <c r="G171" t="s">
        <v>1839</v>
      </c>
      <c r="H171" t="s">
        <v>1989</v>
      </c>
    </row>
    <row r="172" spans="3:8" x14ac:dyDescent="0.35">
      <c r="C172" s="21">
        <v>169</v>
      </c>
      <c r="D172" t="s">
        <v>542</v>
      </c>
      <c r="E172" t="s">
        <v>1540</v>
      </c>
      <c r="F172" t="s">
        <v>842</v>
      </c>
      <c r="G172" t="s">
        <v>1840</v>
      </c>
      <c r="H172" t="s">
        <v>1990</v>
      </c>
    </row>
    <row r="173" spans="3:8" x14ac:dyDescent="0.35">
      <c r="C173" s="21">
        <v>170</v>
      </c>
      <c r="D173" t="s">
        <v>543</v>
      </c>
      <c r="E173" t="s">
        <v>1541</v>
      </c>
      <c r="F173" t="s">
        <v>843</v>
      </c>
      <c r="G173" t="s">
        <v>1841</v>
      </c>
      <c r="H173" t="s">
        <v>1991</v>
      </c>
    </row>
    <row r="174" spans="3:8" x14ac:dyDescent="0.35">
      <c r="C174" s="21">
        <v>171</v>
      </c>
      <c r="D174" t="s">
        <v>544</v>
      </c>
      <c r="E174" t="s">
        <v>1542</v>
      </c>
      <c r="F174" t="s">
        <v>844</v>
      </c>
      <c r="G174" t="s">
        <v>1842</v>
      </c>
      <c r="H174" t="s">
        <v>1992</v>
      </c>
    </row>
    <row r="175" spans="3:8" x14ac:dyDescent="0.35">
      <c r="C175" s="21">
        <v>172</v>
      </c>
      <c r="D175" t="s">
        <v>545</v>
      </c>
      <c r="E175" t="s">
        <v>1543</v>
      </c>
      <c r="F175" t="s">
        <v>845</v>
      </c>
      <c r="G175" t="s">
        <v>1843</v>
      </c>
      <c r="H175" t="s">
        <v>1993</v>
      </c>
    </row>
    <row r="176" spans="3:8" x14ac:dyDescent="0.35">
      <c r="C176" s="21">
        <v>173</v>
      </c>
      <c r="D176" t="s">
        <v>546</v>
      </c>
      <c r="E176" t="s">
        <v>1544</v>
      </c>
      <c r="F176" t="s">
        <v>846</v>
      </c>
      <c r="G176" t="s">
        <v>1844</v>
      </c>
      <c r="H176" t="s">
        <v>1994</v>
      </c>
    </row>
    <row r="177" spans="3:8" x14ac:dyDescent="0.35">
      <c r="C177" s="21">
        <v>174</v>
      </c>
      <c r="D177" t="s">
        <v>547</v>
      </c>
      <c r="E177" t="s">
        <v>1545</v>
      </c>
      <c r="F177" t="s">
        <v>847</v>
      </c>
      <c r="G177" t="s">
        <v>1845</v>
      </c>
      <c r="H177" t="s">
        <v>1995</v>
      </c>
    </row>
    <row r="178" spans="3:8" x14ac:dyDescent="0.35">
      <c r="C178" s="21">
        <v>175</v>
      </c>
      <c r="D178" t="s">
        <v>548</v>
      </c>
      <c r="E178" t="s">
        <v>1546</v>
      </c>
      <c r="F178" t="s">
        <v>848</v>
      </c>
      <c r="G178" t="s">
        <v>1846</v>
      </c>
      <c r="H178" t="s">
        <v>1996</v>
      </c>
    </row>
    <row r="179" spans="3:8" x14ac:dyDescent="0.35">
      <c r="C179" s="21">
        <v>176</v>
      </c>
      <c r="D179" t="s">
        <v>549</v>
      </c>
      <c r="E179" t="s">
        <v>1547</v>
      </c>
      <c r="F179" t="s">
        <v>849</v>
      </c>
      <c r="G179" t="s">
        <v>1847</v>
      </c>
      <c r="H179" t="s">
        <v>1997</v>
      </c>
    </row>
    <row r="180" spans="3:8" x14ac:dyDescent="0.35">
      <c r="C180" s="21">
        <v>177</v>
      </c>
      <c r="D180" t="s">
        <v>550</v>
      </c>
      <c r="E180" t="s">
        <v>1548</v>
      </c>
      <c r="F180" t="s">
        <v>850</v>
      </c>
      <c r="G180" t="s">
        <v>1848</v>
      </c>
      <c r="H180" t="s">
        <v>1998</v>
      </c>
    </row>
    <row r="181" spans="3:8" x14ac:dyDescent="0.35">
      <c r="C181" s="21">
        <v>178</v>
      </c>
      <c r="D181" t="s">
        <v>551</v>
      </c>
      <c r="E181" t="s">
        <v>1549</v>
      </c>
      <c r="F181" t="s">
        <v>851</v>
      </c>
      <c r="G181" t="s">
        <v>1849</v>
      </c>
      <c r="H181" t="s">
        <v>1999</v>
      </c>
    </row>
    <row r="182" spans="3:8" x14ac:dyDescent="0.35">
      <c r="C182" s="21">
        <v>179</v>
      </c>
      <c r="D182" t="s">
        <v>552</v>
      </c>
      <c r="E182" t="s">
        <v>1550</v>
      </c>
      <c r="F182" t="s">
        <v>852</v>
      </c>
      <c r="G182" t="s">
        <v>1850</v>
      </c>
      <c r="H182" t="s">
        <v>2000</v>
      </c>
    </row>
    <row r="183" spans="3:8" x14ac:dyDescent="0.35">
      <c r="C183" s="21">
        <v>180</v>
      </c>
      <c r="D183" t="s">
        <v>553</v>
      </c>
      <c r="E183" t="s">
        <v>1551</v>
      </c>
      <c r="F183" t="s">
        <v>853</v>
      </c>
      <c r="G183" t="s">
        <v>1851</v>
      </c>
      <c r="H183" t="s">
        <v>2001</v>
      </c>
    </row>
    <row r="184" spans="3:8" x14ac:dyDescent="0.35">
      <c r="C184" s="21">
        <v>181</v>
      </c>
      <c r="D184" t="s">
        <v>554</v>
      </c>
      <c r="E184" t="s">
        <v>1552</v>
      </c>
      <c r="F184" t="s">
        <v>854</v>
      </c>
      <c r="G184" t="s">
        <v>1852</v>
      </c>
      <c r="H184" t="s">
        <v>2002</v>
      </c>
    </row>
    <row r="185" spans="3:8" x14ac:dyDescent="0.35">
      <c r="C185" s="21">
        <v>182</v>
      </c>
      <c r="D185" t="s">
        <v>555</v>
      </c>
      <c r="E185" t="s">
        <v>1553</v>
      </c>
      <c r="F185" t="s">
        <v>855</v>
      </c>
      <c r="G185" t="s">
        <v>1853</v>
      </c>
      <c r="H185" t="s">
        <v>2003</v>
      </c>
    </row>
    <row r="186" spans="3:8" x14ac:dyDescent="0.35">
      <c r="C186" s="21">
        <v>183</v>
      </c>
      <c r="D186" t="s">
        <v>556</v>
      </c>
      <c r="E186" t="s">
        <v>1554</v>
      </c>
      <c r="F186" t="s">
        <v>856</v>
      </c>
      <c r="G186" t="s">
        <v>1854</v>
      </c>
      <c r="H186" t="s">
        <v>2004</v>
      </c>
    </row>
    <row r="187" spans="3:8" x14ac:dyDescent="0.35">
      <c r="C187" s="21">
        <v>184</v>
      </c>
      <c r="D187" t="s">
        <v>557</v>
      </c>
      <c r="E187" t="s">
        <v>1555</v>
      </c>
      <c r="F187" t="s">
        <v>857</v>
      </c>
      <c r="G187" t="s">
        <v>1855</v>
      </c>
      <c r="H187" t="s">
        <v>2005</v>
      </c>
    </row>
    <row r="188" spans="3:8" x14ac:dyDescent="0.35">
      <c r="C188" s="21">
        <v>185</v>
      </c>
      <c r="D188" t="s">
        <v>558</v>
      </c>
      <c r="E188" t="s">
        <v>1556</v>
      </c>
      <c r="F188" t="s">
        <v>858</v>
      </c>
      <c r="G188" t="s">
        <v>1856</v>
      </c>
      <c r="H188" t="s">
        <v>2006</v>
      </c>
    </row>
    <row r="189" spans="3:8" x14ac:dyDescent="0.35">
      <c r="C189" s="21">
        <v>186</v>
      </c>
      <c r="D189" t="s">
        <v>559</v>
      </c>
      <c r="E189" t="s">
        <v>1557</v>
      </c>
      <c r="F189" t="s">
        <v>859</v>
      </c>
      <c r="G189" t="s">
        <v>1857</v>
      </c>
      <c r="H189" t="s">
        <v>2007</v>
      </c>
    </row>
    <row r="190" spans="3:8" x14ac:dyDescent="0.35">
      <c r="C190" s="21">
        <v>187</v>
      </c>
      <c r="D190" t="s">
        <v>560</v>
      </c>
      <c r="E190" t="s">
        <v>1558</v>
      </c>
      <c r="F190" t="s">
        <v>860</v>
      </c>
      <c r="G190" t="s">
        <v>1858</v>
      </c>
      <c r="H190" t="s">
        <v>2008</v>
      </c>
    </row>
    <row r="191" spans="3:8" x14ac:dyDescent="0.35">
      <c r="C191" s="21">
        <v>188</v>
      </c>
      <c r="D191" t="s">
        <v>561</v>
      </c>
      <c r="E191" t="s">
        <v>1559</v>
      </c>
      <c r="F191" t="s">
        <v>861</v>
      </c>
      <c r="G191" t="s">
        <v>1859</v>
      </c>
      <c r="H191" t="s">
        <v>2009</v>
      </c>
    </row>
    <row r="192" spans="3:8" x14ac:dyDescent="0.35">
      <c r="C192" s="21">
        <v>189</v>
      </c>
      <c r="D192" t="s">
        <v>562</v>
      </c>
      <c r="E192" t="s">
        <v>1560</v>
      </c>
      <c r="F192" t="s">
        <v>862</v>
      </c>
      <c r="G192" t="s">
        <v>1860</v>
      </c>
      <c r="H192" t="s">
        <v>2010</v>
      </c>
    </row>
    <row r="193" spans="3:8" x14ac:dyDescent="0.35">
      <c r="C193" s="21">
        <v>190</v>
      </c>
      <c r="D193" t="s">
        <v>563</v>
      </c>
      <c r="E193" t="s">
        <v>1561</v>
      </c>
      <c r="F193" t="s">
        <v>863</v>
      </c>
      <c r="G193" t="s">
        <v>1861</v>
      </c>
      <c r="H193" t="s">
        <v>2011</v>
      </c>
    </row>
    <row r="194" spans="3:8" x14ac:dyDescent="0.35">
      <c r="C194" s="21">
        <v>191</v>
      </c>
      <c r="D194" t="s">
        <v>564</v>
      </c>
      <c r="E194" t="s">
        <v>1562</v>
      </c>
      <c r="F194" t="s">
        <v>864</v>
      </c>
      <c r="G194" t="s">
        <v>1862</v>
      </c>
      <c r="H194" t="s">
        <v>2012</v>
      </c>
    </row>
    <row r="195" spans="3:8" x14ac:dyDescent="0.35">
      <c r="C195" s="21">
        <v>192</v>
      </c>
      <c r="D195" t="s">
        <v>565</v>
      </c>
      <c r="E195" t="s">
        <v>1563</v>
      </c>
      <c r="F195" t="s">
        <v>865</v>
      </c>
      <c r="G195" t="s">
        <v>1863</v>
      </c>
      <c r="H195" t="s">
        <v>2013</v>
      </c>
    </row>
    <row r="196" spans="3:8" x14ac:dyDescent="0.35">
      <c r="C196" s="21">
        <v>193</v>
      </c>
      <c r="D196" t="s">
        <v>566</v>
      </c>
      <c r="E196" t="s">
        <v>1564</v>
      </c>
      <c r="F196" t="s">
        <v>866</v>
      </c>
      <c r="G196" t="s">
        <v>1864</v>
      </c>
      <c r="H196" t="s">
        <v>2014</v>
      </c>
    </row>
    <row r="197" spans="3:8" x14ac:dyDescent="0.35">
      <c r="C197" s="21">
        <v>194</v>
      </c>
      <c r="D197" t="s">
        <v>567</v>
      </c>
      <c r="E197" t="s">
        <v>1565</v>
      </c>
      <c r="F197" t="s">
        <v>867</v>
      </c>
      <c r="G197" t="s">
        <v>1865</v>
      </c>
      <c r="H197" t="s">
        <v>2015</v>
      </c>
    </row>
    <row r="198" spans="3:8" x14ac:dyDescent="0.35">
      <c r="C198" s="21">
        <v>195</v>
      </c>
      <c r="D198" t="s">
        <v>568</v>
      </c>
      <c r="E198" t="s">
        <v>1566</v>
      </c>
      <c r="F198" t="s">
        <v>868</v>
      </c>
      <c r="G198" t="s">
        <v>1866</v>
      </c>
      <c r="H198" t="s">
        <v>2016</v>
      </c>
    </row>
    <row r="199" spans="3:8" x14ac:dyDescent="0.35">
      <c r="C199" s="21">
        <v>196</v>
      </c>
      <c r="D199" t="s">
        <v>569</v>
      </c>
      <c r="E199" t="s">
        <v>1567</v>
      </c>
      <c r="F199" t="s">
        <v>869</v>
      </c>
      <c r="G199" t="s">
        <v>1867</v>
      </c>
      <c r="H199" t="s">
        <v>2017</v>
      </c>
    </row>
    <row r="200" spans="3:8" x14ac:dyDescent="0.35">
      <c r="C200" s="21">
        <v>197</v>
      </c>
      <c r="D200" t="s">
        <v>570</v>
      </c>
      <c r="E200" t="s">
        <v>1568</v>
      </c>
      <c r="F200" t="s">
        <v>870</v>
      </c>
      <c r="G200" t="s">
        <v>1868</v>
      </c>
      <c r="H200" t="s">
        <v>2018</v>
      </c>
    </row>
    <row r="201" spans="3:8" x14ac:dyDescent="0.35">
      <c r="C201" s="21">
        <v>198</v>
      </c>
      <c r="D201" t="s">
        <v>571</v>
      </c>
      <c r="E201" t="s">
        <v>1569</v>
      </c>
      <c r="F201" t="s">
        <v>871</v>
      </c>
      <c r="G201" t="s">
        <v>1869</v>
      </c>
      <c r="H201" t="s">
        <v>2019</v>
      </c>
    </row>
    <row r="202" spans="3:8" x14ac:dyDescent="0.35">
      <c r="C202" s="21">
        <v>199</v>
      </c>
      <c r="D202" t="s">
        <v>572</v>
      </c>
      <c r="E202" t="s">
        <v>1570</v>
      </c>
      <c r="F202" t="s">
        <v>872</v>
      </c>
      <c r="G202" t="s">
        <v>1870</v>
      </c>
      <c r="H202" t="s">
        <v>2020</v>
      </c>
    </row>
    <row r="203" spans="3:8" x14ac:dyDescent="0.35">
      <c r="C203" s="21">
        <v>200</v>
      </c>
      <c r="D203" t="s">
        <v>573</v>
      </c>
      <c r="E203" t="s">
        <v>1571</v>
      </c>
      <c r="F203" t="s">
        <v>873</v>
      </c>
      <c r="G203" t="s">
        <v>1871</v>
      </c>
      <c r="H203" t="s">
        <v>2021</v>
      </c>
    </row>
    <row r="204" spans="3:8" x14ac:dyDescent="0.35">
      <c r="C204" s="21">
        <v>201</v>
      </c>
      <c r="D204" t="s">
        <v>574</v>
      </c>
      <c r="E204" t="s">
        <v>1572</v>
      </c>
      <c r="F204" t="s">
        <v>874</v>
      </c>
      <c r="G204" t="s">
        <v>1872</v>
      </c>
      <c r="H204" t="s">
        <v>2022</v>
      </c>
    </row>
    <row r="205" spans="3:8" x14ac:dyDescent="0.35">
      <c r="C205" s="21">
        <v>202</v>
      </c>
      <c r="D205" t="s">
        <v>575</v>
      </c>
      <c r="E205" t="s">
        <v>1573</v>
      </c>
      <c r="F205" t="s">
        <v>875</v>
      </c>
      <c r="G205" t="s">
        <v>1873</v>
      </c>
      <c r="H205" t="s">
        <v>2023</v>
      </c>
    </row>
    <row r="206" spans="3:8" x14ac:dyDescent="0.35">
      <c r="C206" s="21">
        <v>203</v>
      </c>
      <c r="D206" t="s">
        <v>576</v>
      </c>
      <c r="E206" t="s">
        <v>1574</v>
      </c>
      <c r="F206" t="s">
        <v>876</v>
      </c>
      <c r="G206" t="s">
        <v>1874</v>
      </c>
      <c r="H206" t="s">
        <v>2024</v>
      </c>
    </row>
    <row r="207" spans="3:8" x14ac:dyDescent="0.35">
      <c r="C207" s="21">
        <v>204</v>
      </c>
      <c r="D207" t="s">
        <v>577</v>
      </c>
      <c r="E207" t="s">
        <v>1575</v>
      </c>
      <c r="F207" t="s">
        <v>877</v>
      </c>
      <c r="G207" t="s">
        <v>1875</v>
      </c>
      <c r="H207" t="s">
        <v>2025</v>
      </c>
    </row>
    <row r="208" spans="3:8" x14ac:dyDescent="0.35">
      <c r="C208" s="21">
        <v>205</v>
      </c>
      <c r="D208" t="s">
        <v>578</v>
      </c>
      <c r="E208" t="s">
        <v>1576</v>
      </c>
      <c r="F208" t="s">
        <v>878</v>
      </c>
      <c r="G208" t="s">
        <v>1876</v>
      </c>
      <c r="H208" t="s">
        <v>2026</v>
      </c>
    </row>
    <row r="209" spans="3:8" x14ac:dyDescent="0.35">
      <c r="C209" s="21">
        <v>206</v>
      </c>
      <c r="D209" t="s">
        <v>579</v>
      </c>
      <c r="E209" t="s">
        <v>1577</v>
      </c>
      <c r="F209" t="s">
        <v>879</v>
      </c>
      <c r="G209" t="s">
        <v>1877</v>
      </c>
      <c r="H209" t="s">
        <v>2027</v>
      </c>
    </row>
    <row r="210" spans="3:8" x14ac:dyDescent="0.35">
      <c r="C210" s="21">
        <v>207</v>
      </c>
      <c r="D210" t="s">
        <v>580</v>
      </c>
      <c r="E210" t="s">
        <v>1578</v>
      </c>
      <c r="F210" t="s">
        <v>880</v>
      </c>
      <c r="G210" t="s">
        <v>1878</v>
      </c>
      <c r="H210" t="s">
        <v>2028</v>
      </c>
    </row>
    <row r="211" spans="3:8" x14ac:dyDescent="0.35">
      <c r="C211" s="21">
        <v>208</v>
      </c>
      <c r="D211" t="s">
        <v>581</v>
      </c>
      <c r="E211" t="s">
        <v>1579</v>
      </c>
      <c r="F211" t="s">
        <v>881</v>
      </c>
      <c r="G211" t="s">
        <v>1879</v>
      </c>
      <c r="H211" t="s">
        <v>2029</v>
      </c>
    </row>
    <row r="212" spans="3:8" x14ac:dyDescent="0.35">
      <c r="C212" s="21">
        <v>209</v>
      </c>
      <c r="D212" t="s">
        <v>582</v>
      </c>
      <c r="E212" t="s">
        <v>1580</v>
      </c>
      <c r="F212" t="s">
        <v>882</v>
      </c>
      <c r="G212" t="s">
        <v>1880</v>
      </c>
      <c r="H212" t="s">
        <v>2030</v>
      </c>
    </row>
    <row r="213" spans="3:8" x14ac:dyDescent="0.35">
      <c r="C213" s="21">
        <v>210</v>
      </c>
      <c r="D213" t="s">
        <v>583</v>
      </c>
      <c r="E213" t="s">
        <v>1581</v>
      </c>
      <c r="F213" t="s">
        <v>883</v>
      </c>
      <c r="G213" t="s">
        <v>1881</v>
      </c>
      <c r="H213" t="s">
        <v>2031</v>
      </c>
    </row>
    <row r="214" spans="3:8" x14ac:dyDescent="0.35">
      <c r="C214" s="21">
        <v>211</v>
      </c>
      <c r="D214" t="s">
        <v>584</v>
      </c>
      <c r="E214" t="s">
        <v>1582</v>
      </c>
      <c r="F214" t="s">
        <v>884</v>
      </c>
      <c r="G214" t="s">
        <v>1882</v>
      </c>
      <c r="H214" t="s">
        <v>2032</v>
      </c>
    </row>
    <row r="215" spans="3:8" x14ac:dyDescent="0.35">
      <c r="C215" s="21">
        <v>212</v>
      </c>
      <c r="D215" t="s">
        <v>585</v>
      </c>
      <c r="E215" t="s">
        <v>1583</v>
      </c>
      <c r="F215" t="s">
        <v>885</v>
      </c>
      <c r="G215" t="s">
        <v>1883</v>
      </c>
      <c r="H215" t="s">
        <v>2033</v>
      </c>
    </row>
    <row r="216" spans="3:8" x14ac:dyDescent="0.35">
      <c r="C216" s="21">
        <v>213</v>
      </c>
      <c r="D216" t="s">
        <v>586</v>
      </c>
      <c r="E216" t="s">
        <v>1584</v>
      </c>
      <c r="F216" t="s">
        <v>886</v>
      </c>
      <c r="G216" t="s">
        <v>1884</v>
      </c>
      <c r="H216" t="s">
        <v>2034</v>
      </c>
    </row>
    <row r="217" spans="3:8" x14ac:dyDescent="0.35">
      <c r="C217" s="21">
        <v>214</v>
      </c>
      <c r="D217" t="s">
        <v>587</v>
      </c>
      <c r="E217" t="s">
        <v>1585</v>
      </c>
      <c r="F217" t="s">
        <v>887</v>
      </c>
      <c r="G217" t="s">
        <v>1885</v>
      </c>
      <c r="H217" t="s">
        <v>2035</v>
      </c>
    </row>
    <row r="218" spans="3:8" x14ac:dyDescent="0.35">
      <c r="C218" s="21">
        <v>215</v>
      </c>
      <c r="D218" t="s">
        <v>588</v>
      </c>
      <c r="E218" t="s">
        <v>1586</v>
      </c>
      <c r="F218" t="s">
        <v>888</v>
      </c>
      <c r="G218" t="s">
        <v>1886</v>
      </c>
      <c r="H218" t="s">
        <v>2036</v>
      </c>
    </row>
    <row r="219" spans="3:8" x14ac:dyDescent="0.35">
      <c r="C219" s="21">
        <v>216</v>
      </c>
      <c r="D219" t="s">
        <v>589</v>
      </c>
      <c r="E219" t="s">
        <v>1587</v>
      </c>
      <c r="F219" t="s">
        <v>889</v>
      </c>
      <c r="G219" t="s">
        <v>1887</v>
      </c>
      <c r="H219" t="s">
        <v>2037</v>
      </c>
    </row>
    <row r="220" spans="3:8" x14ac:dyDescent="0.35">
      <c r="C220" s="21">
        <v>217</v>
      </c>
      <c r="D220" t="s">
        <v>590</v>
      </c>
      <c r="E220" t="s">
        <v>1588</v>
      </c>
      <c r="F220" t="s">
        <v>890</v>
      </c>
      <c r="G220" t="s">
        <v>1888</v>
      </c>
      <c r="H220" t="s">
        <v>2038</v>
      </c>
    </row>
    <row r="221" spans="3:8" x14ac:dyDescent="0.35">
      <c r="C221" s="21">
        <v>218</v>
      </c>
      <c r="D221" t="s">
        <v>591</v>
      </c>
      <c r="E221" t="s">
        <v>1589</v>
      </c>
      <c r="F221" t="s">
        <v>891</v>
      </c>
      <c r="G221" t="s">
        <v>1889</v>
      </c>
      <c r="H221" t="s">
        <v>2039</v>
      </c>
    </row>
    <row r="222" spans="3:8" x14ac:dyDescent="0.35">
      <c r="C222" s="21">
        <v>219</v>
      </c>
      <c r="D222" t="s">
        <v>592</v>
      </c>
      <c r="E222" t="s">
        <v>1590</v>
      </c>
      <c r="F222" t="s">
        <v>892</v>
      </c>
      <c r="G222" t="s">
        <v>1890</v>
      </c>
      <c r="H222" t="s">
        <v>2040</v>
      </c>
    </row>
    <row r="223" spans="3:8" x14ac:dyDescent="0.35">
      <c r="C223" s="21">
        <v>220</v>
      </c>
      <c r="D223" t="s">
        <v>593</v>
      </c>
      <c r="E223" t="s">
        <v>1591</v>
      </c>
      <c r="F223" t="s">
        <v>893</v>
      </c>
      <c r="G223" t="s">
        <v>1891</v>
      </c>
      <c r="H223" t="s">
        <v>2041</v>
      </c>
    </row>
    <row r="224" spans="3:8" x14ac:dyDescent="0.35">
      <c r="C224" s="21">
        <v>221</v>
      </c>
      <c r="D224" t="s">
        <v>594</v>
      </c>
      <c r="E224" t="s">
        <v>1592</v>
      </c>
      <c r="F224" t="s">
        <v>894</v>
      </c>
      <c r="G224" t="s">
        <v>1892</v>
      </c>
      <c r="H224" t="s">
        <v>2042</v>
      </c>
    </row>
    <row r="225" spans="3:8" x14ac:dyDescent="0.35">
      <c r="C225" s="21">
        <v>222</v>
      </c>
      <c r="D225" t="s">
        <v>595</v>
      </c>
      <c r="E225" t="s">
        <v>1593</v>
      </c>
      <c r="F225" t="s">
        <v>895</v>
      </c>
      <c r="G225" t="s">
        <v>1893</v>
      </c>
      <c r="H225" t="s">
        <v>2043</v>
      </c>
    </row>
    <row r="226" spans="3:8" x14ac:dyDescent="0.35">
      <c r="C226" s="21">
        <v>223</v>
      </c>
      <c r="D226" t="s">
        <v>596</v>
      </c>
      <c r="E226" t="s">
        <v>1594</v>
      </c>
      <c r="F226" t="s">
        <v>896</v>
      </c>
      <c r="G226" t="s">
        <v>1894</v>
      </c>
      <c r="H226" t="s">
        <v>2044</v>
      </c>
    </row>
    <row r="227" spans="3:8" x14ac:dyDescent="0.35">
      <c r="C227" s="21">
        <v>224</v>
      </c>
      <c r="D227" t="s">
        <v>597</v>
      </c>
      <c r="E227" t="s">
        <v>1595</v>
      </c>
      <c r="F227" t="s">
        <v>897</v>
      </c>
      <c r="G227" t="s">
        <v>1895</v>
      </c>
      <c r="H227" t="s">
        <v>2045</v>
      </c>
    </row>
    <row r="228" spans="3:8" x14ac:dyDescent="0.35">
      <c r="C228" s="21">
        <v>225</v>
      </c>
      <c r="D228" t="s">
        <v>598</v>
      </c>
      <c r="E228" t="s">
        <v>1596</v>
      </c>
      <c r="F228" t="s">
        <v>898</v>
      </c>
      <c r="G228" t="s">
        <v>1896</v>
      </c>
      <c r="H228" t="s">
        <v>2046</v>
      </c>
    </row>
    <row r="229" spans="3:8" x14ac:dyDescent="0.35">
      <c r="C229" s="21">
        <v>226</v>
      </c>
      <c r="D229" t="s">
        <v>599</v>
      </c>
      <c r="E229" t="s">
        <v>1597</v>
      </c>
      <c r="F229" t="s">
        <v>899</v>
      </c>
      <c r="G229" t="s">
        <v>1897</v>
      </c>
      <c r="H229" t="s">
        <v>2047</v>
      </c>
    </row>
    <row r="230" spans="3:8" x14ac:dyDescent="0.35">
      <c r="C230" s="21">
        <v>227</v>
      </c>
      <c r="D230" t="s">
        <v>600</v>
      </c>
      <c r="E230" t="s">
        <v>1598</v>
      </c>
      <c r="F230" t="s">
        <v>900</v>
      </c>
      <c r="G230" t="s">
        <v>1898</v>
      </c>
      <c r="H230" t="s">
        <v>2048</v>
      </c>
    </row>
    <row r="231" spans="3:8" x14ac:dyDescent="0.35">
      <c r="C231" s="21">
        <v>228</v>
      </c>
      <c r="D231" t="s">
        <v>601</v>
      </c>
      <c r="E231" t="s">
        <v>1599</v>
      </c>
      <c r="F231" t="s">
        <v>901</v>
      </c>
      <c r="G231" t="s">
        <v>1899</v>
      </c>
      <c r="H231" t="s">
        <v>2049</v>
      </c>
    </row>
    <row r="232" spans="3:8" x14ac:dyDescent="0.35">
      <c r="C232" s="21">
        <v>229</v>
      </c>
      <c r="D232" t="s">
        <v>602</v>
      </c>
      <c r="E232" t="s">
        <v>1600</v>
      </c>
      <c r="F232" t="s">
        <v>902</v>
      </c>
      <c r="G232" t="s">
        <v>1900</v>
      </c>
      <c r="H232" t="s">
        <v>2050</v>
      </c>
    </row>
    <row r="233" spans="3:8" x14ac:dyDescent="0.35">
      <c r="C233" s="21">
        <v>230</v>
      </c>
      <c r="D233" t="s">
        <v>603</v>
      </c>
      <c r="E233" t="s">
        <v>1601</v>
      </c>
      <c r="F233" t="s">
        <v>903</v>
      </c>
      <c r="G233" t="s">
        <v>1901</v>
      </c>
      <c r="H233" t="s">
        <v>2051</v>
      </c>
    </row>
    <row r="234" spans="3:8" x14ac:dyDescent="0.35">
      <c r="C234" s="21">
        <v>231</v>
      </c>
      <c r="D234" t="s">
        <v>604</v>
      </c>
      <c r="E234" t="s">
        <v>1602</v>
      </c>
      <c r="F234" t="s">
        <v>904</v>
      </c>
      <c r="G234" t="s">
        <v>1902</v>
      </c>
      <c r="H234" t="s">
        <v>2052</v>
      </c>
    </row>
    <row r="235" spans="3:8" x14ac:dyDescent="0.35">
      <c r="C235" s="21">
        <v>232</v>
      </c>
      <c r="D235" t="s">
        <v>605</v>
      </c>
      <c r="E235" t="s">
        <v>1603</v>
      </c>
      <c r="F235" t="s">
        <v>905</v>
      </c>
      <c r="G235" t="s">
        <v>1903</v>
      </c>
      <c r="H235" t="s">
        <v>2053</v>
      </c>
    </row>
    <row r="236" spans="3:8" x14ac:dyDescent="0.35">
      <c r="C236" s="21">
        <v>233</v>
      </c>
      <c r="D236" t="s">
        <v>606</v>
      </c>
      <c r="E236" t="s">
        <v>1604</v>
      </c>
      <c r="F236" t="s">
        <v>906</v>
      </c>
      <c r="G236" t="s">
        <v>1904</v>
      </c>
      <c r="H236" t="s">
        <v>2054</v>
      </c>
    </row>
    <row r="237" spans="3:8" x14ac:dyDescent="0.35">
      <c r="C237" s="21">
        <v>234</v>
      </c>
      <c r="D237" t="s">
        <v>607</v>
      </c>
      <c r="E237" t="s">
        <v>1605</v>
      </c>
      <c r="F237" t="s">
        <v>907</v>
      </c>
      <c r="G237" t="s">
        <v>1905</v>
      </c>
      <c r="H237" t="s">
        <v>2055</v>
      </c>
    </row>
    <row r="238" spans="3:8" x14ac:dyDescent="0.35">
      <c r="C238" s="21">
        <v>235</v>
      </c>
      <c r="D238" t="s">
        <v>608</v>
      </c>
      <c r="E238" t="s">
        <v>1606</v>
      </c>
      <c r="F238" t="s">
        <v>908</v>
      </c>
      <c r="G238" t="s">
        <v>1906</v>
      </c>
      <c r="H238" t="s">
        <v>2056</v>
      </c>
    </row>
    <row r="239" spans="3:8" x14ac:dyDescent="0.35">
      <c r="C239" s="21">
        <v>236</v>
      </c>
      <c r="D239" t="s">
        <v>609</v>
      </c>
      <c r="E239" t="s">
        <v>1607</v>
      </c>
      <c r="F239" t="s">
        <v>909</v>
      </c>
      <c r="G239" t="s">
        <v>1907</v>
      </c>
      <c r="H239" t="s">
        <v>2057</v>
      </c>
    </row>
    <row r="240" spans="3:8" x14ac:dyDescent="0.35">
      <c r="C240" s="21">
        <v>237</v>
      </c>
      <c r="D240" t="s">
        <v>610</v>
      </c>
      <c r="E240" t="s">
        <v>1608</v>
      </c>
      <c r="F240" t="s">
        <v>910</v>
      </c>
      <c r="G240" t="s">
        <v>1908</v>
      </c>
      <c r="H240" t="s">
        <v>2058</v>
      </c>
    </row>
    <row r="241" spans="3:8" x14ac:dyDescent="0.35">
      <c r="C241" s="21">
        <v>238</v>
      </c>
      <c r="D241" t="s">
        <v>611</v>
      </c>
      <c r="E241" t="s">
        <v>1609</v>
      </c>
      <c r="F241" t="s">
        <v>911</v>
      </c>
      <c r="G241" t="s">
        <v>1909</v>
      </c>
      <c r="H241" t="s">
        <v>2059</v>
      </c>
    </row>
    <row r="242" spans="3:8" x14ac:dyDescent="0.35">
      <c r="C242" s="21">
        <v>239</v>
      </c>
      <c r="D242" t="s">
        <v>612</v>
      </c>
      <c r="E242" t="s">
        <v>1610</v>
      </c>
      <c r="F242" t="s">
        <v>912</v>
      </c>
      <c r="G242" t="s">
        <v>1910</v>
      </c>
      <c r="H242" t="s">
        <v>2060</v>
      </c>
    </row>
    <row r="243" spans="3:8" x14ac:dyDescent="0.35">
      <c r="C243" s="21">
        <v>240</v>
      </c>
      <c r="D243" t="s">
        <v>613</v>
      </c>
      <c r="E243" t="s">
        <v>1611</v>
      </c>
      <c r="F243" t="s">
        <v>913</v>
      </c>
      <c r="G243" t="s">
        <v>1911</v>
      </c>
      <c r="H243" t="s">
        <v>2061</v>
      </c>
    </row>
    <row r="244" spans="3:8" x14ac:dyDescent="0.35">
      <c r="C244" s="21">
        <v>241</v>
      </c>
      <c r="D244" t="s">
        <v>614</v>
      </c>
      <c r="E244" t="s">
        <v>1612</v>
      </c>
      <c r="F244" t="s">
        <v>914</v>
      </c>
      <c r="G244" t="s">
        <v>1912</v>
      </c>
      <c r="H244" t="s">
        <v>2062</v>
      </c>
    </row>
    <row r="245" spans="3:8" x14ac:dyDescent="0.35">
      <c r="C245" s="21">
        <v>242</v>
      </c>
      <c r="D245" t="s">
        <v>615</v>
      </c>
      <c r="E245" t="s">
        <v>1613</v>
      </c>
      <c r="F245" t="s">
        <v>915</v>
      </c>
      <c r="G245" t="s">
        <v>1913</v>
      </c>
      <c r="H245" t="s">
        <v>2063</v>
      </c>
    </row>
    <row r="246" spans="3:8" x14ac:dyDescent="0.35">
      <c r="C246" s="21">
        <v>243</v>
      </c>
      <c r="D246" t="s">
        <v>616</v>
      </c>
      <c r="E246" t="s">
        <v>1614</v>
      </c>
      <c r="F246" t="s">
        <v>916</v>
      </c>
      <c r="G246" t="s">
        <v>1914</v>
      </c>
      <c r="H246" t="s">
        <v>2064</v>
      </c>
    </row>
    <row r="247" spans="3:8" x14ac:dyDescent="0.35">
      <c r="C247" s="21">
        <v>244</v>
      </c>
      <c r="D247" t="s">
        <v>617</v>
      </c>
      <c r="E247" t="s">
        <v>1615</v>
      </c>
      <c r="F247" t="s">
        <v>917</v>
      </c>
      <c r="G247" t="s">
        <v>1915</v>
      </c>
      <c r="H247" t="s">
        <v>2065</v>
      </c>
    </row>
    <row r="248" spans="3:8" x14ac:dyDescent="0.35">
      <c r="C248" s="21">
        <v>245</v>
      </c>
      <c r="D248" t="s">
        <v>618</v>
      </c>
      <c r="E248" t="s">
        <v>1616</v>
      </c>
      <c r="F248" t="s">
        <v>918</v>
      </c>
      <c r="G248" t="s">
        <v>1916</v>
      </c>
      <c r="H248" t="s">
        <v>2066</v>
      </c>
    </row>
    <row r="249" spans="3:8" x14ac:dyDescent="0.35">
      <c r="C249" s="21">
        <v>246</v>
      </c>
      <c r="D249" t="s">
        <v>619</v>
      </c>
      <c r="E249" t="s">
        <v>1617</v>
      </c>
      <c r="F249" t="s">
        <v>919</v>
      </c>
      <c r="G249" t="s">
        <v>1917</v>
      </c>
      <c r="H249" t="s">
        <v>2067</v>
      </c>
    </row>
    <row r="250" spans="3:8" x14ac:dyDescent="0.35">
      <c r="C250" s="21">
        <v>247</v>
      </c>
      <c r="D250" t="s">
        <v>620</v>
      </c>
      <c r="E250" t="s">
        <v>1618</v>
      </c>
      <c r="F250" t="s">
        <v>920</v>
      </c>
      <c r="G250" t="s">
        <v>1918</v>
      </c>
      <c r="H250" t="s">
        <v>2068</v>
      </c>
    </row>
    <row r="251" spans="3:8" x14ac:dyDescent="0.35">
      <c r="C251" s="21">
        <v>248</v>
      </c>
      <c r="D251" t="s">
        <v>621</v>
      </c>
      <c r="E251" t="s">
        <v>1619</v>
      </c>
      <c r="F251" t="s">
        <v>921</v>
      </c>
      <c r="G251" t="s">
        <v>1919</v>
      </c>
      <c r="H251" t="s">
        <v>2069</v>
      </c>
    </row>
    <row r="252" spans="3:8" x14ac:dyDescent="0.35">
      <c r="C252" s="21">
        <v>249</v>
      </c>
      <c r="D252" t="s">
        <v>622</v>
      </c>
      <c r="E252" t="s">
        <v>1620</v>
      </c>
      <c r="F252" t="s">
        <v>922</v>
      </c>
      <c r="G252" t="s">
        <v>1920</v>
      </c>
      <c r="H252" t="s">
        <v>2070</v>
      </c>
    </row>
    <row r="253" spans="3:8" x14ac:dyDescent="0.35">
      <c r="C253" s="21">
        <v>250</v>
      </c>
      <c r="D253" t="s">
        <v>623</v>
      </c>
      <c r="E253" t="s">
        <v>1621</v>
      </c>
      <c r="F253" t="s">
        <v>923</v>
      </c>
      <c r="G253" t="s">
        <v>1921</v>
      </c>
      <c r="H253" t="s">
        <v>2071</v>
      </c>
    </row>
    <row r="254" spans="3:8" x14ac:dyDescent="0.35">
      <c r="C254" s="21">
        <v>251</v>
      </c>
      <c r="D254" t="s">
        <v>624</v>
      </c>
      <c r="E254" t="s">
        <v>1622</v>
      </c>
      <c r="F254" t="s">
        <v>924</v>
      </c>
      <c r="G254" t="s">
        <v>1922</v>
      </c>
      <c r="H254" t="s">
        <v>2072</v>
      </c>
    </row>
    <row r="255" spans="3:8" x14ac:dyDescent="0.35">
      <c r="C255" s="21">
        <v>252</v>
      </c>
      <c r="D255" t="s">
        <v>625</v>
      </c>
      <c r="E255" t="s">
        <v>1623</v>
      </c>
      <c r="F255" t="s">
        <v>925</v>
      </c>
      <c r="G255" t="s">
        <v>1923</v>
      </c>
      <c r="H255" t="s">
        <v>2073</v>
      </c>
    </row>
    <row r="256" spans="3:8" x14ac:dyDescent="0.35">
      <c r="C256" s="21">
        <v>253</v>
      </c>
      <c r="D256" t="s">
        <v>626</v>
      </c>
      <c r="E256" t="s">
        <v>1624</v>
      </c>
      <c r="F256" t="s">
        <v>926</v>
      </c>
      <c r="G256" t="s">
        <v>1924</v>
      </c>
      <c r="H256" t="s">
        <v>2074</v>
      </c>
    </row>
    <row r="257" spans="3:8" x14ac:dyDescent="0.35">
      <c r="C257" s="21">
        <v>254</v>
      </c>
      <c r="D257" t="s">
        <v>627</v>
      </c>
      <c r="E257" t="s">
        <v>1625</v>
      </c>
      <c r="F257" t="s">
        <v>927</v>
      </c>
      <c r="G257" t="s">
        <v>1925</v>
      </c>
      <c r="H257" t="s">
        <v>2075</v>
      </c>
    </row>
    <row r="258" spans="3:8" x14ac:dyDescent="0.35">
      <c r="C258" s="21">
        <v>255</v>
      </c>
      <c r="D258" t="s">
        <v>628</v>
      </c>
      <c r="E258" t="s">
        <v>1626</v>
      </c>
      <c r="F258" t="s">
        <v>928</v>
      </c>
      <c r="G258" t="s">
        <v>1926</v>
      </c>
      <c r="H258" t="s">
        <v>2076</v>
      </c>
    </row>
    <row r="259" spans="3:8" x14ac:dyDescent="0.35">
      <c r="C259" s="21">
        <v>256</v>
      </c>
      <c r="D259" t="s">
        <v>629</v>
      </c>
      <c r="E259" t="s">
        <v>1627</v>
      </c>
      <c r="F259" t="s">
        <v>929</v>
      </c>
      <c r="G259" t="s">
        <v>1927</v>
      </c>
      <c r="H259" t="s">
        <v>2077</v>
      </c>
    </row>
    <row r="260" spans="3:8" x14ac:dyDescent="0.35">
      <c r="C260" s="21">
        <v>257</v>
      </c>
      <c r="D260" t="s">
        <v>630</v>
      </c>
      <c r="E260" t="s">
        <v>1628</v>
      </c>
      <c r="F260" t="s">
        <v>930</v>
      </c>
      <c r="G260" t="s">
        <v>1928</v>
      </c>
      <c r="H260" t="s">
        <v>2078</v>
      </c>
    </row>
    <row r="261" spans="3:8" x14ac:dyDescent="0.35">
      <c r="C261" s="21">
        <v>258</v>
      </c>
      <c r="D261" t="s">
        <v>631</v>
      </c>
      <c r="E261" t="s">
        <v>1629</v>
      </c>
      <c r="F261" t="s">
        <v>931</v>
      </c>
      <c r="G261" t="s">
        <v>1929</v>
      </c>
      <c r="H261" t="s">
        <v>2079</v>
      </c>
    </row>
    <row r="262" spans="3:8" x14ac:dyDescent="0.35">
      <c r="C262" s="21">
        <v>259</v>
      </c>
      <c r="D262" t="s">
        <v>632</v>
      </c>
      <c r="E262" t="s">
        <v>1630</v>
      </c>
      <c r="F262" t="s">
        <v>932</v>
      </c>
      <c r="G262" t="s">
        <v>1930</v>
      </c>
      <c r="H262" t="s">
        <v>2080</v>
      </c>
    </row>
    <row r="263" spans="3:8" x14ac:dyDescent="0.35">
      <c r="C263" s="21">
        <v>260</v>
      </c>
      <c r="D263" t="s">
        <v>633</v>
      </c>
      <c r="E263" t="s">
        <v>1631</v>
      </c>
      <c r="F263" t="s">
        <v>933</v>
      </c>
      <c r="G263" t="s">
        <v>1931</v>
      </c>
      <c r="H263" t="s">
        <v>2081</v>
      </c>
    </row>
    <row r="264" spans="3:8" x14ac:dyDescent="0.35">
      <c r="C264" s="21">
        <v>261</v>
      </c>
      <c r="D264" t="s">
        <v>634</v>
      </c>
      <c r="E264" t="s">
        <v>1632</v>
      </c>
      <c r="F264" t="s">
        <v>934</v>
      </c>
      <c r="G264" t="s">
        <v>1932</v>
      </c>
      <c r="H264" t="s">
        <v>2082</v>
      </c>
    </row>
    <row r="265" spans="3:8" x14ac:dyDescent="0.35">
      <c r="C265" s="21">
        <v>262</v>
      </c>
      <c r="D265" t="s">
        <v>635</v>
      </c>
      <c r="E265" t="s">
        <v>1633</v>
      </c>
      <c r="F265" t="s">
        <v>935</v>
      </c>
      <c r="G265" t="s">
        <v>1933</v>
      </c>
      <c r="H265" t="s">
        <v>2083</v>
      </c>
    </row>
    <row r="266" spans="3:8" x14ac:dyDescent="0.35">
      <c r="C266" s="21">
        <v>263</v>
      </c>
      <c r="D266" t="s">
        <v>636</v>
      </c>
      <c r="E266" t="s">
        <v>1634</v>
      </c>
      <c r="F266" t="s">
        <v>936</v>
      </c>
      <c r="G266" t="s">
        <v>1934</v>
      </c>
      <c r="H266" t="s">
        <v>2084</v>
      </c>
    </row>
    <row r="267" spans="3:8" x14ac:dyDescent="0.35">
      <c r="C267" s="21">
        <v>264</v>
      </c>
      <c r="D267" t="s">
        <v>637</v>
      </c>
      <c r="E267" t="s">
        <v>1635</v>
      </c>
      <c r="F267" t="s">
        <v>937</v>
      </c>
      <c r="G267" t="s">
        <v>1935</v>
      </c>
      <c r="H267" t="s">
        <v>2085</v>
      </c>
    </row>
    <row r="268" spans="3:8" x14ac:dyDescent="0.35">
      <c r="C268" s="21">
        <v>265</v>
      </c>
      <c r="D268" t="s">
        <v>638</v>
      </c>
      <c r="E268" t="s">
        <v>1636</v>
      </c>
      <c r="F268" t="s">
        <v>938</v>
      </c>
      <c r="G268" t="s">
        <v>1936</v>
      </c>
      <c r="H268" t="s">
        <v>2086</v>
      </c>
    </row>
    <row r="269" spans="3:8" x14ac:dyDescent="0.35">
      <c r="C269" s="21">
        <v>266</v>
      </c>
      <c r="D269" t="s">
        <v>639</v>
      </c>
      <c r="E269" t="s">
        <v>1637</v>
      </c>
      <c r="F269" t="s">
        <v>939</v>
      </c>
      <c r="G269" t="s">
        <v>1937</v>
      </c>
      <c r="H269" t="s">
        <v>2087</v>
      </c>
    </row>
    <row r="270" spans="3:8" x14ac:dyDescent="0.35">
      <c r="C270" s="21">
        <v>267</v>
      </c>
      <c r="D270" t="s">
        <v>640</v>
      </c>
      <c r="E270" t="s">
        <v>1638</v>
      </c>
      <c r="F270" t="s">
        <v>940</v>
      </c>
      <c r="G270" t="s">
        <v>1938</v>
      </c>
      <c r="H270" t="s">
        <v>2088</v>
      </c>
    </row>
    <row r="271" spans="3:8" x14ac:dyDescent="0.35">
      <c r="C271" s="21">
        <v>268</v>
      </c>
      <c r="D271" t="s">
        <v>641</v>
      </c>
      <c r="E271" t="s">
        <v>1639</v>
      </c>
      <c r="F271" t="s">
        <v>941</v>
      </c>
      <c r="G271" t="s">
        <v>1939</v>
      </c>
      <c r="H271" t="s">
        <v>2089</v>
      </c>
    </row>
    <row r="272" spans="3:8" x14ac:dyDescent="0.35">
      <c r="C272" s="21">
        <v>269</v>
      </c>
      <c r="D272" t="s">
        <v>642</v>
      </c>
      <c r="E272" t="s">
        <v>1640</v>
      </c>
      <c r="F272" t="s">
        <v>942</v>
      </c>
      <c r="G272" t="s">
        <v>1940</v>
      </c>
      <c r="H272" t="s">
        <v>2090</v>
      </c>
    </row>
    <row r="273" spans="3:8" x14ac:dyDescent="0.35">
      <c r="C273" s="21">
        <v>270</v>
      </c>
      <c r="D273" t="s">
        <v>643</v>
      </c>
      <c r="E273" t="s">
        <v>1641</v>
      </c>
      <c r="F273" t="s">
        <v>943</v>
      </c>
      <c r="G273" t="s">
        <v>1941</v>
      </c>
      <c r="H273" t="s">
        <v>2091</v>
      </c>
    </row>
    <row r="274" spans="3:8" x14ac:dyDescent="0.35">
      <c r="C274" s="21">
        <v>271</v>
      </c>
      <c r="D274" t="s">
        <v>644</v>
      </c>
      <c r="E274" t="s">
        <v>1642</v>
      </c>
      <c r="F274" t="s">
        <v>944</v>
      </c>
      <c r="G274" t="s">
        <v>1942</v>
      </c>
      <c r="H274" t="s">
        <v>2092</v>
      </c>
    </row>
    <row r="275" spans="3:8" x14ac:dyDescent="0.35">
      <c r="C275" s="21">
        <v>272</v>
      </c>
      <c r="D275" t="s">
        <v>645</v>
      </c>
      <c r="E275" t="s">
        <v>1643</v>
      </c>
      <c r="F275" t="s">
        <v>945</v>
      </c>
      <c r="G275" t="s">
        <v>1943</v>
      </c>
      <c r="H275" t="s">
        <v>2093</v>
      </c>
    </row>
    <row r="276" spans="3:8" x14ac:dyDescent="0.35">
      <c r="C276" s="21">
        <v>273</v>
      </c>
      <c r="D276" t="s">
        <v>646</v>
      </c>
      <c r="E276" t="s">
        <v>1644</v>
      </c>
      <c r="F276" t="s">
        <v>946</v>
      </c>
      <c r="G276" t="s">
        <v>1944</v>
      </c>
      <c r="H276" t="s">
        <v>2094</v>
      </c>
    </row>
    <row r="277" spans="3:8" x14ac:dyDescent="0.35">
      <c r="C277" s="21">
        <v>274</v>
      </c>
      <c r="D277" t="s">
        <v>647</v>
      </c>
      <c r="E277" t="s">
        <v>1645</v>
      </c>
      <c r="F277" t="s">
        <v>947</v>
      </c>
      <c r="G277" t="s">
        <v>1945</v>
      </c>
      <c r="H277" t="s">
        <v>2095</v>
      </c>
    </row>
    <row r="278" spans="3:8" x14ac:dyDescent="0.35">
      <c r="C278" s="21">
        <v>275</v>
      </c>
      <c r="D278" t="s">
        <v>648</v>
      </c>
      <c r="E278" t="s">
        <v>1646</v>
      </c>
      <c r="F278" t="s">
        <v>948</v>
      </c>
      <c r="G278" t="s">
        <v>1946</v>
      </c>
      <c r="H278" t="s">
        <v>2096</v>
      </c>
    </row>
    <row r="279" spans="3:8" x14ac:dyDescent="0.35">
      <c r="C279" s="21">
        <v>276</v>
      </c>
      <c r="D279" t="s">
        <v>649</v>
      </c>
      <c r="E279" t="s">
        <v>1647</v>
      </c>
      <c r="F279" t="s">
        <v>949</v>
      </c>
      <c r="G279" t="s">
        <v>1947</v>
      </c>
      <c r="H279" t="s">
        <v>2097</v>
      </c>
    </row>
    <row r="280" spans="3:8" x14ac:dyDescent="0.35">
      <c r="C280" s="21">
        <v>277</v>
      </c>
      <c r="D280" t="s">
        <v>650</v>
      </c>
      <c r="E280" t="s">
        <v>1648</v>
      </c>
      <c r="F280" t="s">
        <v>950</v>
      </c>
      <c r="G280" t="s">
        <v>1948</v>
      </c>
      <c r="H280" t="s">
        <v>2098</v>
      </c>
    </row>
    <row r="281" spans="3:8" x14ac:dyDescent="0.35">
      <c r="C281" s="21">
        <v>278</v>
      </c>
      <c r="D281" t="s">
        <v>651</v>
      </c>
      <c r="E281" t="s">
        <v>1649</v>
      </c>
      <c r="F281" t="s">
        <v>951</v>
      </c>
      <c r="G281" t="s">
        <v>1949</v>
      </c>
      <c r="H281" t="s">
        <v>2099</v>
      </c>
    </row>
    <row r="282" spans="3:8" x14ac:dyDescent="0.35">
      <c r="C282" s="21">
        <v>279</v>
      </c>
      <c r="D282" t="s">
        <v>652</v>
      </c>
      <c r="E282" t="s">
        <v>1650</v>
      </c>
      <c r="F282" t="s">
        <v>952</v>
      </c>
      <c r="G282" t="s">
        <v>1950</v>
      </c>
      <c r="H282" t="s">
        <v>2100</v>
      </c>
    </row>
    <row r="283" spans="3:8" x14ac:dyDescent="0.35">
      <c r="C283" s="21">
        <v>280</v>
      </c>
      <c r="D283" t="s">
        <v>653</v>
      </c>
      <c r="E283" t="s">
        <v>1651</v>
      </c>
      <c r="F283" t="s">
        <v>953</v>
      </c>
      <c r="G283" t="s">
        <v>1951</v>
      </c>
      <c r="H283" t="s">
        <v>2101</v>
      </c>
    </row>
    <row r="284" spans="3:8" x14ac:dyDescent="0.35">
      <c r="C284" s="21">
        <v>281</v>
      </c>
      <c r="D284" t="s">
        <v>654</v>
      </c>
      <c r="E284" t="s">
        <v>1652</v>
      </c>
      <c r="F284" t="s">
        <v>954</v>
      </c>
      <c r="G284" t="s">
        <v>1952</v>
      </c>
      <c r="H284" t="s">
        <v>2102</v>
      </c>
    </row>
    <row r="285" spans="3:8" x14ac:dyDescent="0.35">
      <c r="C285" s="21">
        <v>282</v>
      </c>
      <c r="D285" t="s">
        <v>655</v>
      </c>
      <c r="E285" t="s">
        <v>1653</v>
      </c>
      <c r="F285" t="s">
        <v>955</v>
      </c>
      <c r="G285" t="s">
        <v>1953</v>
      </c>
      <c r="H285" t="s">
        <v>2103</v>
      </c>
    </row>
    <row r="286" spans="3:8" x14ac:dyDescent="0.35">
      <c r="C286" s="21">
        <v>283</v>
      </c>
      <c r="D286" t="s">
        <v>656</v>
      </c>
      <c r="E286" t="s">
        <v>1654</v>
      </c>
      <c r="F286" t="s">
        <v>956</v>
      </c>
      <c r="G286" t="s">
        <v>1954</v>
      </c>
      <c r="H286" t="s">
        <v>2104</v>
      </c>
    </row>
    <row r="287" spans="3:8" x14ac:dyDescent="0.35">
      <c r="C287" s="21">
        <v>284</v>
      </c>
      <c r="D287" t="s">
        <v>657</v>
      </c>
      <c r="E287" t="s">
        <v>1655</v>
      </c>
      <c r="F287" t="s">
        <v>957</v>
      </c>
      <c r="G287" t="s">
        <v>1955</v>
      </c>
      <c r="H287" t="s">
        <v>2105</v>
      </c>
    </row>
    <row r="288" spans="3:8" x14ac:dyDescent="0.35">
      <c r="C288" s="21">
        <v>285</v>
      </c>
      <c r="D288" t="s">
        <v>658</v>
      </c>
      <c r="E288" t="s">
        <v>1656</v>
      </c>
      <c r="F288" t="s">
        <v>958</v>
      </c>
      <c r="G288" t="s">
        <v>1956</v>
      </c>
      <c r="H288" t="s">
        <v>2106</v>
      </c>
    </row>
    <row r="289" spans="3:8" x14ac:dyDescent="0.35">
      <c r="C289" s="21">
        <v>286</v>
      </c>
      <c r="D289" t="s">
        <v>659</v>
      </c>
      <c r="E289" t="s">
        <v>1657</v>
      </c>
      <c r="F289" t="s">
        <v>959</v>
      </c>
      <c r="G289" t="s">
        <v>1957</v>
      </c>
      <c r="H289" t="s">
        <v>2107</v>
      </c>
    </row>
    <row r="290" spans="3:8" x14ac:dyDescent="0.35">
      <c r="C290" s="21">
        <v>287</v>
      </c>
      <c r="D290" t="s">
        <v>660</v>
      </c>
      <c r="E290" t="s">
        <v>1658</v>
      </c>
      <c r="F290" t="s">
        <v>960</v>
      </c>
      <c r="G290" t="s">
        <v>1958</v>
      </c>
      <c r="H290" t="s">
        <v>2108</v>
      </c>
    </row>
    <row r="291" spans="3:8" x14ac:dyDescent="0.35">
      <c r="C291" s="21">
        <v>288</v>
      </c>
      <c r="D291" t="s">
        <v>661</v>
      </c>
      <c r="E291" t="s">
        <v>1659</v>
      </c>
      <c r="F291" t="s">
        <v>961</v>
      </c>
      <c r="G291" t="s">
        <v>1959</v>
      </c>
      <c r="H291" t="s">
        <v>2109</v>
      </c>
    </row>
    <row r="292" spans="3:8" x14ac:dyDescent="0.35">
      <c r="C292" s="21">
        <v>289</v>
      </c>
      <c r="D292" t="s">
        <v>662</v>
      </c>
      <c r="E292" t="s">
        <v>1660</v>
      </c>
      <c r="F292" t="s">
        <v>962</v>
      </c>
      <c r="G292" t="s">
        <v>1960</v>
      </c>
      <c r="H292" t="s">
        <v>2110</v>
      </c>
    </row>
    <row r="293" spans="3:8" x14ac:dyDescent="0.35">
      <c r="C293" s="21">
        <v>290</v>
      </c>
      <c r="D293" t="s">
        <v>663</v>
      </c>
      <c r="E293" t="s">
        <v>1661</v>
      </c>
      <c r="F293" t="s">
        <v>963</v>
      </c>
      <c r="G293" t="s">
        <v>1961</v>
      </c>
      <c r="H293" t="s">
        <v>2111</v>
      </c>
    </row>
    <row r="294" spans="3:8" x14ac:dyDescent="0.35">
      <c r="C294" s="21">
        <v>291</v>
      </c>
      <c r="D294" t="s">
        <v>664</v>
      </c>
      <c r="E294" t="s">
        <v>1662</v>
      </c>
      <c r="F294" t="s">
        <v>964</v>
      </c>
      <c r="G294" t="s">
        <v>1962</v>
      </c>
      <c r="H294" t="s">
        <v>2112</v>
      </c>
    </row>
    <row r="295" spans="3:8" x14ac:dyDescent="0.35">
      <c r="C295" s="21">
        <v>292</v>
      </c>
      <c r="D295" t="s">
        <v>665</v>
      </c>
      <c r="E295" t="s">
        <v>1663</v>
      </c>
      <c r="F295" t="s">
        <v>965</v>
      </c>
      <c r="G295" t="s">
        <v>1963</v>
      </c>
      <c r="H295" t="s">
        <v>2113</v>
      </c>
    </row>
    <row r="296" spans="3:8" x14ac:dyDescent="0.35">
      <c r="C296" s="21">
        <v>293</v>
      </c>
      <c r="D296" t="s">
        <v>666</v>
      </c>
      <c r="E296" t="s">
        <v>1664</v>
      </c>
      <c r="F296" t="s">
        <v>966</v>
      </c>
      <c r="G296" t="s">
        <v>1964</v>
      </c>
      <c r="H296" t="s">
        <v>2114</v>
      </c>
    </row>
    <row r="297" spans="3:8" x14ac:dyDescent="0.35">
      <c r="C297" s="21">
        <v>294</v>
      </c>
      <c r="D297" t="s">
        <v>667</v>
      </c>
      <c r="E297" t="s">
        <v>1665</v>
      </c>
      <c r="F297" t="s">
        <v>967</v>
      </c>
      <c r="G297" t="s">
        <v>1965</v>
      </c>
      <c r="H297" t="s">
        <v>2115</v>
      </c>
    </row>
    <row r="298" spans="3:8" x14ac:dyDescent="0.35">
      <c r="C298" s="21">
        <v>295</v>
      </c>
      <c r="D298" t="s">
        <v>668</v>
      </c>
      <c r="E298" t="s">
        <v>1666</v>
      </c>
      <c r="F298" t="s">
        <v>968</v>
      </c>
      <c r="G298" t="s">
        <v>1966</v>
      </c>
      <c r="H298" t="s">
        <v>2116</v>
      </c>
    </row>
    <row r="299" spans="3:8" x14ac:dyDescent="0.35">
      <c r="C299" s="21">
        <v>296</v>
      </c>
      <c r="D299" t="s">
        <v>669</v>
      </c>
      <c r="E299" t="s">
        <v>1667</v>
      </c>
      <c r="F299" t="s">
        <v>969</v>
      </c>
      <c r="G299" t="s">
        <v>1967</v>
      </c>
      <c r="H299" t="s">
        <v>2117</v>
      </c>
    </row>
    <row r="300" spans="3:8" x14ac:dyDescent="0.35">
      <c r="C300" s="21">
        <v>297</v>
      </c>
      <c r="D300" t="s">
        <v>670</v>
      </c>
      <c r="E300" t="s">
        <v>1668</v>
      </c>
      <c r="F300" t="s">
        <v>970</v>
      </c>
      <c r="G300" t="s">
        <v>1968</v>
      </c>
      <c r="H300" t="s">
        <v>2118</v>
      </c>
    </row>
    <row r="301" spans="3:8" x14ac:dyDescent="0.35">
      <c r="C301" s="21">
        <v>298</v>
      </c>
      <c r="D301" t="s">
        <v>671</v>
      </c>
      <c r="E301" t="s">
        <v>1669</v>
      </c>
      <c r="F301" t="s">
        <v>971</v>
      </c>
      <c r="G301" t="s">
        <v>1969</v>
      </c>
      <c r="H301" t="s">
        <v>2119</v>
      </c>
    </row>
    <row r="302" spans="3:8" x14ac:dyDescent="0.35">
      <c r="C302" s="21">
        <v>299</v>
      </c>
      <c r="D302" t="s">
        <v>672</v>
      </c>
      <c r="E302" t="s">
        <v>1670</v>
      </c>
      <c r="F302" t="s">
        <v>972</v>
      </c>
      <c r="G302" t="s">
        <v>1970</v>
      </c>
      <c r="H302" t="s">
        <v>2120</v>
      </c>
    </row>
    <row r="303" spans="3:8" x14ac:dyDescent="0.35">
      <c r="C303" s="21">
        <v>300</v>
      </c>
      <c r="D303" t="s">
        <v>673</v>
      </c>
      <c r="E303" t="s">
        <v>1671</v>
      </c>
      <c r="F303" t="s">
        <v>973</v>
      </c>
      <c r="G303" t="s">
        <v>1971</v>
      </c>
      <c r="H303" t="s">
        <v>2121</v>
      </c>
    </row>
    <row r="304" spans="3:8" x14ac:dyDescent="0.35">
      <c r="C304" s="21">
        <v>301</v>
      </c>
      <c r="D304" t="s">
        <v>674</v>
      </c>
      <c r="E304" t="s">
        <v>1672</v>
      </c>
    </row>
    <row r="305" spans="3:5" x14ac:dyDescent="0.35">
      <c r="C305" s="21">
        <v>302</v>
      </c>
      <c r="D305" t="s">
        <v>675</v>
      </c>
      <c r="E305" t="s">
        <v>1673</v>
      </c>
    </row>
    <row r="306" spans="3:5" x14ac:dyDescent="0.35">
      <c r="C306" s="21">
        <v>303</v>
      </c>
      <c r="D306" t="s">
        <v>676</v>
      </c>
      <c r="E306" t="s">
        <v>1674</v>
      </c>
    </row>
    <row r="307" spans="3:5" x14ac:dyDescent="0.35">
      <c r="C307" s="21">
        <v>304</v>
      </c>
      <c r="D307" t="s">
        <v>677</v>
      </c>
      <c r="E307" t="s">
        <v>1675</v>
      </c>
    </row>
    <row r="308" spans="3:5" x14ac:dyDescent="0.35">
      <c r="C308" s="21">
        <v>305</v>
      </c>
      <c r="D308" t="s">
        <v>678</v>
      </c>
      <c r="E308" t="s">
        <v>1676</v>
      </c>
    </row>
    <row r="309" spans="3:5" x14ac:dyDescent="0.35">
      <c r="C309" s="21">
        <v>306</v>
      </c>
      <c r="D309" t="s">
        <v>679</v>
      </c>
      <c r="E309" t="s">
        <v>1677</v>
      </c>
    </row>
    <row r="310" spans="3:5" x14ac:dyDescent="0.35">
      <c r="C310" s="21">
        <v>307</v>
      </c>
      <c r="D310" t="s">
        <v>680</v>
      </c>
      <c r="E310" t="s">
        <v>1678</v>
      </c>
    </row>
    <row r="311" spans="3:5" x14ac:dyDescent="0.35">
      <c r="C311" s="21">
        <v>308</v>
      </c>
      <c r="D311" t="s">
        <v>681</v>
      </c>
      <c r="E311" t="s">
        <v>1679</v>
      </c>
    </row>
    <row r="312" spans="3:5" x14ac:dyDescent="0.35">
      <c r="C312" s="21">
        <v>309</v>
      </c>
      <c r="D312" t="s">
        <v>682</v>
      </c>
      <c r="E312" t="s">
        <v>1680</v>
      </c>
    </row>
    <row r="313" spans="3:5" x14ac:dyDescent="0.35">
      <c r="C313" s="21">
        <v>310</v>
      </c>
      <c r="D313" t="s">
        <v>683</v>
      </c>
      <c r="E313" t="s">
        <v>1681</v>
      </c>
    </row>
    <row r="314" spans="3:5" x14ac:dyDescent="0.35">
      <c r="C314" s="21">
        <v>311</v>
      </c>
      <c r="D314" t="s">
        <v>684</v>
      </c>
      <c r="E314" t="s">
        <v>1682</v>
      </c>
    </row>
    <row r="315" spans="3:5" x14ac:dyDescent="0.35">
      <c r="C315" s="21">
        <v>312</v>
      </c>
      <c r="D315" t="s">
        <v>685</v>
      </c>
      <c r="E315" t="s">
        <v>1683</v>
      </c>
    </row>
    <row r="316" spans="3:5" x14ac:dyDescent="0.35">
      <c r="C316" s="21">
        <v>313</v>
      </c>
      <c r="D316" t="s">
        <v>686</v>
      </c>
      <c r="E316" t="s">
        <v>1684</v>
      </c>
    </row>
    <row r="317" spans="3:5" x14ac:dyDescent="0.35">
      <c r="C317" s="21">
        <v>314</v>
      </c>
      <c r="D317" t="s">
        <v>687</v>
      </c>
      <c r="E317" t="s">
        <v>1685</v>
      </c>
    </row>
    <row r="318" spans="3:5" x14ac:dyDescent="0.35">
      <c r="C318" s="21">
        <v>315</v>
      </c>
      <c r="D318" t="s">
        <v>688</v>
      </c>
      <c r="E318" t="s">
        <v>1686</v>
      </c>
    </row>
    <row r="319" spans="3:5" x14ac:dyDescent="0.35">
      <c r="C319" s="21">
        <v>316</v>
      </c>
      <c r="D319" t="s">
        <v>689</v>
      </c>
      <c r="E319" t="s">
        <v>1687</v>
      </c>
    </row>
    <row r="320" spans="3:5" x14ac:dyDescent="0.35">
      <c r="C320" s="21">
        <v>317</v>
      </c>
      <c r="D320" t="s">
        <v>690</v>
      </c>
      <c r="E320" t="s">
        <v>1688</v>
      </c>
    </row>
    <row r="321" spans="3:5" x14ac:dyDescent="0.35">
      <c r="C321" s="21">
        <v>318</v>
      </c>
      <c r="D321" t="s">
        <v>691</v>
      </c>
      <c r="E321" t="s">
        <v>1689</v>
      </c>
    </row>
    <row r="322" spans="3:5" x14ac:dyDescent="0.35">
      <c r="C322" s="21">
        <v>319</v>
      </c>
      <c r="D322" t="s">
        <v>692</v>
      </c>
      <c r="E322" t="s">
        <v>1690</v>
      </c>
    </row>
    <row r="323" spans="3:5" x14ac:dyDescent="0.35">
      <c r="C323" s="21">
        <v>320</v>
      </c>
      <c r="D323" t="s">
        <v>693</v>
      </c>
      <c r="E323" t="s">
        <v>1691</v>
      </c>
    </row>
    <row r="324" spans="3:5" x14ac:dyDescent="0.35">
      <c r="C324" s="21">
        <v>321</v>
      </c>
      <c r="D324" t="s">
        <v>694</v>
      </c>
      <c r="E324" t="s">
        <v>1692</v>
      </c>
    </row>
    <row r="325" spans="3:5" x14ac:dyDescent="0.35">
      <c r="C325" s="21">
        <v>322</v>
      </c>
      <c r="D325" t="s">
        <v>695</v>
      </c>
      <c r="E325" t="s">
        <v>1693</v>
      </c>
    </row>
    <row r="326" spans="3:5" x14ac:dyDescent="0.35">
      <c r="C326" s="21">
        <v>323</v>
      </c>
      <c r="D326" t="s">
        <v>696</v>
      </c>
      <c r="E326" t="s">
        <v>1694</v>
      </c>
    </row>
    <row r="327" spans="3:5" x14ac:dyDescent="0.35">
      <c r="C327" s="21">
        <v>324</v>
      </c>
      <c r="D327" t="s">
        <v>697</v>
      </c>
      <c r="E327" t="s">
        <v>1695</v>
      </c>
    </row>
    <row r="328" spans="3:5" x14ac:dyDescent="0.35">
      <c r="C328" s="21">
        <v>325</v>
      </c>
      <c r="D328" t="s">
        <v>698</v>
      </c>
      <c r="E328" t="s">
        <v>1696</v>
      </c>
    </row>
    <row r="329" spans="3:5" x14ac:dyDescent="0.35">
      <c r="C329" s="21">
        <v>326</v>
      </c>
      <c r="D329" t="s">
        <v>699</v>
      </c>
      <c r="E329" t="s">
        <v>1697</v>
      </c>
    </row>
    <row r="330" spans="3:5" x14ac:dyDescent="0.35">
      <c r="C330" s="21">
        <v>327</v>
      </c>
      <c r="D330" t="s">
        <v>700</v>
      </c>
      <c r="E330" t="s">
        <v>1698</v>
      </c>
    </row>
    <row r="331" spans="3:5" x14ac:dyDescent="0.35">
      <c r="C331" s="21">
        <v>328</v>
      </c>
      <c r="D331" t="s">
        <v>701</v>
      </c>
      <c r="E331" t="s">
        <v>1699</v>
      </c>
    </row>
    <row r="332" spans="3:5" x14ac:dyDescent="0.35">
      <c r="C332" s="21">
        <v>329</v>
      </c>
      <c r="D332" t="s">
        <v>702</v>
      </c>
      <c r="E332" t="s">
        <v>1700</v>
      </c>
    </row>
    <row r="333" spans="3:5" x14ac:dyDescent="0.35">
      <c r="C333" s="21">
        <v>330</v>
      </c>
      <c r="D333" t="s">
        <v>703</v>
      </c>
      <c r="E333" t="s">
        <v>1701</v>
      </c>
    </row>
    <row r="334" spans="3:5" x14ac:dyDescent="0.35">
      <c r="C334" s="21">
        <v>331</v>
      </c>
      <c r="D334" t="s">
        <v>704</v>
      </c>
      <c r="E334" t="s">
        <v>1702</v>
      </c>
    </row>
    <row r="335" spans="3:5" x14ac:dyDescent="0.35">
      <c r="C335" s="21">
        <v>332</v>
      </c>
      <c r="D335" t="s">
        <v>705</v>
      </c>
      <c r="E335" t="s">
        <v>1703</v>
      </c>
    </row>
    <row r="336" spans="3:5" x14ac:dyDescent="0.35">
      <c r="C336" s="21">
        <v>333</v>
      </c>
      <c r="D336" t="s">
        <v>706</v>
      </c>
      <c r="E336" t="s">
        <v>1704</v>
      </c>
    </row>
    <row r="337" spans="3:5" x14ac:dyDescent="0.35">
      <c r="C337" s="21">
        <v>334</v>
      </c>
      <c r="D337" t="s">
        <v>707</v>
      </c>
      <c r="E337" t="s">
        <v>1705</v>
      </c>
    </row>
    <row r="338" spans="3:5" x14ac:dyDescent="0.35">
      <c r="C338" s="21">
        <v>335</v>
      </c>
      <c r="D338" t="s">
        <v>708</v>
      </c>
      <c r="E338" t="s">
        <v>1706</v>
      </c>
    </row>
    <row r="339" spans="3:5" x14ac:dyDescent="0.35">
      <c r="C339" s="21">
        <v>336</v>
      </c>
      <c r="D339" t="s">
        <v>709</v>
      </c>
      <c r="E339" t="s">
        <v>1707</v>
      </c>
    </row>
    <row r="340" spans="3:5" x14ac:dyDescent="0.35">
      <c r="C340" s="21">
        <v>337</v>
      </c>
      <c r="D340" t="s">
        <v>710</v>
      </c>
      <c r="E340" t="s">
        <v>1708</v>
      </c>
    </row>
    <row r="341" spans="3:5" x14ac:dyDescent="0.35">
      <c r="C341" s="21">
        <v>338</v>
      </c>
      <c r="D341" t="s">
        <v>711</v>
      </c>
      <c r="E341" t="s">
        <v>1709</v>
      </c>
    </row>
    <row r="342" spans="3:5" x14ac:dyDescent="0.35">
      <c r="C342" s="21">
        <v>339</v>
      </c>
      <c r="D342" t="s">
        <v>712</v>
      </c>
      <c r="E342" t="s">
        <v>1710</v>
      </c>
    </row>
    <row r="343" spans="3:5" x14ac:dyDescent="0.35">
      <c r="C343" s="21">
        <v>340</v>
      </c>
      <c r="D343" t="s">
        <v>713</v>
      </c>
      <c r="E343" t="s">
        <v>1711</v>
      </c>
    </row>
    <row r="344" spans="3:5" x14ac:dyDescent="0.35">
      <c r="C344" s="21">
        <v>341</v>
      </c>
      <c r="D344" t="s">
        <v>714</v>
      </c>
      <c r="E344" t="s">
        <v>1712</v>
      </c>
    </row>
    <row r="345" spans="3:5" x14ac:dyDescent="0.35">
      <c r="C345" s="21">
        <v>342</v>
      </c>
      <c r="D345" t="s">
        <v>715</v>
      </c>
      <c r="E345" t="s">
        <v>1713</v>
      </c>
    </row>
    <row r="346" spans="3:5" x14ac:dyDescent="0.35">
      <c r="C346" s="21">
        <v>343</v>
      </c>
      <c r="D346" t="s">
        <v>716</v>
      </c>
      <c r="E346" t="s">
        <v>1714</v>
      </c>
    </row>
    <row r="347" spans="3:5" x14ac:dyDescent="0.35">
      <c r="C347" s="21">
        <v>344</v>
      </c>
      <c r="D347" t="s">
        <v>717</v>
      </c>
      <c r="E347" t="s">
        <v>1715</v>
      </c>
    </row>
    <row r="348" spans="3:5" x14ac:dyDescent="0.35">
      <c r="C348" s="21">
        <v>345</v>
      </c>
      <c r="D348" t="s">
        <v>718</v>
      </c>
      <c r="E348" t="s">
        <v>1716</v>
      </c>
    </row>
    <row r="349" spans="3:5" x14ac:dyDescent="0.35">
      <c r="C349" s="21">
        <v>346</v>
      </c>
      <c r="D349" t="s">
        <v>719</v>
      </c>
      <c r="E349" t="s">
        <v>1717</v>
      </c>
    </row>
    <row r="350" spans="3:5" x14ac:dyDescent="0.35">
      <c r="C350" s="21">
        <v>347</v>
      </c>
      <c r="D350" t="s">
        <v>720</v>
      </c>
      <c r="E350" t="s">
        <v>1718</v>
      </c>
    </row>
    <row r="351" spans="3:5" x14ac:dyDescent="0.35">
      <c r="C351" s="21">
        <v>348</v>
      </c>
      <c r="D351" t="s">
        <v>721</v>
      </c>
      <c r="E351" t="s">
        <v>1719</v>
      </c>
    </row>
    <row r="352" spans="3:5" x14ac:dyDescent="0.35">
      <c r="C352" s="21">
        <v>349</v>
      </c>
      <c r="D352" t="s">
        <v>722</v>
      </c>
      <c r="E352" t="s">
        <v>1720</v>
      </c>
    </row>
    <row r="353" spans="3:5" x14ac:dyDescent="0.35">
      <c r="C353" s="21">
        <v>350</v>
      </c>
      <c r="D353" t="s">
        <v>723</v>
      </c>
      <c r="E353" t="s">
        <v>1721</v>
      </c>
    </row>
    <row r="354" spans="3:5" x14ac:dyDescent="0.35">
      <c r="C354" s="21">
        <v>351</v>
      </c>
      <c r="D354" t="s">
        <v>724</v>
      </c>
      <c r="E354" t="s">
        <v>1722</v>
      </c>
    </row>
    <row r="355" spans="3:5" x14ac:dyDescent="0.35">
      <c r="C355" s="21">
        <v>352</v>
      </c>
      <c r="D355" t="s">
        <v>725</v>
      </c>
      <c r="E355" t="s">
        <v>1723</v>
      </c>
    </row>
    <row r="356" spans="3:5" x14ac:dyDescent="0.35">
      <c r="C356" s="21">
        <v>353</v>
      </c>
      <c r="D356" t="s">
        <v>726</v>
      </c>
      <c r="E356" t="s">
        <v>1724</v>
      </c>
    </row>
    <row r="357" spans="3:5" x14ac:dyDescent="0.35">
      <c r="C357" s="21">
        <v>354</v>
      </c>
      <c r="D357" t="s">
        <v>727</v>
      </c>
      <c r="E357" t="s">
        <v>1725</v>
      </c>
    </row>
    <row r="358" spans="3:5" x14ac:dyDescent="0.35">
      <c r="C358" s="21">
        <v>355</v>
      </c>
      <c r="D358" t="s">
        <v>728</v>
      </c>
      <c r="E358" t="s">
        <v>1726</v>
      </c>
    </row>
    <row r="359" spans="3:5" x14ac:dyDescent="0.35">
      <c r="C359" s="21">
        <v>356</v>
      </c>
      <c r="D359" t="s">
        <v>729</v>
      </c>
      <c r="E359" t="s">
        <v>1727</v>
      </c>
    </row>
    <row r="360" spans="3:5" x14ac:dyDescent="0.35">
      <c r="C360" s="21">
        <v>357</v>
      </c>
      <c r="D360" t="s">
        <v>730</v>
      </c>
      <c r="E360" t="s">
        <v>1728</v>
      </c>
    </row>
    <row r="361" spans="3:5" x14ac:dyDescent="0.35">
      <c r="C361" s="21">
        <v>358</v>
      </c>
      <c r="D361" t="s">
        <v>731</v>
      </c>
      <c r="E361" t="s">
        <v>1729</v>
      </c>
    </row>
    <row r="362" spans="3:5" x14ac:dyDescent="0.35">
      <c r="C362" s="21">
        <v>359</v>
      </c>
      <c r="D362" t="s">
        <v>732</v>
      </c>
      <c r="E362" t="s">
        <v>1730</v>
      </c>
    </row>
    <row r="363" spans="3:5" x14ac:dyDescent="0.35">
      <c r="C363" s="21">
        <v>360</v>
      </c>
      <c r="D363" t="s">
        <v>733</v>
      </c>
      <c r="E363" t="s">
        <v>1731</v>
      </c>
    </row>
    <row r="364" spans="3:5" x14ac:dyDescent="0.35">
      <c r="C364" s="21">
        <v>361</v>
      </c>
      <c r="D364" t="s">
        <v>734</v>
      </c>
      <c r="E364" t="s">
        <v>1732</v>
      </c>
    </row>
    <row r="365" spans="3:5" x14ac:dyDescent="0.35">
      <c r="C365" s="21">
        <v>362</v>
      </c>
      <c r="D365" t="s">
        <v>735</v>
      </c>
      <c r="E365" t="s">
        <v>1733</v>
      </c>
    </row>
    <row r="366" spans="3:5" x14ac:dyDescent="0.35">
      <c r="C366" s="21">
        <v>363</v>
      </c>
      <c r="D366" t="s">
        <v>736</v>
      </c>
      <c r="E366" t="s">
        <v>1734</v>
      </c>
    </row>
    <row r="367" spans="3:5" x14ac:dyDescent="0.35">
      <c r="C367" s="21">
        <v>364</v>
      </c>
      <c r="D367" t="s">
        <v>737</v>
      </c>
      <c r="E367" t="s">
        <v>1735</v>
      </c>
    </row>
    <row r="368" spans="3:5" x14ac:dyDescent="0.35">
      <c r="C368" s="21">
        <v>365</v>
      </c>
      <c r="D368" t="s">
        <v>738</v>
      </c>
      <c r="E368" t="s">
        <v>1736</v>
      </c>
    </row>
    <row r="369" spans="3:5" x14ac:dyDescent="0.35">
      <c r="C369" s="21">
        <v>366</v>
      </c>
      <c r="D369" t="s">
        <v>739</v>
      </c>
      <c r="E369" t="s">
        <v>1737</v>
      </c>
    </row>
    <row r="370" spans="3:5" x14ac:dyDescent="0.35">
      <c r="C370" s="21">
        <v>367</v>
      </c>
      <c r="D370" t="s">
        <v>740</v>
      </c>
      <c r="E370" t="s">
        <v>1738</v>
      </c>
    </row>
    <row r="371" spans="3:5" x14ac:dyDescent="0.35">
      <c r="C371" s="21">
        <v>368</v>
      </c>
      <c r="D371" t="s">
        <v>741</v>
      </c>
      <c r="E371" t="s">
        <v>1739</v>
      </c>
    </row>
    <row r="372" spans="3:5" x14ac:dyDescent="0.35">
      <c r="C372" s="21">
        <v>369</v>
      </c>
      <c r="D372" t="s">
        <v>742</v>
      </c>
      <c r="E372" t="s">
        <v>1740</v>
      </c>
    </row>
    <row r="373" spans="3:5" x14ac:dyDescent="0.35">
      <c r="C373" s="21">
        <v>370</v>
      </c>
      <c r="D373" t="s">
        <v>743</v>
      </c>
      <c r="E373" t="s">
        <v>1741</v>
      </c>
    </row>
    <row r="374" spans="3:5" x14ac:dyDescent="0.35">
      <c r="C374" s="21">
        <v>371</v>
      </c>
      <c r="D374" t="s">
        <v>744</v>
      </c>
      <c r="E374" t="s">
        <v>1742</v>
      </c>
    </row>
    <row r="375" spans="3:5" x14ac:dyDescent="0.35">
      <c r="C375" s="21">
        <v>372</v>
      </c>
      <c r="D375" t="s">
        <v>745</v>
      </c>
      <c r="E375" t="s">
        <v>1743</v>
      </c>
    </row>
    <row r="376" spans="3:5" x14ac:dyDescent="0.35">
      <c r="C376" s="21">
        <v>373</v>
      </c>
      <c r="D376" t="s">
        <v>746</v>
      </c>
      <c r="E376" t="s">
        <v>1744</v>
      </c>
    </row>
    <row r="377" spans="3:5" x14ac:dyDescent="0.35">
      <c r="C377" s="21">
        <v>374</v>
      </c>
      <c r="D377" t="s">
        <v>747</v>
      </c>
      <c r="E377" t="s">
        <v>1745</v>
      </c>
    </row>
    <row r="378" spans="3:5" x14ac:dyDescent="0.35">
      <c r="C378" s="21">
        <v>375</v>
      </c>
      <c r="D378" t="s">
        <v>748</v>
      </c>
      <c r="E378" t="s">
        <v>1746</v>
      </c>
    </row>
    <row r="379" spans="3:5" x14ac:dyDescent="0.35">
      <c r="C379" s="21">
        <v>376</v>
      </c>
      <c r="D379" t="s">
        <v>749</v>
      </c>
      <c r="E379" t="s">
        <v>1747</v>
      </c>
    </row>
    <row r="380" spans="3:5" x14ac:dyDescent="0.35">
      <c r="C380" s="21">
        <v>377</v>
      </c>
      <c r="D380" t="s">
        <v>750</v>
      </c>
      <c r="E380" t="s">
        <v>1748</v>
      </c>
    </row>
    <row r="381" spans="3:5" x14ac:dyDescent="0.35">
      <c r="C381" s="21">
        <v>378</v>
      </c>
      <c r="D381" t="s">
        <v>751</v>
      </c>
      <c r="E381" t="s">
        <v>1749</v>
      </c>
    </row>
    <row r="382" spans="3:5" x14ac:dyDescent="0.35">
      <c r="C382" s="21">
        <v>379</v>
      </c>
      <c r="D382" t="s">
        <v>752</v>
      </c>
      <c r="E382" t="s">
        <v>1750</v>
      </c>
    </row>
    <row r="383" spans="3:5" x14ac:dyDescent="0.35">
      <c r="C383" s="21">
        <v>380</v>
      </c>
      <c r="D383" t="s">
        <v>753</v>
      </c>
      <c r="E383" t="s">
        <v>1751</v>
      </c>
    </row>
    <row r="384" spans="3:5" x14ac:dyDescent="0.35">
      <c r="C384" s="21">
        <v>381</v>
      </c>
      <c r="D384" t="s">
        <v>754</v>
      </c>
      <c r="E384" t="s">
        <v>1752</v>
      </c>
    </row>
    <row r="385" spans="3:5" x14ac:dyDescent="0.35">
      <c r="C385" s="21">
        <v>382</v>
      </c>
      <c r="D385" t="s">
        <v>755</v>
      </c>
      <c r="E385" t="s">
        <v>1753</v>
      </c>
    </row>
    <row r="386" spans="3:5" x14ac:dyDescent="0.35">
      <c r="C386" s="21">
        <v>383</v>
      </c>
      <c r="D386" t="s">
        <v>756</v>
      </c>
      <c r="E386" t="s">
        <v>1754</v>
      </c>
    </row>
    <row r="387" spans="3:5" x14ac:dyDescent="0.35">
      <c r="C387" s="21">
        <v>384</v>
      </c>
      <c r="D387" t="s">
        <v>757</v>
      </c>
      <c r="E387" t="s">
        <v>1755</v>
      </c>
    </row>
    <row r="388" spans="3:5" x14ac:dyDescent="0.35">
      <c r="C388" s="21">
        <v>385</v>
      </c>
      <c r="D388" t="s">
        <v>758</v>
      </c>
      <c r="E388" t="s">
        <v>1756</v>
      </c>
    </row>
    <row r="389" spans="3:5" x14ac:dyDescent="0.35">
      <c r="C389" s="21">
        <v>386</v>
      </c>
      <c r="D389" t="s">
        <v>759</v>
      </c>
      <c r="E389" t="s">
        <v>1757</v>
      </c>
    </row>
    <row r="390" spans="3:5" x14ac:dyDescent="0.35">
      <c r="C390" s="21">
        <v>387</v>
      </c>
      <c r="D390" t="s">
        <v>760</v>
      </c>
      <c r="E390" t="s">
        <v>1758</v>
      </c>
    </row>
    <row r="391" spans="3:5" x14ac:dyDescent="0.35">
      <c r="C391" s="21">
        <v>388</v>
      </c>
      <c r="D391" t="s">
        <v>761</v>
      </c>
      <c r="E391" t="s">
        <v>1759</v>
      </c>
    </row>
    <row r="392" spans="3:5" x14ac:dyDescent="0.35">
      <c r="C392" s="21">
        <v>389</v>
      </c>
      <c r="D392" t="s">
        <v>762</v>
      </c>
      <c r="E392" t="s">
        <v>1760</v>
      </c>
    </row>
    <row r="393" spans="3:5" x14ac:dyDescent="0.35">
      <c r="C393" s="21">
        <v>390</v>
      </c>
      <c r="D393" t="s">
        <v>763</v>
      </c>
      <c r="E393" t="s">
        <v>1761</v>
      </c>
    </row>
    <row r="394" spans="3:5" x14ac:dyDescent="0.35">
      <c r="C394" s="21">
        <v>391</v>
      </c>
      <c r="D394" t="s">
        <v>764</v>
      </c>
      <c r="E394" t="s">
        <v>1762</v>
      </c>
    </row>
    <row r="395" spans="3:5" x14ac:dyDescent="0.35">
      <c r="C395" s="21">
        <v>392</v>
      </c>
      <c r="D395" t="s">
        <v>765</v>
      </c>
      <c r="E395" t="s">
        <v>1763</v>
      </c>
    </row>
    <row r="396" spans="3:5" x14ac:dyDescent="0.35">
      <c r="C396" s="21">
        <v>393</v>
      </c>
      <c r="D396" t="s">
        <v>766</v>
      </c>
      <c r="E396" t="s">
        <v>1764</v>
      </c>
    </row>
    <row r="397" spans="3:5" x14ac:dyDescent="0.35">
      <c r="C397" s="21">
        <v>394</v>
      </c>
      <c r="D397" t="s">
        <v>767</v>
      </c>
      <c r="E397" t="s">
        <v>1765</v>
      </c>
    </row>
    <row r="398" spans="3:5" x14ac:dyDescent="0.35">
      <c r="C398" s="21">
        <v>395</v>
      </c>
      <c r="D398" t="s">
        <v>768</v>
      </c>
      <c r="E398" t="s">
        <v>1766</v>
      </c>
    </row>
    <row r="399" spans="3:5" x14ac:dyDescent="0.35">
      <c r="C399" s="21">
        <v>396</v>
      </c>
      <c r="D399" t="s">
        <v>769</v>
      </c>
      <c r="E399" t="s">
        <v>1767</v>
      </c>
    </row>
    <row r="400" spans="3:5" x14ac:dyDescent="0.35">
      <c r="C400" s="21">
        <v>397</v>
      </c>
      <c r="D400" t="s">
        <v>770</v>
      </c>
      <c r="E400" t="s">
        <v>1768</v>
      </c>
    </row>
    <row r="401" spans="3:5" x14ac:dyDescent="0.35">
      <c r="C401" s="21">
        <v>398</v>
      </c>
      <c r="D401" t="s">
        <v>771</v>
      </c>
      <c r="E401" t="s">
        <v>1769</v>
      </c>
    </row>
    <row r="402" spans="3:5" x14ac:dyDescent="0.35">
      <c r="C402" s="21">
        <v>399</v>
      </c>
      <c r="D402" t="s">
        <v>772</v>
      </c>
      <c r="E402" t="s">
        <v>1770</v>
      </c>
    </row>
    <row r="403" spans="3:5" x14ac:dyDescent="0.35">
      <c r="C403" s="21">
        <v>400</v>
      </c>
      <c r="D403" t="s">
        <v>773</v>
      </c>
      <c r="E403" t="s">
        <v>1771</v>
      </c>
    </row>
    <row r="404" spans="3:5" x14ac:dyDescent="0.35">
      <c r="C404" s="21">
        <v>401</v>
      </c>
      <c r="D404" t="s">
        <v>774</v>
      </c>
      <c r="E404" t="s">
        <v>1772</v>
      </c>
    </row>
    <row r="405" spans="3:5" x14ac:dyDescent="0.35">
      <c r="C405" s="21">
        <v>402</v>
      </c>
      <c r="D405" t="s">
        <v>775</v>
      </c>
      <c r="E405" t="s">
        <v>1773</v>
      </c>
    </row>
    <row r="406" spans="3:5" x14ac:dyDescent="0.35">
      <c r="C406" s="21">
        <v>403</v>
      </c>
      <c r="D406" t="s">
        <v>776</v>
      </c>
      <c r="E406" t="s">
        <v>1774</v>
      </c>
    </row>
    <row r="407" spans="3:5" x14ac:dyDescent="0.35">
      <c r="C407" s="21">
        <v>404</v>
      </c>
      <c r="D407" t="s">
        <v>777</v>
      </c>
      <c r="E407" t="s">
        <v>1775</v>
      </c>
    </row>
    <row r="408" spans="3:5" x14ac:dyDescent="0.35">
      <c r="C408" s="21">
        <v>405</v>
      </c>
      <c r="D408" t="s">
        <v>778</v>
      </c>
      <c r="E408" t="s">
        <v>1776</v>
      </c>
    </row>
    <row r="409" spans="3:5" x14ac:dyDescent="0.35">
      <c r="C409" s="21">
        <v>406</v>
      </c>
      <c r="D409" t="s">
        <v>779</v>
      </c>
      <c r="E409" t="s">
        <v>1777</v>
      </c>
    </row>
    <row r="410" spans="3:5" x14ac:dyDescent="0.35">
      <c r="C410" s="21">
        <v>407</v>
      </c>
      <c r="D410" t="s">
        <v>780</v>
      </c>
      <c r="E410" t="s">
        <v>1778</v>
      </c>
    </row>
    <row r="411" spans="3:5" x14ac:dyDescent="0.35">
      <c r="C411" s="21">
        <v>408</v>
      </c>
      <c r="D411" t="s">
        <v>781</v>
      </c>
      <c r="E411" t="s">
        <v>1779</v>
      </c>
    </row>
    <row r="412" spans="3:5" x14ac:dyDescent="0.35">
      <c r="C412" s="21">
        <v>409</v>
      </c>
      <c r="D412" t="s">
        <v>782</v>
      </c>
      <c r="E412" t="s">
        <v>1780</v>
      </c>
    </row>
    <row r="413" spans="3:5" x14ac:dyDescent="0.35">
      <c r="C413" s="21">
        <v>410</v>
      </c>
      <c r="D413" t="s">
        <v>783</v>
      </c>
      <c r="E413" t="s">
        <v>1781</v>
      </c>
    </row>
    <row r="414" spans="3:5" x14ac:dyDescent="0.35">
      <c r="C414" s="21">
        <v>411</v>
      </c>
      <c r="D414" t="s">
        <v>784</v>
      </c>
      <c r="E414" t="s">
        <v>1782</v>
      </c>
    </row>
    <row r="415" spans="3:5" x14ac:dyDescent="0.35">
      <c r="C415" s="21">
        <v>412</v>
      </c>
      <c r="D415" t="s">
        <v>785</v>
      </c>
      <c r="E415" t="s">
        <v>1783</v>
      </c>
    </row>
    <row r="416" spans="3:5" x14ac:dyDescent="0.35">
      <c r="C416" s="21">
        <v>413</v>
      </c>
      <c r="D416" t="s">
        <v>786</v>
      </c>
      <c r="E416" t="s">
        <v>1784</v>
      </c>
    </row>
    <row r="417" spans="3:5" x14ac:dyDescent="0.35">
      <c r="C417" s="21">
        <v>414</v>
      </c>
      <c r="D417" t="s">
        <v>787</v>
      </c>
      <c r="E417" t="s">
        <v>1785</v>
      </c>
    </row>
    <row r="418" spans="3:5" x14ac:dyDescent="0.35">
      <c r="C418" s="21">
        <v>415</v>
      </c>
      <c r="D418" t="s">
        <v>788</v>
      </c>
      <c r="E418" t="s">
        <v>1786</v>
      </c>
    </row>
    <row r="419" spans="3:5" x14ac:dyDescent="0.35">
      <c r="C419" s="21">
        <v>416</v>
      </c>
      <c r="D419" t="s">
        <v>789</v>
      </c>
      <c r="E419" t="s">
        <v>1787</v>
      </c>
    </row>
    <row r="420" spans="3:5" x14ac:dyDescent="0.35">
      <c r="C420" s="21">
        <v>417</v>
      </c>
      <c r="D420" t="s">
        <v>790</v>
      </c>
      <c r="E420" t="s">
        <v>1788</v>
      </c>
    </row>
    <row r="421" spans="3:5" x14ac:dyDescent="0.35">
      <c r="C421" s="21">
        <v>418</v>
      </c>
      <c r="D421" t="s">
        <v>791</v>
      </c>
      <c r="E421" t="s">
        <v>1789</v>
      </c>
    </row>
    <row r="422" spans="3:5" x14ac:dyDescent="0.35">
      <c r="C422" s="21">
        <v>419</v>
      </c>
      <c r="D422" t="s">
        <v>792</v>
      </c>
      <c r="E422" t="s">
        <v>1790</v>
      </c>
    </row>
    <row r="423" spans="3:5" x14ac:dyDescent="0.35">
      <c r="C423" s="21">
        <v>420</v>
      </c>
      <c r="D423" t="s">
        <v>793</v>
      </c>
      <c r="E423" t="s">
        <v>1791</v>
      </c>
    </row>
    <row r="424" spans="3:5" x14ac:dyDescent="0.35">
      <c r="C424" s="21">
        <v>421</v>
      </c>
      <c r="D424" t="s">
        <v>794</v>
      </c>
      <c r="E424" t="s">
        <v>1792</v>
      </c>
    </row>
    <row r="425" spans="3:5" x14ac:dyDescent="0.35">
      <c r="C425" s="21">
        <v>422</v>
      </c>
      <c r="D425" t="s">
        <v>795</v>
      </c>
      <c r="E425" t="s">
        <v>1793</v>
      </c>
    </row>
    <row r="426" spans="3:5" x14ac:dyDescent="0.35">
      <c r="C426" s="21">
        <v>423</v>
      </c>
      <c r="D426" t="s">
        <v>796</v>
      </c>
      <c r="E426" t="s">
        <v>1794</v>
      </c>
    </row>
    <row r="427" spans="3:5" x14ac:dyDescent="0.35">
      <c r="C427" s="21">
        <v>424</v>
      </c>
      <c r="D427" t="s">
        <v>797</v>
      </c>
      <c r="E427" t="s">
        <v>1795</v>
      </c>
    </row>
    <row r="428" spans="3:5" x14ac:dyDescent="0.35">
      <c r="C428" s="21">
        <v>425</v>
      </c>
      <c r="D428" t="s">
        <v>798</v>
      </c>
      <c r="E428" t="s">
        <v>1796</v>
      </c>
    </row>
    <row r="429" spans="3:5" x14ac:dyDescent="0.35">
      <c r="C429" s="21">
        <v>426</v>
      </c>
      <c r="D429" t="s">
        <v>799</v>
      </c>
      <c r="E429" t="s">
        <v>1797</v>
      </c>
    </row>
    <row r="430" spans="3:5" x14ac:dyDescent="0.35">
      <c r="C430" s="21">
        <v>427</v>
      </c>
      <c r="D430" t="s">
        <v>800</v>
      </c>
      <c r="E430" t="s">
        <v>1798</v>
      </c>
    </row>
    <row r="431" spans="3:5" x14ac:dyDescent="0.35">
      <c r="C431" s="21">
        <v>428</v>
      </c>
      <c r="D431" t="s">
        <v>801</v>
      </c>
      <c r="E431" t="s">
        <v>1799</v>
      </c>
    </row>
    <row r="432" spans="3:5" x14ac:dyDescent="0.35">
      <c r="C432" s="21">
        <v>429</v>
      </c>
      <c r="D432" t="s">
        <v>802</v>
      </c>
      <c r="E432" t="s">
        <v>1800</v>
      </c>
    </row>
    <row r="433" spans="3:5" x14ac:dyDescent="0.35">
      <c r="C433" s="21">
        <v>430</v>
      </c>
      <c r="D433" t="s">
        <v>803</v>
      </c>
      <c r="E433" t="s">
        <v>1801</v>
      </c>
    </row>
    <row r="434" spans="3:5" x14ac:dyDescent="0.35">
      <c r="C434" s="21">
        <v>431</v>
      </c>
      <c r="D434" t="s">
        <v>804</v>
      </c>
      <c r="E434" t="s">
        <v>1802</v>
      </c>
    </row>
    <row r="435" spans="3:5" x14ac:dyDescent="0.35">
      <c r="C435" s="21">
        <v>432</v>
      </c>
      <c r="D435" t="s">
        <v>805</v>
      </c>
      <c r="E435" t="s">
        <v>1803</v>
      </c>
    </row>
    <row r="436" spans="3:5" x14ac:dyDescent="0.35">
      <c r="C436" s="21">
        <v>433</v>
      </c>
      <c r="D436" t="s">
        <v>806</v>
      </c>
      <c r="E436" t="s">
        <v>1804</v>
      </c>
    </row>
    <row r="437" spans="3:5" x14ac:dyDescent="0.35">
      <c r="C437" s="21">
        <v>434</v>
      </c>
      <c r="D437" t="s">
        <v>807</v>
      </c>
      <c r="E437" t="s">
        <v>1805</v>
      </c>
    </row>
    <row r="438" spans="3:5" x14ac:dyDescent="0.35">
      <c r="C438" s="21">
        <v>435</v>
      </c>
      <c r="D438" t="s">
        <v>808</v>
      </c>
      <c r="E438" t="s">
        <v>1806</v>
      </c>
    </row>
    <row r="439" spans="3:5" x14ac:dyDescent="0.35">
      <c r="C439" s="21">
        <v>436</v>
      </c>
      <c r="D439" t="s">
        <v>809</v>
      </c>
      <c r="E439" t="s">
        <v>1807</v>
      </c>
    </row>
    <row r="440" spans="3:5" x14ac:dyDescent="0.35">
      <c r="C440" s="21">
        <v>437</v>
      </c>
      <c r="D440" t="s">
        <v>810</v>
      </c>
      <c r="E440" t="s">
        <v>1808</v>
      </c>
    </row>
    <row r="441" spans="3:5" x14ac:dyDescent="0.35">
      <c r="C441" s="21">
        <v>438</v>
      </c>
      <c r="D441" t="s">
        <v>811</v>
      </c>
      <c r="E441" t="s">
        <v>1809</v>
      </c>
    </row>
    <row r="442" spans="3:5" x14ac:dyDescent="0.35">
      <c r="C442" s="21">
        <v>439</v>
      </c>
      <c r="D442" t="s">
        <v>812</v>
      </c>
      <c r="E442" t="s">
        <v>1810</v>
      </c>
    </row>
    <row r="443" spans="3:5" x14ac:dyDescent="0.35">
      <c r="C443" s="21">
        <v>440</v>
      </c>
      <c r="D443" t="s">
        <v>813</v>
      </c>
      <c r="E443" t="s">
        <v>1811</v>
      </c>
    </row>
    <row r="444" spans="3:5" x14ac:dyDescent="0.35">
      <c r="C444" s="21">
        <v>441</v>
      </c>
      <c r="D444" t="s">
        <v>814</v>
      </c>
      <c r="E444" t="s">
        <v>1812</v>
      </c>
    </row>
    <row r="445" spans="3:5" x14ac:dyDescent="0.35">
      <c r="C445" s="21">
        <v>442</v>
      </c>
      <c r="D445" t="s">
        <v>815</v>
      </c>
      <c r="E445" t="s">
        <v>1813</v>
      </c>
    </row>
    <row r="446" spans="3:5" x14ac:dyDescent="0.35">
      <c r="C446" s="21">
        <v>443</v>
      </c>
      <c r="D446" t="s">
        <v>816</v>
      </c>
      <c r="E446" t="s">
        <v>1814</v>
      </c>
    </row>
    <row r="447" spans="3:5" x14ac:dyDescent="0.35">
      <c r="C447" s="21">
        <v>444</v>
      </c>
      <c r="D447" t="s">
        <v>817</v>
      </c>
      <c r="E447" t="s">
        <v>1815</v>
      </c>
    </row>
    <row r="448" spans="3:5" x14ac:dyDescent="0.35">
      <c r="C448" s="21">
        <v>445</v>
      </c>
      <c r="D448" t="s">
        <v>818</v>
      </c>
      <c r="E448" t="s">
        <v>1816</v>
      </c>
    </row>
    <row r="449" spans="3:5" x14ac:dyDescent="0.35">
      <c r="C449" s="21">
        <v>446</v>
      </c>
      <c r="D449" t="s">
        <v>819</v>
      </c>
      <c r="E449" t="s">
        <v>1817</v>
      </c>
    </row>
    <row r="450" spans="3:5" x14ac:dyDescent="0.35">
      <c r="C450" s="21">
        <v>447</v>
      </c>
      <c r="D450" t="s">
        <v>820</v>
      </c>
      <c r="E450" t="s">
        <v>1818</v>
      </c>
    </row>
    <row r="451" spans="3:5" x14ac:dyDescent="0.35">
      <c r="C451" s="21">
        <v>448</v>
      </c>
      <c r="D451" t="s">
        <v>821</v>
      </c>
      <c r="E451" t="s">
        <v>1819</v>
      </c>
    </row>
    <row r="452" spans="3:5" x14ac:dyDescent="0.35">
      <c r="C452" s="21">
        <v>449</v>
      </c>
      <c r="D452" t="s">
        <v>822</v>
      </c>
      <c r="E452" t="s">
        <v>1820</v>
      </c>
    </row>
    <row r="453" spans="3:5" x14ac:dyDescent="0.35">
      <c r="C453" s="21">
        <v>450</v>
      </c>
      <c r="D453" t="s">
        <v>823</v>
      </c>
      <c r="E453" t="s">
        <v>1821</v>
      </c>
    </row>
    <row r="454" spans="3:5" x14ac:dyDescent="0.35">
      <c r="C454" s="21">
        <v>451</v>
      </c>
      <c r="D454" t="s">
        <v>824</v>
      </c>
      <c r="E454" t="s">
        <v>1822</v>
      </c>
    </row>
    <row r="455" spans="3:5" x14ac:dyDescent="0.35">
      <c r="C455" s="21">
        <v>452</v>
      </c>
      <c r="D455" t="s">
        <v>825</v>
      </c>
      <c r="E455" t="s">
        <v>1823</v>
      </c>
    </row>
    <row r="456" spans="3:5" x14ac:dyDescent="0.35">
      <c r="C456" s="21">
        <v>453</v>
      </c>
      <c r="D456" t="s">
        <v>826</v>
      </c>
      <c r="E456" t="s">
        <v>1824</v>
      </c>
    </row>
    <row r="457" spans="3:5" x14ac:dyDescent="0.35">
      <c r="C457" s="21">
        <v>454</v>
      </c>
      <c r="D457" t="s">
        <v>827</v>
      </c>
      <c r="E457" t="s">
        <v>1825</v>
      </c>
    </row>
    <row r="458" spans="3:5" x14ac:dyDescent="0.35">
      <c r="C458" s="21">
        <v>455</v>
      </c>
      <c r="D458" t="s">
        <v>828</v>
      </c>
      <c r="E458" t="s">
        <v>1826</v>
      </c>
    </row>
    <row r="459" spans="3:5" x14ac:dyDescent="0.35">
      <c r="C459" s="21">
        <v>456</v>
      </c>
      <c r="D459" t="s">
        <v>829</v>
      </c>
      <c r="E459" t="s">
        <v>1827</v>
      </c>
    </row>
    <row r="460" spans="3:5" x14ac:dyDescent="0.35">
      <c r="C460" s="21">
        <v>457</v>
      </c>
      <c r="D460" t="s">
        <v>830</v>
      </c>
      <c r="E460" t="s">
        <v>1828</v>
      </c>
    </row>
    <row r="461" spans="3:5" x14ac:dyDescent="0.35">
      <c r="C461" s="21">
        <v>458</v>
      </c>
      <c r="D461" t="s">
        <v>831</v>
      </c>
      <c r="E461" t="s">
        <v>1829</v>
      </c>
    </row>
    <row r="462" spans="3:5" x14ac:dyDescent="0.35">
      <c r="C462" s="21">
        <v>459</v>
      </c>
      <c r="D462" t="s">
        <v>832</v>
      </c>
      <c r="E462" t="s">
        <v>1830</v>
      </c>
    </row>
    <row r="463" spans="3:5" x14ac:dyDescent="0.35">
      <c r="C463" s="21">
        <v>460</v>
      </c>
      <c r="D463" t="s">
        <v>833</v>
      </c>
      <c r="E463" t="s">
        <v>1831</v>
      </c>
    </row>
    <row r="464" spans="3:5" x14ac:dyDescent="0.35">
      <c r="C464" s="21">
        <v>461</v>
      </c>
      <c r="D464" t="s">
        <v>834</v>
      </c>
      <c r="E464" t="s">
        <v>1832</v>
      </c>
    </row>
    <row r="465" spans="3:5" x14ac:dyDescent="0.35">
      <c r="C465" s="21">
        <v>462</v>
      </c>
      <c r="D465" t="s">
        <v>835</v>
      </c>
      <c r="E465" t="s">
        <v>1833</v>
      </c>
    </row>
    <row r="466" spans="3:5" x14ac:dyDescent="0.35">
      <c r="C466" s="21">
        <v>463</v>
      </c>
      <c r="D466" t="s">
        <v>836</v>
      </c>
      <c r="E466" t="s">
        <v>1834</v>
      </c>
    </row>
    <row r="467" spans="3:5" x14ac:dyDescent="0.35">
      <c r="C467" s="21">
        <v>464</v>
      </c>
      <c r="D467" t="s">
        <v>837</v>
      </c>
      <c r="E467" t="s">
        <v>1835</v>
      </c>
    </row>
    <row r="468" spans="3:5" x14ac:dyDescent="0.35">
      <c r="C468" s="21">
        <v>465</v>
      </c>
      <c r="D468" t="s">
        <v>838</v>
      </c>
      <c r="E468" t="s">
        <v>1836</v>
      </c>
    </row>
    <row r="469" spans="3:5" x14ac:dyDescent="0.35">
      <c r="C469" s="21">
        <v>466</v>
      </c>
      <c r="D469" t="s">
        <v>839</v>
      </c>
      <c r="E469" t="s">
        <v>1837</v>
      </c>
    </row>
    <row r="470" spans="3:5" x14ac:dyDescent="0.35">
      <c r="C470" s="21">
        <v>467</v>
      </c>
      <c r="D470" t="s">
        <v>840</v>
      </c>
      <c r="E470" t="s">
        <v>1838</v>
      </c>
    </row>
    <row r="471" spans="3:5" x14ac:dyDescent="0.35">
      <c r="C471" s="21">
        <v>468</v>
      </c>
      <c r="D471" t="s">
        <v>841</v>
      </c>
      <c r="E471" t="s">
        <v>1839</v>
      </c>
    </row>
    <row r="472" spans="3:5" x14ac:dyDescent="0.35">
      <c r="C472" s="21">
        <v>469</v>
      </c>
      <c r="D472" t="s">
        <v>842</v>
      </c>
      <c r="E472" t="s">
        <v>1840</v>
      </c>
    </row>
    <row r="473" spans="3:5" x14ac:dyDescent="0.35">
      <c r="C473" s="21">
        <v>470</v>
      </c>
      <c r="D473" t="s">
        <v>843</v>
      </c>
      <c r="E473" t="s">
        <v>1841</v>
      </c>
    </row>
    <row r="474" spans="3:5" x14ac:dyDescent="0.35">
      <c r="C474" s="21">
        <v>471</v>
      </c>
      <c r="D474" t="s">
        <v>844</v>
      </c>
      <c r="E474" t="s">
        <v>1842</v>
      </c>
    </row>
    <row r="475" spans="3:5" x14ac:dyDescent="0.35">
      <c r="C475" s="21">
        <v>472</v>
      </c>
      <c r="D475" t="s">
        <v>845</v>
      </c>
      <c r="E475" t="s">
        <v>1843</v>
      </c>
    </row>
    <row r="476" spans="3:5" x14ac:dyDescent="0.35">
      <c r="C476" s="21">
        <v>473</v>
      </c>
      <c r="D476" t="s">
        <v>846</v>
      </c>
      <c r="E476" t="s">
        <v>1844</v>
      </c>
    </row>
    <row r="477" spans="3:5" x14ac:dyDescent="0.35">
      <c r="C477" s="21">
        <v>474</v>
      </c>
      <c r="D477" t="s">
        <v>847</v>
      </c>
      <c r="E477" t="s">
        <v>1845</v>
      </c>
    </row>
    <row r="478" spans="3:5" x14ac:dyDescent="0.35">
      <c r="C478" s="21">
        <v>475</v>
      </c>
      <c r="D478" t="s">
        <v>848</v>
      </c>
      <c r="E478" t="s">
        <v>1846</v>
      </c>
    </row>
    <row r="479" spans="3:5" x14ac:dyDescent="0.35">
      <c r="C479" s="21">
        <v>476</v>
      </c>
      <c r="D479" t="s">
        <v>849</v>
      </c>
      <c r="E479" t="s">
        <v>1847</v>
      </c>
    </row>
    <row r="480" spans="3:5" x14ac:dyDescent="0.35">
      <c r="C480" s="21">
        <v>477</v>
      </c>
      <c r="D480" t="s">
        <v>850</v>
      </c>
      <c r="E480" t="s">
        <v>1848</v>
      </c>
    </row>
    <row r="481" spans="3:5" x14ac:dyDescent="0.35">
      <c r="C481" s="21">
        <v>478</v>
      </c>
      <c r="D481" t="s">
        <v>851</v>
      </c>
      <c r="E481" t="s">
        <v>1849</v>
      </c>
    </row>
    <row r="482" spans="3:5" x14ac:dyDescent="0.35">
      <c r="C482" s="21">
        <v>479</v>
      </c>
      <c r="D482" t="s">
        <v>852</v>
      </c>
      <c r="E482" t="s">
        <v>1850</v>
      </c>
    </row>
    <row r="483" spans="3:5" x14ac:dyDescent="0.35">
      <c r="C483" s="21">
        <v>480</v>
      </c>
      <c r="D483" t="s">
        <v>853</v>
      </c>
      <c r="E483" t="s">
        <v>1851</v>
      </c>
    </row>
    <row r="484" spans="3:5" x14ac:dyDescent="0.35">
      <c r="C484" s="21">
        <v>481</v>
      </c>
      <c r="D484" t="s">
        <v>854</v>
      </c>
      <c r="E484" t="s">
        <v>1852</v>
      </c>
    </row>
    <row r="485" spans="3:5" x14ac:dyDescent="0.35">
      <c r="C485" s="21">
        <v>482</v>
      </c>
      <c r="D485" t="s">
        <v>855</v>
      </c>
      <c r="E485" t="s">
        <v>1853</v>
      </c>
    </row>
    <row r="486" spans="3:5" x14ac:dyDescent="0.35">
      <c r="C486" s="21">
        <v>483</v>
      </c>
      <c r="D486" t="s">
        <v>856</v>
      </c>
      <c r="E486" t="s">
        <v>1854</v>
      </c>
    </row>
    <row r="487" spans="3:5" x14ac:dyDescent="0.35">
      <c r="C487" s="21">
        <v>484</v>
      </c>
      <c r="D487" t="s">
        <v>857</v>
      </c>
      <c r="E487" t="s">
        <v>1855</v>
      </c>
    </row>
    <row r="488" spans="3:5" x14ac:dyDescent="0.35">
      <c r="C488" s="21">
        <v>485</v>
      </c>
      <c r="D488" t="s">
        <v>858</v>
      </c>
      <c r="E488" t="s">
        <v>1856</v>
      </c>
    </row>
    <row r="489" spans="3:5" x14ac:dyDescent="0.35">
      <c r="C489" s="21">
        <v>486</v>
      </c>
      <c r="D489" t="s">
        <v>859</v>
      </c>
      <c r="E489" t="s">
        <v>1857</v>
      </c>
    </row>
    <row r="490" spans="3:5" x14ac:dyDescent="0.35">
      <c r="C490" s="21">
        <v>487</v>
      </c>
      <c r="D490" t="s">
        <v>860</v>
      </c>
      <c r="E490" t="s">
        <v>1858</v>
      </c>
    </row>
    <row r="491" spans="3:5" x14ac:dyDescent="0.35">
      <c r="C491" s="21">
        <v>488</v>
      </c>
      <c r="D491" t="s">
        <v>861</v>
      </c>
      <c r="E491" t="s">
        <v>1859</v>
      </c>
    </row>
    <row r="492" spans="3:5" x14ac:dyDescent="0.35">
      <c r="C492" s="21">
        <v>489</v>
      </c>
      <c r="D492" t="s">
        <v>862</v>
      </c>
      <c r="E492" t="s">
        <v>1860</v>
      </c>
    </row>
    <row r="493" spans="3:5" x14ac:dyDescent="0.35">
      <c r="C493" s="21">
        <v>490</v>
      </c>
      <c r="D493" t="s">
        <v>863</v>
      </c>
      <c r="E493" t="s">
        <v>1861</v>
      </c>
    </row>
    <row r="494" spans="3:5" x14ac:dyDescent="0.35">
      <c r="C494" s="21">
        <v>491</v>
      </c>
      <c r="D494" t="s">
        <v>864</v>
      </c>
      <c r="E494" t="s">
        <v>1862</v>
      </c>
    </row>
    <row r="495" spans="3:5" x14ac:dyDescent="0.35">
      <c r="C495" s="21">
        <v>492</v>
      </c>
      <c r="D495" t="s">
        <v>865</v>
      </c>
      <c r="E495" t="s">
        <v>1863</v>
      </c>
    </row>
    <row r="496" spans="3:5" x14ac:dyDescent="0.35">
      <c r="C496" s="21">
        <v>493</v>
      </c>
      <c r="D496" t="s">
        <v>866</v>
      </c>
      <c r="E496" t="s">
        <v>1864</v>
      </c>
    </row>
    <row r="497" spans="3:5" x14ac:dyDescent="0.35">
      <c r="C497" s="21">
        <v>494</v>
      </c>
      <c r="D497" t="s">
        <v>867</v>
      </c>
      <c r="E497" t="s">
        <v>1865</v>
      </c>
    </row>
    <row r="498" spans="3:5" x14ac:dyDescent="0.35">
      <c r="C498" s="21">
        <v>495</v>
      </c>
      <c r="D498" t="s">
        <v>868</v>
      </c>
      <c r="E498" t="s">
        <v>1866</v>
      </c>
    </row>
    <row r="499" spans="3:5" x14ac:dyDescent="0.35">
      <c r="C499" s="21">
        <v>496</v>
      </c>
      <c r="D499" t="s">
        <v>869</v>
      </c>
      <c r="E499" t="s">
        <v>1867</v>
      </c>
    </row>
    <row r="500" spans="3:5" x14ac:dyDescent="0.35">
      <c r="C500" s="21">
        <v>497</v>
      </c>
      <c r="D500" t="s">
        <v>870</v>
      </c>
      <c r="E500" t="s">
        <v>1868</v>
      </c>
    </row>
    <row r="501" spans="3:5" x14ac:dyDescent="0.35">
      <c r="C501" s="21">
        <v>498</v>
      </c>
      <c r="D501" t="s">
        <v>871</v>
      </c>
      <c r="E501" t="s">
        <v>1869</v>
      </c>
    </row>
    <row r="502" spans="3:5" x14ac:dyDescent="0.35">
      <c r="C502" s="21">
        <v>499</v>
      </c>
      <c r="D502" t="s">
        <v>872</v>
      </c>
      <c r="E502" t="s">
        <v>1870</v>
      </c>
    </row>
    <row r="503" spans="3:5" x14ac:dyDescent="0.35">
      <c r="C503" s="21">
        <v>500</v>
      </c>
      <c r="D503" t="s">
        <v>873</v>
      </c>
      <c r="E503" t="s">
        <v>1871</v>
      </c>
    </row>
    <row r="504" spans="3:5" x14ac:dyDescent="0.35">
      <c r="C504" s="21">
        <v>501</v>
      </c>
      <c r="D504" t="s">
        <v>874</v>
      </c>
      <c r="E504" t="s">
        <v>1872</v>
      </c>
    </row>
    <row r="505" spans="3:5" x14ac:dyDescent="0.35">
      <c r="C505" s="21">
        <v>502</v>
      </c>
      <c r="D505" t="s">
        <v>875</v>
      </c>
      <c r="E505" t="s">
        <v>1873</v>
      </c>
    </row>
    <row r="506" spans="3:5" x14ac:dyDescent="0.35">
      <c r="C506" s="21">
        <v>503</v>
      </c>
      <c r="D506" t="s">
        <v>876</v>
      </c>
      <c r="E506" t="s">
        <v>1874</v>
      </c>
    </row>
    <row r="507" spans="3:5" x14ac:dyDescent="0.35">
      <c r="C507" s="21">
        <v>504</v>
      </c>
      <c r="D507" t="s">
        <v>877</v>
      </c>
      <c r="E507" t="s">
        <v>1875</v>
      </c>
    </row>
    <row r="508" spans="3:5" x14ac:dyDescent="0.35">
      <c r="C508" s="21">
        <v>505</v>
      </c>
      <c r="D508" t="s">
        <v>878</v>
      </c>
      <c r="E508" t="s">
        <v>1876</v>
      </c>
    </row>
    <row r="509" spans="3:5" x14ac:dyDescent="0.35">
      <c r="C509" s="21">
        <v>506</v>
      </c>
      <c r="D509" t="s">
        <v>879</v>
      </c>
      <c r="E509" t="s">
        <v>1877</v>
      </c>
    </row>
    <row r="510" spans="3:5" x14ac:dyDescent="0.35">
      <c r="C510" s="21">
        <v>507</v>
      </c>
      <c r="D510" t="s">
        <v>880</v>
      </c>
      <c r="E510" t="s">
        <v>1878</v>
      </c>
    </row>
    <row r="511" spans="3:5" x14ac:dyDescent="0.35">
      <c r="C511" s="21">
        <v>508</v>
      </c>
      <c r="D511" t="s">
        <v>881</v>
      </c>
      <c r="E511" t="s">
        <v>1879</v>
      </c>
    </row>
    <row r="512" spans="3:5" x14ac:dyDescent="0.35">
      <c r="C512" s="21">
        <v>509</v>
      </c>
      <c r="D512" t="s">
        <v>882</v>
      </c>
      <c r="E512" t="s">
        <v>1880</v>
      </c>
    </row>
    <row r="513" spans="3:5" x14ac:dyDescent="0.35">
      <c r="C513" s="21">
        <v>510</v>
      </c>
      <c r="D513" t="s">
        <v>883</v>
      </c>
      <c r="E513" t="s">
        <v>1881</v>
      </c>
    </row>
    <row r="514" spans="3:5" x14ac:dyDescent="0.35">
      <c r="C514" s="21">
        <v>511</v>
      </c>
      <c r="D514" t="s">
        <v>884</v>
      </c>
      <c r="E514" t="s">
        <v>1882</v>
      </c>
    </row>
    <row r="515" spans="3:5" x14ac:dyDescent="0.35">
      <c r="C515" s="21">
        <v>512</v>
      </c>
      <c r="D515" t="s">
        <v>885</v>
      </c>
      <c r="E515" t="s">
        <v>1883</v>
      </c>
    </row>
    <row r="516" spans="3:5" x14ac:dyDescent="0.35">
      <c r="C516" s="21">
        <v>513</v>
      </c>
      <c r="D516" t="s">
        <v>886</v>
      </c>
      <c r="E516" t="s">
        <v>1884</v>
      </c>
    </row>
    <row r="517" spans="3:5" x14ac:dyDescent="0.35">
      <c r="C517" s="21">
        <v>514</v>
      </c>
      <c r="D517" t="s">
        <v>887</v>
      </c>
      <c r="E517" t="s">
        <v>1885</v>
      </c>
    </row>
    <row r="518" spans="3:5" x14ac:dyDescent="0.35">
      <c r="C518" s="21">
        <v>515</v>
      </c>
      <c r="D518" t="s">
        <v>888</v>
      </c>
      <c r="E518" t="s">
        <v>1886</v>
      </c>
    </row>
    <row r="519" spans="3:5" x14ac:dyDescent="0.35">
      <c r="C519" s="21">
        <v>516</v>
      </c>
      <c r="D519" t="s">
        <v>889</v>
      </c>
      <c r="E519" t="s">
        <v>1887</v>
      </c>
    </row>
    <row r="520" spans="3:5" x14ac:dyDescent="0.35">
      <c r="C520" s="21">
        <v>517</v>
      </c>
      <c r="D520" t="s">
        <v>890</v>
      </c>
      <c r="E520" t="s">
        <v>1888</v>
      </c>
    </row>
    <row r="521" spans="3:5" x14ac:dyDescent="0.35">
      <c r="C521" s="21">
        <v>518</v>
      </c>
      <c r="D521" t="s">
        <v>891</v>
      </c>
      <c r="E521" t="s">
        <v>1889</v>
      </c>
    </row>
    <row r="522" spans="3:5" x14ac:dyDescent="0.35">
      <c r="C522" s="21">
        <v>519</v>
      </c>
      <c r="D522" t="s">
        <v>892</v>
      </c>
      <c r="E522" t="s">
        <v>1890</v>
      </c>
    </row>
    <row r="523" spans="3:5" x14ac:dyDescent="0.35">
      <c r="C523" s="21">
        <v>520</v>
      </c>
      <c r="D523" t="s">
        <v>893</v>
      </c>
      <c r="E523" t="s">
        <v>1891</v>
      </c>
    </row>
    <row r="524" spans="3:5" x14ac:dyDescent="0.35">
      <c r="C524" s="21">
        <v>521</v>
      </c>
      <c r="D524" t="s">
        <v>894</v>
      </c>
      <c r="E524" t="s">
        <v>1892</v>
      </c>
    </row>
    <row r="525" spans="3:5" x14ac:dyDescent="0.35">
      <c r="C525" s="21">
        <v>522</v>
      </c>
      <c r="D525" t="s">
        <v>895</v>
      </c>
      <c r="E525" t="s">
        <v>1893</v>
      </c>
    </row>
    <row r="526" spans="3:5" x14ac:dyDescent="0.35">
      <c r="C526" s="21">
        <v>523</v>
      </c>
      <c r="D526" t="s">
        <v>896</v>
      </c>
      <c r="E526" t="s">
        <v>1894</v>
      </c>
    </row>
    <row r="527" spans="3:5" x14ac:dyDescent="0.35">
      <c r="C527" s="21">
        <v>524</v>
      </c>
      <c r="D527" t="s">
        <v>897</v>
      </c>
      <c r="E527" t="s">
        <v>1895</v>
      </c>
    </row>
    <row r="528" spans="3:5" x14ac:dyDescent="0.35">
      <c r="C528" s="21">
        <v>525</v>
      </c>
      <c r="D528" t="s">
        <v>898</v>
      </c>
      <c r="E528" t="s">
        <v>1896</v>
      </c>
    </row>
    <row r="529" spans="3:5" x14ac:dyDescent="0.35">
      <c r="C529" s="21">
        <v>526</v>
      </c>
      <c r="D529" t="s">
        <v>899</v>
      </c>
      <c r="E529" t="s">
        <v>1897</v>
      </c>
    </row>
    <row r="530" spans="3:5" x14ac:dyDescent="0.35">
      <c r="C530" s="21">
        <v>527</v>
      </c>
      <c r="D530" t="s">
        <v>900</v>
      </c>
      <c r="E530" t="s">
        <v>1898</v>
      </c>
    </row>
    <row r="531" spans="3:5" x14ac:dyDescent="0.35">
      <c r="C531" s="21">
        <v>528</v>
      </c>
      <c r="D531" t="s">
        <v>901</v>
      </c>
      <c r="E531" t="s">
        <v>1899</v>
      </c>
    </row>
    <row r="532" spans="3:5" x14ac:dyDescent="0.35">
      <c r="C532" s="21">
        <v>529</v>
      </c>
      <c r="D532" t="s">
        <v>902</v>
      </c>
      <c r="E532" t="s">
        <v>1900</v>
      </c>
    </row>
    <row r="533" spans="3:5" x14ac:dyDescent="0.35">
      <c r="C533" s="21">
        <v>530</v>
      </c>
      <c r="D533" t="s">
        <v>903</v>
      </c>
      <c r="E533" t="s">
        <v>1901</v>
      </c>
    </row>
    <row r="534" spans="3:5" x14ac:dyDescent="0.35">
      <c r="C534" s="21">
        <v>531</v>
      </c>
      <c r="D534" t="s">
        <v>904</v>
      </c>
      <c r="E534" t="s">
        <v>1902</v>
      </c>
    </row>
    <row r="535" spans="3:5" x14ac:dyDescent="0.35">
      <c r="C535" s="21">
        <v>532</v>
      </c>
      <c r="D535" t="s">
        <v>905</v>
      </c>
      <c r="E535" t="s">
        <v>1903</v>
      </c>
    </row>
    <row r="536" spans="3:5" x14ac:dyDescent="0.35">
      <c r="C536" s="21">
        <v>533</v>
      </c>
      <c r="D536" t="s">
        <v>906</v>
      </c>
      <c r="E536" t="s">
        <v>1904</v>
      </c>
    </row>
    <row r="537" spans="3:5" x14ac:dyDescent="0.35">
      <c r="C537" s="21">
        <v>534</v>
      </c>
      <c r="D537" t="s">
        <v>907</v>
      </c>
      <c r="E537" t="s">
        <v>1905</v>
      </c>
    </row>
    <row r="538" spans="3:5" x14ac:dyDescent="0.35">
      <c r="C538" s="21">
        <v>535</v>
      </c>
      <c r="D538" t="s">
        <v>908</v>
      </c>
      <c r="E538" t="s">
        <v>1906</v>
      </c>
    </row>
    <row r="539" spans="3:5" x14ac:dyDescent="0.35">
      <c r="C539" s="21">
        <v>536</v>
      </c>
      <c r="D539" t="s">
        <v>909</v>
      </c>
      <c r="E539" t="s">
        <v>1907</v>
      </c>
    </row>
    <row r="540" spans="3:5" x14ac:dyDescent="0.35">
      <c r="C540" s="21">
        <v>537</v>
      </c>
      <c r="D540" t="s">
        <v>910</v>
      </c>
      <c r="E540" t="s">
        <v>1908</v>
      </c>
    </row>
    <row r="541" spans="3:5" x14ac:dyDescent="0.35">
      <c r="C541" s="21">
        <v>538</v>
      </c>
      <c r="D541" t="s">
        <v>911</v>
      </c>
      <c r="E541" t="s">
        <v>1909</v>
      </c>
    </row>
    <row r="542" spans="3:5" x14ac:dyDescent="0.35">
      <c r="C542" s="21">
        <v>539</v>
      </c>
      <c r="D542" t="s">
        <v>912</v>
      </c>
      <c r="E542" t="s">
        <v>1910</v>
      </c>
    </row>
    <row r="543" spans="3:5" x14ac:dyDescent="0.35">
      <c r="C543" s="21">
        <v>540</v>
      </c>
      <c r="D543" t="s">
        <v>913</v>
      </c>
      <c r="E543" t="s">
        <v>1911</v>
      </c>
    </row>
    <row r="544" spans="3:5" x14ac:dyDescent="0.35">
      <c r="C544" s="21">
        <v>541</v>
      </c>
      <c r="D544" t="s">
        <v>914</v>
      </c>
      <c r="E544" t="s">
        <v>1912</v>
      </c>
    </row>
    <row r="545" spans="3:5" x14ac:dyDescent="0.35">
      <c r="C545" s="21">
        <v>542</v>
      </c>
      <c r="D545" t="s">
        <v>915</v>
      </c>
      <c r="E545" t="s">
        <v>1913</v>
      </c>
    </row>
    <row r="546" spans="3:5" x14ac:dyDescent="0.35">
      <c r="C546" s="21">
        <v>543</v>
      </c>
      <c r="D546" t="s">
        <v>916</v>
      </c>
      <c r="E546" t="s">
        <v>1914</v>
      </c>
    </row>
    <row r="547" spans="3:5" x14ac:dyDescent="0.35">
      <c r="C547" s="21">
        <v>544</v>
      </c>
      <c r="D547" t="s">
        <v>917</v>
      </c>
      <c r="E547" t="s">
        <v>1915</v>
      </c>
    </row>
    <row r="548" spans="3:5" x14ac:dyDescent="0.35">
      <c r="C548" s="21">
        <v>545</v>
      </c>
      <c r="D548" t="s">
        <v>918</v>
      </c>
      <c r="E548" t="s">
        <v>1916</v>
      </c>
    </row>
    <row r="549" spans="3:5" x14ac:dyDescent="0.35">
      <c r="C549" s="21">
        <v>546</v>
      </c>
      <c r="D549" t="s">
        <v>919</v>
      </c>
      <c r="E549" t="s">
        <v>1917</v>
      </c>
    </row>
    <row r="550" spans="3:5" x14ac:dyDescent="0.35">
      <c r="C550" s="21">
        <v>547</v>
      </c>
      <c r="D550" t="s">
        <v>920</v>
      </c>
      <c r="E550" t="s">
        <v>1918</v>
      </c>
    </row>
    <row r="551" spans="3:5" x14ac:dyDescent="0.35">
      <c r="C551" s="21">
        <v>548</v>
      </c>
      <c r="D551" t="s">
        <v>921</v>
      </c>
      <c r="E551" t="s">
        <v>1919</v>
      </c>
    </row>
    <row r="552" spans="3:5" x14ac:dyDescent="0.35">
      <c r="C552" s="21">
        <v>549</v>
      </c>
      <c r="D552" t="s">
        <v>922</v>
      </c>
      <c r="E552" t="s">
        <v>1920</v>
      </c>
    </row>
    <row r="553" spans="3:5" x14ac:dyDescent="0.35">
      <c r="C553" s="21">
        <v>550</v>
      </c>
      <c r="D553" t="s">
        <v>923</v>
      </c>
      <c r="E553" t="s">
        <v>1921</v>
      </c>
    </row>
    <row r="554" spans="3:5" x14ac:dyDescent="0.35">
      <c r="C554" s="21">
        <v>551</v>
      </c>
      <c r="D554" t="s">
        <v>924</v>
      </c>
      <c r="E554" t="s">
        <v>1922</v>
      </c>
    </row>
    <row r="555" spans="3:5" x14ac:dyDescent="0.35">
      <c r="C555" s="21">
        <v>552</v>
      </c>
      <c r="D555" t="s">
        <v>925</v>
      </c>
      <c r="E555" t="s">
        <v>1923</v>
      </c>
    </row>
    <row r="556" spans="3:5" x14ac:dyDescent="0.35">
      <c r="C556" s="21">
        <v>553</v>
      </c>
      <c r="D556" t="s">
        <v>926</v>
      </c>
      <c r="E556" t="s">
        <v>1924</v>
      </c>
    </row>
    <row r="557" spans="3:5" x14ac:dyDescent="0.35">
      <c r="C557" s="21">
        <v>554</v>
      </c>
      <c r="D557" t="s">
        <v>927</v>
      </c>
      <c r="E557" t="s">
        <v>1925</v>
      </c>
    </row>
    <row r="558" spans="3:5" x14ac:dyDescent="0.35">
      <c r="C558" s="21">
        <v>555</v>
      </c>
      <c r="D558" t="s">
        <v>928</v>
      </c>
      <c r="E558" t="s">
        <v>1926</v>
      </c>
    </row>
    <row r="559" spans="3:5" x14ac:dyDescent="0.35">
      <c r="C559" s="21">
        <v>556</v>
      </c>
      <c r="D559" t="s">
        <v>929</v>
      </c>
      <c r="E559" t="s">
        <v>1927</v>
      </c>
    </row>
    <row r="560" spans="3:5" x14ac:dyDescent="0.35">
      <c r="C560" s="21">
        <v>557</v>
      </c>
      <c r="D560" t="s">
        <v>930</v>
      </c>
      <c r="E560" t="s">
        <v>1928</v>
      </c>
    </row>
    <row r="561" spans="3:5" x14ac:dyDescent="0.35">
      <c r="C561" s="21">
        <v>558</v>
      </c>
      <c r="D561" t="s">
        <v>931</v>
      </c>
      <c r="E561" t="s">
        <v>1929</v>
      </c>
    </row>
    <row r="562" spans="3:5" x14ac:dyDescent="0.35">
      <c r="C562" s="21">
        <v>559</v>
      </c>
      <c r="D562" t="s">
        <v>932</v>
      </c>
      <c r="E562" t="s">
        <v>1930</v>
      </c>
    </row>
    <row r="563" spans="3:5" x14ac:dyDescent="0.35">
      <c r="C563" s="21">
        <v>560</v>
      </c>
      <c r="D563" t="s">
        <v>933</v>
      </c>
      <c r="E563" t="s">
        <v>1931</v>
      </c>
    </row>
    <row r="564" spans="3:5" x14ac:dyDescent="0.35">
      <c r="C564" s="21">
        <v>561</v>
      </c>
      <c r="D564" t="s">
        <v>934</v>
      </c>
      <c r="E564" t="s">
        <v>1932</v>
      </c>
    </row>
    <row r="565" spans="3:5" x14ac:dyDescent="0.35">
      <c r="C565" s="21">
        <v>562</v>
      </c>
      <c r="D565" t="s">
        <v>935</v>
      </c>
      <c r="E565" t="s">
        <v>1933</v>
      </c>
    </row>
    <row r="566" spans="3:5" x14ac:dyDescent="0.35">
      <c r="C566" s="21">
        <v>563</v>
      </c>
      <c r="D566" t="s">
        <v>936</v>
      </c>
      <c r="E566" t="s">
        <v>1934</v>
      </c>
    </row>
    <row r="567" spans="3:5" x14ac:dyDescent="0.35">
      <c r="C567" s="21">
        <v>564</v>
      </c>
      <c r="D567" t="s">
        <v>937</v>
      </c>
      <c r="E567" t="s">
        <v>1935</v>
      </c>
    </row>
    <row r="568" spans="3:5" x14ac:dyDescent="0.35">
      <c r="C568" s="21">
        <v>565</v>
      </c>
      <c r="D568" t="s">
        <v>938</v>
      </c>
      <c r="E568" t="s">
        <v>1936</v>
      </c>
    </row>
    <row r="569" spans="3:5" x14ac:dyDescent="0.35">
      <c r="C569" s="21">
        <v>566</v>
      </c>
      <c r="D569" t="s">
        <v>939</v>
      </c>
      <c r="E569" t="s">
        <v>1937</v>
      </c>
    </row>
    <row r="570" spans="3:5" x14ac:dyDescent="0.35">
      <c r="C570" s="21">
        <v>567</v>
      </c>
      <c r="D570" t="s">
        <v>940</v>
      </c>
      <c r="E570" t="s">
        <v>1938</v>
      </c>
    </row>
    <row r="571" spans="3:5" x14ac:dyDescent="0.35">
      <c r="C571" s="21">
        <v>568</v>
      </c>
      <c r="D571" t="s">
        <v>941</v>
      </c>
      <c r="E571" t="s">
        <v>1939</v>
      </c>
    </row>
    <row r="572" spans="3:5" x14ac:dyDescent="0.35">
      <c r="C572" s="21">
        <v>569</v>
      </c>
      <c r="D572" t="s">
        <v>942</v>
      </c>
      <c r="E572" t="s">
        <v>1940</v>
      </c>
    </row>
    <row r="573" spans="3:5" x14ac:dyDescent="0.35">
      <c r="C573" s="21">
        <v>570</v>
      </c>
      <c r="D573" t="s">
        <v>943</v>
      </c>
      <c r="E573" t="s">
        <v>1941</v>
      </c>
    </row>
    <row r="574" spans="3:5" x14ac:dyDescent="0.35">
      <c r="C574" s="21">
        <v>571</v>
      </c>
      <c r="D574" t="s">
        <v>944</v>
      </c>
      <c r="E574" t="s">
        <v>1942</v>
      </c>
    </row>
    <row r="575" spans="3:5" x14ac:dyDescent="0.35">
      <c r="C575" s="21">
        <v>572</v>
      </c>
      <c r="D575" t="s">
        <v>945</v>
      </c>
      <c r="E575" t="s">
        <v>1943</v>
      </c>
    </row>
    <row r="576" spans="3:5" x14ac:dyDescent="0.35">
      <c r="C576" s="21">
        <v>573</v>
      </c>
      <c r="D576" t="s">
        <v>946</v>
      </c>
      <c r="E576" t="s">
        <v>1944</v>
      </c>
    </row>
    <row r="577" spans="3:5" x14ac:dyDescent="0.35">
      <c r="C577" s="21">
        <v>574</v>
      </c>
      <c r="D577" t="s">
        <v>947</v>
      </c>
      <c r="E577" t="s">
        <v>1945</v>
      </c>
    </row>
    <row r="578" spans="3:5" x14ac:dyDescent="0.35">
      <c r="C578" s="21">
        <v>575</v>
      </c>
      <c r="D578" t="s">
        <v>948</v>
      </c>
      <c r="E578" t="s">
        <v>1946</v>
      </c>
    </row>
    <row r="579" spans="3:5" x14ac:dyDescent="0.35">
      <c r="C579" s="21">
        <v>576</v>
      </c>
      <c r="D579" t="s">
        <v>949</v>
      </c>
      <c r="E579" t="s">
        <v>1947</v>
      </c>
    </row>
    <row r="580" spans="3:5" x14ac:dyDescent="0.35">
      <c r="C580" s="21">
        <v>577</v>
      </c>
      <c r="D580" t="s">
        <v>950</v>
      </c>
      <c r="E580" t="s">
        <v>1948</v>
      </c>
    </row>
    <row r="581" spans="3:5" x14ac:dyDescent="0.35">
      <c r="C581" s="21">
        <v>578</v>
      </c>
      <c r="D581" t="s">
        <v>951</v>
      </c>
      <c r="E581" t="s">
        <v>1949</v>
      </c>
    </row>
    <row r="582" spans="3:5" x14ac:dyDescent="0.35">
      <c r="C582" s="21">
        <v>579</v>
      </c>
      <c r="D582" t="s">
        <v>952</v>
      </c>
      <c r="E582" t="s">
        <v>1950</v>
      </c>
    </row>
    <row r="583" spans="3:5" x14ac:dyDescent="0.35">
      <c r="C583" s="21">
        <v>580</v>
      </c>
      <c r="D583" t="s">
        <v>953</v>
      </c>
      <c r="E583" t="s">
        <v>1951</v>
      </c>
    </row>
    <row r="584" spans="3:5" x14ac:dyDescent="0.35">
      <c r="C584" s="21">
        <v>581</v>
      </c>
      <c r="D584" t="s">
        <v>954</v>
      </c>
      <c r="E584" t="s">
        <v>1952</v>
      </c>
    </row>
    <row r="585" spans="3:5" x14ac:dyDescent="0.35">
      <c r="C585" s="21">
        <v>582</v>
      </c>
      <c r="D585" t="s">
        <v>955</v>
      </c>
      <c r="E585" t="s">
        <v>1953</v>
      </c>
    </row>
    <row r="586" spans="3:5" x14ac:dyDescent="0.35">
      <c r="C586" s="21">
        <v>583</v>
      </c>
      <c r="D586" t="s">
        <v>956</v>
      </c>
      <c r="E586" t="s">
        <v>1954</v>
      </c>
    </row>
    <row r="587" spans="3:5" x14ac:dyDescent="0.35">
      <c r="C587" s="21">
        <v>584</v>
      </c>
      <c r="D587" t="s">
        <v>957</v>
      </c>
      <c r="E587" t="s">
        <v>1955</v>
      </c>
    </row>
    <row r="588" spans="3:5" x14ac:dyDescent="0.35">
      <c r="C588" s="21">
        <v>585</v>
      </c>
      <c r="D588" t="s">
        <v>958</v>
      </c>
      <c r="E588" t="s">
        <v>1956</v>
      </c>
    </row>
    <row r="589" spans="3:5" x14ac:dyDescent="0.35">
      <c r="C589" s="21">
        <v>586</v>
      </c>
      <c r="D589" t="s">
        <v>959</v>
      </c>
      <c r="E589" t="s">
        <v>1957</v>
      </c>
    </row>
    <row r="590" spans="3:5" x14ac:dyDescent="0.35">
      <c r="C590" s="21">
        <v>587</v>
      </c>
      <c r="D590" t="s">
        <v>960</v>
      </c>
      <c r="E590" t="s">
        <v>1958</v>
      </c>
    </row>
    <row r="591" spans="3:5" x14ac:dyDescent="0.35">
      <c r="C591" s="21">
        <v>588</v>
      </c>
      <c r="D591" t="s">
        <v>961</v>
      </c>
      <c r="E591" t="s">
        <v>1959</v>
      </c>
    </row>
    <row r="592" spans="3:5" x14ac:dyDescent="0.35">
      <c r="C592" s="21">
        <v>589</v>
      </c>
      <c r="D592" t="s">
        <v>962</v>
      </c>
      <c r="E592" t="s">
        <v>1960</v>
      </c>
    </row>
    <row r="593" spans="3:5" x14ac:dyDescent="0.35">
      <c r="C593" s="21">
        <v>590</v>
      </c>
      <c r="D593" t="s">
        <v>963</v>
      </c>
      <c r="E593" t="s">
        <v>1961</v>
      </c>
    </row>
    <row r="594" spans="3:5" x14ac:dyDescent="0.35">
      <c r="C594" s="21">
        <v>591</v>
      </c>
      <c r="D594" t="s">
        <v>964</v>
      </c>
      <c r="E594" t="s">
        <v>1962</v>
      </c>
    </row>
    <row r="595" spans="3:5" x14ac:dyDescent="0.35">
      <c r="C595" s="21">
        <v>592</v>
      </c>
      <c r="D595" t="s">
        <v>965</v>
      </c>
      <c r="E595" t="s">
        <v>1963</v>
      </c>
    </row>
    <row r="596" spans="3:5" x14ac:dyDescent="0.35">
      <c r="C596" s="21">
        <v>593</v>
      </c>
      <c r="D596" t="s">
        <v>966</v>
      </c>
      <c r="E596" t="s">
        <v>1964</v>
      </c>
    </row>
    <row r="597" spans="3:5" x14ac:dyDescent="0.35">
      <c r="C597" s="21">
        <v>594</v>
      </c>
      <c r="D597" t="s">
        <v>967</v>
      </c>
      <c r="E597" t="s">
        <v>1965</v>
      </c>
    </row>
    <row r="598" spans="3:5" x14ac:dyDescent="0.35">
      <c r="C598" s="21">
        <v>595</v>
      </c>
      <c r="D598" t="s">
        <v>968</v>
      </c>
      <c r="E598" t="s">
        <v>1966</v>
      </c>
    </row>
    <row r="599" spans="3:5" x14ac:dyDescent="0.35">
      <c r="C599" s="21">
        <v>596</v>
      </c>
      <c r="D599" t="s">
        <v>969</v>
      </c>
      <c r="E599" t="s">
        <v>1967</v>
      </c>
    </row>
    <row r="600" spans="3:5" x14ac:dyDescent="0.35">
      <c r="C600" s="21">
        <v>597</v>
      </c>
      <c r="D600" t="s">
        <v>970</v>
      </c>
      <c r="E600" t="s">
        <v>1968</v>
      </c>
    </row>
    <row r="601" spans="3:5" x14ac:dyDescent="0.35">
      <c r="C601" s="21">
        <v>598</v>
      </c>
      <c r="D601" t="s">
        <v>971</v>
      </c>
      <c r="E601" t="s">
        <v>1969</v>
      </c>
    </row>
    <row r="602" spans="3:5" x14ac:dyDescent="0.35">
      <c r="C602" s="21">
        <v>599</v>
      </c>
      <c r="D602" t="s">
        <v>972</v>
      </c>
      <c r="E602" t="s">
        <v>1970</v>
      </c>
    </row>
    <row r="603" spans="3:5" x14ac:dyDescent="0.35">
      <c r="C603" s="21">
        <v>600</v>
      </c>
      <c r="D603" t="s">
        <v>973</v>
      </c>
      <c r="E603" t="s">
        <v>1971</v>
      </c>
    </row>
    <row r="604" spans="3:5" x14ac:dyDescent="0.35">
      <c r="C604" s="21">
        <v>601</v>
      </c>
      <c r="D604" t="s">
        <v>974</v>
      </c>
      <c r="E604" t="s">
        <v>1972</v>
      </c>
    </row>
    <row r="605" spans="3:5" x14ac:dyDescent="0.35">
      <c r="C605" s="21">
        <v>602</v>
      </c>
      <c r="D605" t="s">
        <v>975</v>
      </c>
      <c r="E605" t="s">
        <v>1973</v>
      </c>
    </row>
    <row r="606" spans="3:5" x14ac:dyDescent="0.35">
      <c r="C606" s="21">
        <v>603</v>
      </c>
      <c r="D606" t="s">
        <v>976</v>
      </c>
      <c r="E606" t="s">
        <v>1974</v>
      </c>
    </row>
    <row r="607" spans="3:5" x14ac:dyDescent="0.35">
      <c r="C607" s="21">
        <v>604</v>
      </c>
      <c r="D607" t="s">
        <v>977</v>
      </c>
      <c r="E607" t="s">
        <v>1975</v>
      </c>
    </row>
    <row r="608" spans="3:5" x14ac:dyDescent="0.35">
      <c r="C608" s="21">
        <v>605</v>
      </c>
      <c r="D608" t="s">
        <v>978</v>
      </c>
      <c r="E608" t="s">
        <v>1976</v>
      </c>
    </row>
    <row r="609" spans="3:5" x14ac:dyDescent="0.35">
      <c r="C609" s="21">
        <v>606</v>
      </c>
      <c r="D609" t="s">
        <v>979</v>
      </c>
      <c r="E609" t="s">
        <v>1977</v>
      </c>
    </row>
    <row r="610" spans="3:5" x14ac:dyDescent="0.35">
      <c r="C610" s="21">
        <v>607</v>
      </c>
      <c r="D610" t="s">
        <v>980</v>
      </c>
      <c r="E610" t="s">
        <v>1978</v>
      </c>
    </row>
    <row r="611" spans="3:5" x14ac:dyDescent="0.35">
      <c r="C611" s="21">
        <v>608</v>
      </c>
      <c r="D611" t="s">
        <v>981</v>
      </c>
      <c r="E611" t="s">
        <v>1979</v>
      </c>
    </row>
    <row r="612" spans="3:5" x14ac:dyDescent="0.35">
      <c r="C612" s="21">
        <v>609</v>
      </c>
      <c r="D612" t="s">
        <v>982</v>
      </c>
      <c r="E612" t="s">
        <v>1980</v>
      </c>
    </row>
    <row r="613" spans="3:5" x14ac:dyDescent="0.35">
      <c r="C613" s="21">
        <v>610</v>
      </c>
      <c r="D613" t="s">
        <v>983</v>
      </c>
      <c r="E613" t="s">
        <v>1981</v>
      </c>
    </row>
    <row r="614" spans="3:5" x14ac:dyDescent="0.35">
      <c r="C614" s="21">
        <v>611</v>
      </c>
      <c r="D614" t="s">
        <v>984</v>
      </c>
      <c r="E614" t="s">
        <v>1982</v>
      </c>
    </row>
    <row r="615" spans="3:5" x14ac:dyDescent="0.35">
      <c r="C615" s="21">
        <v>612</v>
      </c>
      <c r="D615" t="s">
        <v>985</v>
      </c>
      <c r="E615" t="s">
        <v>1983</v>
      </c>
    </row>
    <row r="616" spans="3:5" x14ac:dyDescent="0.35">
      <c r="C616" s="21">
        <v>613</v>
      </c>
      <c r="D616" t="s">
        <v>986</v>
      </c>
      <c r="E616" t="s">
        <v>1984</v>
      </c>
    </row>
    <row r="617" spans="3:5" x14ac:dyDescent="0.35">
      <c r="C617" s="21">
        <v>614</v>
      </c>
      <c r="D617" t="s">
        <v>987</v>
      </c>
      <c r="E617" t="s">
        <v>1985</v>
      </c>
    </row>
    <row r="618" spans="3:5" x14ac:dyDescent="0.35">
      <c r="C618" s="21">
        <v>615</v>
      </c>
      <c r="D618" t="s">
        <v>988</v>
      </c>
      <c r="E618" t="s">
        <v>1986</v>
      </c>
    </row>
    <row r="619" spans="3:5" x14ac:dyDescent="0.35">
      <c r="C619" s="21">
        <v>616</v>
      </c>
      <c r="D619" t="s">
        <v>989</v>
      </c>
      <c r="E619" t="s">
        <v>1987</v>
      </c>
    </row>
    <row r="620" spans="3:5" x14ac:dyDescent="0.35">
      <c r="C620" s="21">
        <v>617</v>
      </c>
      <c r="D620" t="s">
        <v>990</v>
      </c>
      <c r="E620" t="s">
        <v>1988</v>
      </c>
    </row>
    <row r="621" spans="3:5" x14ac:dyDescent="0.35">
      <c r="C621" s="21">
        <v>618</v>
      </c>
      <c r="D621" t="s">
        <v>991</v>
      </c>
      <c r="E621" t="s">
        <v>1989</v>
      </c>
    </row>
    <row r="622" spans="3:5" x14ac:dyDescent="0.35">
      <c r="C622" s="21">
        <v>619</v>
      </c>
      <c r="D622" t="s">
        <v>992</v>
      </c>
      <c r="E622" t="s">
        <v>1990</v>
      </c>
    </row>
    <row r="623" spans="3:5" x14ac:dyDescent="0.35">
      <c r="C623" s="21">
        <v>620</v>
      </c>
      <c r="D623" t="s">
        <v>993</v>
      </c>
      <c r="E623" t="s">
        <v>1991</v>
      </c>
    </row>
    <row r="624" spans="3:5" x14ac:dyDescent="0.35">
      <c r="C624" s="21">
        <v>621</v>
      </c>
      <c r="D624" t="s">
        <v>994</v>
      </c>
      <c r="E624" t="s">
        <v>1992</v>
      </c>
    </row>
    <row r="625" spans="3:5" x14ac:dyDescent="0.35">
      <c r="C625" s="21">
        <v>622</v>
      </c>
      <c r="D625" t="s">
        <v>995</v>
      </c>
      <c r="E625" t="s">
        <v>1993</v>
      </c>
    </row>
    <row r="626" spans="3:5" x14ac:dyDescent="0.35">
      <c r="C626" s="21">
        <v>623</v>
      </c>
      <c r="D626" t="s">
        <v>996</v>
      </c>
      <c r="E626" t="s">
        <v>1994</v>
      </c>
    </row>
    <row r="627" spans="3:5" x14ac:dyDescent="0.35">
      <c r="C627" s="21">
        <v>624</v>
      </c>
      <c r="D627" t="s">
        <v>997</v>
      </c>
      <c r="E627" t="s">
        <v>1995</v>
      </c>
    </row>
    <row r="628" spans="3:5" x14ac:dyDescent="0.35">
      <c r="C628" s="21">
        <v>625</v>
      </c>
      <c r="D628" t="s">
        <v>998</v>
      </c>
      <c r="E628" t="s">
        <v>1996</v>
      </c>
    </row>
    <row r="629" spans="3:5" x14ac:dyDescent="0.35">
      <c r="C629" s="21">
        <v>626</v>
      </c>
      <c r="D629" t="s">
        <v>999</v>
      </c>
      <c r="E629" t="s">
        <v>1997</v>
      </c>
    </row>
    <row r="630" spans="3:5" x14ac:dyDescent="0.35">
      <c r="C630" s="21">
        <v>627</v>
      </c>
      <c r="D630" t="s">
        <v>1000</v>
      </c>
      <c r="E630" t="s">
        <v>1998</v>
      </c>
    </row>
    <row r="631" spans="3:5" x14ac:dyDescent="0.35">
      <c r="C631" s="21">
        <v>628</v>
      </c>
      <c r="D631" t="s">
        <v>1001</v>
      </c>
      <c r="E631" t="s">
        <v>1999</v>
      </c>
    </row>
    <row r="632" spans="3:5" x14ac:dyDescent="0.35">
      <c r="C632" s="21">
        <v>629</v>
      </c>
      <c r="D632" t="s">
        <v>1002</v>
      </c>
      <c r="E632" t="s">
        <v>2000</v>
      </c>
    </row>
    <row r="633" spans="3:5" x14ac:dyDescent="0.35">
      <c r="C633" s="21">
        <v>630</v>
      </c>
      <c r="D633" t="s">
        <v>1003</v>
      </c>
      <c r="E633" t="s">
        <v>2001</v>
      </c>
    </row>
    <row r="634" spans="3:5" x14ac:dyDescent="0.35">
      <c r="C634" s="21">
        <v>631</v>
      </c>
      <c r="D634" t="s">
        <v>1004</v>
      </c>
      <c r="E634" t="s">
        <v>2002</v>
      </c>
    </row>
    <row r="635" spans="3:5" x14ac:dyDescent="0.35">
      <c r="C635" s="21">
        <v>632</v>
      </c>
      <c r="D635" t="s">
        <v>1005</v>
      </c>
      <c r="E635" t="s">
        <v>2003</v>
      </c>
    </row>
    <row r="636" spans="3:5" x14ac:dyDescent="0.35">
      <c r="C636" s="21">
        <v>633</v>
      </c>
      <c r="D636" t="s">
        <v>1006</v>
      </c>
      <c r="E636" t="s">
        <v>2004</v>
      </c>
    </row>
    <row r="637" spans="3:5" x14ac:dyDescent="0.35">
      <c r="C637" s="21">
        <v>634</v>
      </c>
      <c r="D637" t="s">
        <v>1007</v>
      </c>
      <c r="E637" t="s">
        <v>2005</v>
      </c>
    </row>
    <row r="638" spans="3:5" x14ac:dyDescent="0.35">
      <c r="C638" s="21">
        <v>635</v>
      </c>
      <c r="D638" t="s">
        <v>1008</v>
      </c>
      <c r="E638" t="s">
        <v>2006</v>
      </c>
    </row>
    <row r="639" spans="3:5" x14ac:dyDescent="0.35">
      <c r="C639" s="21">
        <v>636</v>
      </c>
      <c r="D639" t="s">
        <v>1009</v>
      </c>
      <c r="E639" t="s">
        <v>2007</v>
      </c>
    </row>
    <row r="640" spans="3:5" x14ac:dyDescent="0.35">
      <c r="C640" s="21">
        <v>637</v>
      </c>
      <c r="D640" t="s">
        <v>1010</v>
      </c>
      <c r="E640" t="s">
        <v>2008</v>
      </c>
    </row>
    <row r="641" spans="3:5" x14ac:dyDescent="0.35">
      <c r="C641" s="21">
        <v>638</v>
      </c>
      <c r="D641" t="s">
        <v>1011</v>
      </c>
      <c r="E641" t="s">
        <v>2009</v>
      </c>
    </row>
    <row r="642" spans="3:5" x14ac:dyDescent="0.35">
      <c r="C642" s="21">
        <v>639</v>
      </c>
      <c r="D642" t="s">
        <v>1012</v>
      </c>
      <c r="E642" t="s">
        <v>2010</v>
      </c>
    </row>
    <row r="643" spans="3:5" x14ac:dyDescent="0.35">
      <c r="C643" s="21">
        <v>640</v>
      </c>
      <c r="D643" t="s">
        <v>1013</v>
      </c>
      <c r="E643" t="s">
        <v>2011</v>
      </c>
    </row>
    <row r="644" spans="3:5" x14ac:dyDescent="0.35">
      <c r="C644" s="21">
        <v>641</v>
      </c>
      <c r="D644" t="s">
        <v>1014</v>
      </c>
      <c r="E644" t="s">
        <v>2012</v>
      </c>
    </row>
    <row r="645" spans="3:5" x14ac:dyDescent="0.35">
      <c r="C645" s="21">
        <v>642</v>
      </c>
      <c r="D645" t="s">
        <v>1015</v>
      </c>
      <c r="E645" t="s">
        <v>2013</v>
      </c>
    </row>
    <row r="646" spans="3:5" x14ac:dyDescent="0.35">
      <c r="C646" s="21">
        <v>643</v>
      </c>
      <c r="D646" t="s">
        <v>1016</v>
      </c>
      <c r="E646" t="s">
        <v>2014</v>
      </c>
    </row>
    <row r="647" spans="3:5" x14ac:dyDescent="0.35">
      <c r="C647" s="21">
        <v>644</v>
      </c>
      <c r="D647" t="s">
        <v>1017</v>
      </c>
      <c r="E647" t="s">
        <v>2015</v>
      </c>
    </row>
    <row r="648" spans="3:5" x14ac:dyDescent="0.35">
      <c r="C648" s="21">
        <v>645</v>
      </c>
      <c r="D648" t="s">
        <v>1018</v>
      </c>
      <c r="E648" t="s">
        <v>2016</v>
      </c>
    </row>
    <row r="649" spans="3:5" x14ac:dyDescent="0.35">
      <c r="C649" s="21">
        <v>646</v>
      </c>
      <c r="D649" t="s">
        <v>1019</v>
      </c>
      <c r="E649" t="s">
        <v>2017</v>
      </c>
    </row>
    <row r="650" spans="3:5" x14ac:dyDescent="0.35">
      <c r="C650" s="21">
        <v>647</v>
      </c>
      <c r="D650" t="s">
        <v>1020</v>
      </c>
      <c r="E650" t="s">
        <v>2018</v>
      </c>
    </row>
    <row r="651" spans="3:5" x14ac:dyDescent="0.35">
      <c r="C651" s="21">
        <v>648</v>
      </c>
      <c r="D651" t="s">
        <v>1021</v>
      </c>
      <c r="E651" t="s">
        <v>2019</v>
      </c>
    </row>
    <row r="652" spans="3:5" x14ac:dyDescent="0.35">
      <c r="C652" s="21">
        <v>649</v>
      </c>
      <c r="D652" t="s">
        <v>1022</v>
      </c>
      <c r="E652" t="s">
        <v>2020</v>
      </c>
    </row>
    <row r="653" spans="3:5" x14ac:dyDescent="0.35">
      <c r="C653" s="21">
        <v>650</v>
      </c>
      <c r="D653" t="s">
        <v>1023</v>
      </c>
      <c r="E653" t="s">
        <v>2021</v>
      </c>
    </row>
    <row r="654" spans="3:5" x14ac:dyDescent="0.35">
      <c r="C654" s="21">
        <v>651</v>
      </c>
      <c r="D654" t="s">
        <v>1024</v>
      </c>
      <c r="E654" t="s">
        <v>2022</v>
      </c>
    </row>
    <row r="655" spans="3:5" x14ac:dyDescent="0.35">
      <c r="C655" s="21">
        <v>652</v>
      </c>
      <c r="D655" t="s">
        <v>1025</v>
      </c>
      <c r="E655" t="s">
        <v>2023</v>
      </c>
    </row>
    <row r="656" spans="3:5" x14ac:dyDescent="0.35">
      <c r="C656" s="21">
        <v>653</v>
      </c>
      <c r="D656" t="s">
        <v>1026</v>
      </c>
      <c r="E656" t="s">
        <v>2024</v>
      </c>
    </row>
    <row r="657" spans="3:5" x14ac:dyDescent="0.35">
      <c r="C657" s="21">
        <v>654</v>
      </c>
      <c r="D657" t="s">
        <v>1027</v>
      </c>
      <c r="E657" t="s">
        <v>2025</v>
      </c>
    </row>
    <row r="658" spans="3:5" x14ac:dyDescent="0.35">
      <c r="C658" s="21">
        <v>655</v>
      </c>
      <c r="D658" t="s">
        <v>1028</v>
      </c>
      <c r="E658" t="s">
        <v>2026</v>
      </c>
    </row>
    <row r="659" spans="3:5" x14ac:dyDescent="0.35">
      <c r="C659" s="21">
        <v>656</v>
      </c>
      <c r="D659" t="s">
        <v>1029</v>
      </c>
      <c r="E659" t="s">
        <v>2027</v>
      </c>
    </row>
    <row r="660" spans="3:5" x14ac:dyDescent="0.35">
      <c r="C660" s="21">
        <v>657</v>
      </c>
      <c r="D660" t="s">
        <v>1030</v>
      </c>
      <c r="E660" t="s">
        <v>2028</v>
      </c>
    </row>
    <row r="661" spans="3:5" x14ac:dyDescent="0.35">
      <c r="C661" s="21">
        <v>658</v>
      </c>
      <c r="D661" t="s">
        <v>1031</v>
      </c>
      <c r="E661" t="s">
        <v>2029</v>
      </c>
    </row>
    <row r="662" spans="3:5" x14ac:dyDescent="0.35">
      <c r="C662" s="21">
        <v>659</v>
      </c>
      <c r="D662" t="s">
        <v>1032</v>
      </c>
      <c r="E662" t="s">
        <v>2030</v>
      </c>
    </row>
    <row r="663" spans="3:5" x14ac:dyDescent="0.35">
      <c r="C663" s="21">
        <v>660</v>
      </c>
      <c r="D663" t="s">
        <v>1033</v>
      </c>
      <c r="E663" t="s">
        <v>2031</v>
      </c>
    </row>
    <row r="664" spans="3:5" x14ac:dyDescent="0.35">
      <c r="C664" s="21">
        <v>661</v>
      </c>
      <c r="D664" t="s">
        <v>1034</v>
      </c>
      <c r="E664" t="s">
        <v>2032</v>
      </c>
    </row>
    <row r="665" spans="3:5" x14ac:dyDescent="0.35">
      <c r="C665" s="21">
        <v>662</v>
      </c>
      <c r="D665" t="s">
        <v>1035</v>
      </c>
      <c r="E665" t="s">
        <v>2033</v>
      </c>
    </row>
    <row r="666" spans="3:5" x14ac:dyDescent="0.35">
      <c r="C666" s="21">
        <v>663</v>
      </c>
      <c r="D666" t="s">
        <v>1036</v>
      </c>
      <c r="E666" t="s">
        <v>2034</v>
      </c>
    </row>
    <row r="667" spans="3:5" x14ac:dyDescent="0.35">
      <c r="C667" s="21">
        <v>664</v>
      </c>
      <c r="D667" t="s">
        <v>1037</v>
      </c>
      <c r="E667" t="s">
        <v>2035</v>
      </c>
    </row>
    <row r="668" spans="3:5" x14ac:dyDescent="0.35">
      <c r="C668" s="21">
        <v>665</v>
      </c>
      <c r="D668" t="s">
        <v>1038</v>
      </c>
      <c r="E668" t="s">
        <v>2036</v>
      </c>
    </row>
    <row r="669" spans="3:5" x14ac:dyDescent="0.35">
      <c r="C669" s="21">
        <v>666</v>
      </c>
      <c r="D669" t="s">
        <v>1039</v>
      </c>
      <c r="E669" t="s">
        <v>2037</v>
      </c>
    </row>
    <row r="670" spans="3:5" x14ac:dyDescent="0.35">
      <c r="C670" s="21">
        <v>667</v>
      </c>
      <c r="D670" t="s">
        <v>1040</v>
      </c>
      <c r="E670" t="s">
        <v>2038</v>
      </c>
    </row>
    <row r="671" spans="3:5" x14ac:dyDescent="0.35">
      <c r="C671" s="21">
        <v>668</v>
      </c>
      <c r="D671" t="s">
        <v>1041</v>
      </c>
      <c r="E671" t="s">
        <v>2039</v>
      </c>
    </row>
    <row r="672" spans="3:5" x14ac:dyDescent="0.35">
      <c r="C672" s="21">
        <v>669</v>
      </c>
      <c r="D672" t="s">
        <v>1042</v>
      </c>
      <c r="E672" t="s">
        <v>2040</v>
      </c>
    </row>
    <row r="673" spans="3:5" x14ac:dyDescent="0.35">
      <c r="C673" s="21">
        <v>670</v>
      </c>
      <c r="D673" t="s">
        <v>1043</v>
      </c>
      <c r="E673" t="s">
        <v>2041</v>
      </c>
    </row>
    <row r="674" spans="3:5" x14ac:dyDescent="0.35">
      <c r="C674" s="21">
        <v>671</v>
      </c>
      <c r="D674" t="s">
        <v>1044</v>
      </c>
      <c r="E674" t="s">
        <v>2042</v>
      </c>
    </row>
    <row r="675" spans="3:5" x14ac:dyDescent="0.35">
      <c r="C675" s="21">
        <v>672</v>
      </c>
      <c r="D675" t="s">
        <v>1045</v>
      </c>
      <c r="E675" t="s">
        <v>2043</v>
      </c>
    </row>
    <row r="676" spans="3:5" x14ac:dyDescent="0.35">
      <c r="C676" s="21">
        <v>673</v>
      </c>
      <c r="D676" t="s">
        <v>1046</v>
      </c>
      <c r="E676" t="s">
        <v>2044</v>
      </c>
    </row>
    <row r="677" spans="3:5" x14ac:dyDescent="0.35">
      <c r="C677" s="21">
        <v>674</v>
      </c>
      <c r="D677" t="s">
        <v>1047</v>
      </c>
      <c r="E677" t="s">
        <v>2045</v>
      </c>
    </row>
    <row r="678" spans="3:5" x14ac:dyDescent="0.35">
      <c r="C678" s="21">
        <v>675</v>
      </c>
      <c r="D678" t="s">
        <v>1048</v>
      </c>
      <c r="E678" t="s">
        <v>2046</v>
      </c>
    </row>
    <row r="679" spans="3:5" x14ac:dyDescent="0.35">
      <c r="C679" s="21">
        <v>676</v>
      </c>
      <c r="D679" t="s">
        <v>1049</v>
      </c>
      <c r="E679" t="s">
        <v>2047</v>
      </c>
    </row>
    <row r="680" spans="3:5" x14ac:dyDescent="0.35">
      <c r="C680" s="21">
        <v>677</v>
      </c>
      <c r="D680" t="s">
        <v>1050</v>
      </c>
      <c r="E680" t="s">
        <v>2048</v>
      </c>
    </row>
    <row r="681" spans="3:5" x14ac:dyDescent="0.35">
      <c r="C681" s="21">
        <v>678</v>
      </c>
      <c r="D681" t="s">
        <v>1051</v>
      </c>
      <c r="E681" t="s">
        <v>2049</v>
      </c>
    </row>
    <row r="682" spans="3:5" x14ac:dyDescent="0.35">
      <c r="C682" s="21">
        <v>679</v>
      </c>
      <c r="D682" t="s">
        <v>1052</v>
      </c>
      <c r="E682" t="s">
        <v>2050</v>
      </c>
    </row>
    <row r="683" spans="3:5" x14ac:dyDescent="0.35">
      <c r="C683" s="21">
        <v>680</v>
      </c>
      <c r="D683" t="s">
        <v>1053</v>
      </c>
      <c r="E683" t="s">
        <v>2051</v>
      </c>
    </row>
    <row r="684" spans="3:5" x14ac:dyDescent="0.35">
      <c r="C684" s="21">
        <v>681</v>
      </c>
      <c r="D684" t="s">
        <v>1054</v>
      </c>
      <c r="E684" t="s">
        <v>2052</v>
      </c>
    </row>
    <row r="685" spans="3:5" x14ac:dyDescent="0.35">
      <c r="C685" s="21">
        <v>682</v>
      </c>
      <c r="D685" t="s">
        <v>1055</v>
      </c>
      <c r="E685" t="s">
        <v>2053</v>
      </c>
    </row>
    <row r="686" spans="3:5" x14ac:dyDescent="0.35">
      <c r="C686" s="21">
        <v>683</v>
      </c>
      <c r="D686" t="s">
        <v>1056</v>
      </c>
      <c r="E686" t="s">
        <v>2054</v>
      </c>
    </row>
    <row r="687" spans="3:5" x14ac:dyDescent="0.35">
      <c r="C687" s="21">
        <v>684</v>
      </c>
      <c r="D687" t="s">
        <v>1057</v>
      </c>
      <c r="E687" t="s">
        <v>2055</v>
      </c>
    </row>
    <row r="688" spans="3:5" x14ac:dyDescent="0.35">
      <c r="C688" s="21">
        <v>685</v>
      </c>
      <c r="D688" t="s">
        <v>1058</v>
      </c>
      <c r="E688" t="s">
        <v>2056</v>
      </c>
    </row>
    <row r="689" spans="3:5" x14ac:dyDescent="0.35">
      <c r="C689" s="21">
        <v>686</v>
      </c>
      <c r="D689" t="s">
        <v>1059</v>
      </c>
      <c r="E689" t="s">
        <v>2057</v>
      </c>
    </row>
    <row r="690" spans="3:5" x14ac:dyDescent="0.35">
      <c r="C690" s="21">
        <v>687</v>
      </c>
      <c r="D690" t="s">
        <v>1060</v>
      </c>
      <c r="E690" t="s">
        <v>2058</v>
      </c>
    </row>
    <row r="691" spans="3:5" x14ac:dyDescent="0.35">
      <c r="C691" s="21">
        <v>688</v>
      </c>
      <c r="D691" t="s">
        <v>1061</v>
      </c>
      <c r="E691" t="s">
        <v>2059</v>
      </c>
    </row>
    <row r="692" spans="3:5" x14ac:dyDescent="0.35">
      <c r="C692" s="21">
        <v>689</v>
      </c>
      <c r="D692" t="s">
        <v>1062</v>
      </c>
      <c r="E692" t="s">
        <v>2060</v>
      </c>
    </row>
    <row r="693" spans="3:5" x14ac:dyDescent="0.35">
      <c r="C693" s="21">
        <v>690</v>
      </c>
      <c r="D693" t="s">
        <v>1063</v>
      </c>
      <c r="E693" t="s">
        <v>2061</v>
      </c>
    </row>
    <row r="694" spans="3:5" x14ac:dyDescent="0.35">
      <c r="C694" s="21">
        <v>691</v>
      </c>
      <c r="D694" t="s">
        <v>1064</v>
      </c>
      <c r="E694" t="s">
        <v>2062</v>
      </c>
    </row>
    <row r="695" spans="3:5" x14ac:dyDescent="0.35">
      <c r="C695" s="21">
        <v>692</v>
      </c>
      <c r="D695" t="s">
        <v>1065</v>
      </c>
      <c r="E695" t="s">
        <v>2063</v>
      </c>
    </row>
    <row r="696" spans="3:5" x14ac:dyDescent="0.35">
      <c r="C696" s="21">
        <v>693</v>
      </c>
      <c r="D696" t="s">
        <v>1066</v>
      </c>
      <c r="E696" t="s">
        <v>2064</v>
      </c>
    </row>
    <row r="697" spans="3:5" x14ac:dyDescent="0.35">
      <c r="C697" s="21">
        <v>694</v>
      </c>
      <c r="D697" t="s">
        <v>1067</v>
      </c>
      <c r="E697" t="s">
        <v>2065</v>
      </c>
    </row>
    <row r="698" spans="3:5" x14ac:dyDescent="0.35">
      <c r="C698" s="21">
        <v>695</v>
      </c>
      <c r="D698" t="s">
        <v>1068</v>
      </c>
      <c r="E698" t="s">
        <v>2066</v>
      </c>
    </row>
    <row r="699" spans="3:5" x14ac:dyDescent="0.35">
      <c r="C699" s="21">
        <v>696</v>
      </c>
      <c r="D699" t="s">
        <v>1069</v>
      </c>
      <c r="E699" t="s">
        <v>2067</v>
      </c>
    </row>
    <row r="700" spans="3:5" x14ac:dyDescent="0.35">
      <c r="C700" s="21">
        <v>697</v>
      </c>
      <c r="D700" t="s">
        <v>1070</v>
      </c>
      <c r="E700" t="s">
        <v>2068</v>
      </c>
    </row>
    <row r="701" spans="3:5" x14ac:dyDescent="0.35">
      <c r="C701" s="21">
        <v>698</v>
      </c>
      <c r="D701" t="s">
        <v>1071</v>
      </c>
      <c r="E701" t="s">
        <v>2069</v>
      </c>
    </row>
    <row r="702" spans="3:5" x14ac:dyDescent="0.35">
      <c r="C702" s="21">
        <v>699</v>
      </c>
      <c r="D702" t="s">
        <v>1072</v>
      </c>
      <c r="E702" t="s">
        <v>2070</v>
      </c>
    </row>
    <row r="703" spans="3:5" x14ac:dyDescent="0.35">
      <c r="C703" s="21">
        <v>700</v>
      </c>
      <c r="D703" t="s">
        <v>1073</v>
      </c>
      <c r="E703" t="s">
        <v>2071</v>
      </c>
    </row>
    <row r="704" spans="3:5" x14ac:dyDescent="0.35">
      <c r="C704" s="21">
        <v>701</v>
      </c>
      <c r="D704" t="s">
        <v>1074</v>
      </c>
      <c r="E704" t="s">
        <v>2072</v>
      </c>
    </row>
    <row r="705" spans="3:5" x14ac:dyDescent="0.35">
      <c r="C705" s="21">
        <v>702</v>
      </c>
      <c r="D705" t="s">
        <v>1075</v>
      </c>
      <c r="E705" t="s">
        <v>2073</v>
      </c>
    </row>
    <row r="706" spans="3:5" x14ac:dyDescent="0.35">
      <c r="C706" s="21">
        <v>703</v>
      </c>
      <c r="D706" t="s">
        <v>1076</v>
      </c>
      <c r="E706" t="s">
        <v>2074</v>
      </c>
    </row>
    <row r="707" spans="3:5" x14ac:dyDescent="0.35">
      <c r="C707" s="21">
        <v>704</v>
      </c>
      <c r="D707" t="s">
        <v>1077</v>
      </c>
      <c r="E707" t="s">
        <v>2075</v>
      </c>
    </row>
    <row r="708" spans="3:5" x14ac:dyDescent="0.35">
      <c r="C708" s="21">
        <v>705</v>
      </c>
      <c r="D708" t="s">
        <v>1078</v>
      </c>
      <c r="E708" t="s">
        <v>2076</v>
      </c>
    </row>
    <row r="709" spans="3:5" x14ac:dyDescent="0.35">
      <c r="C709" s="21">
        <v>706</v>
      </c>
      <c r="D709" t="s">
        <v>1079</v>
      </c>
      <c r="E709" t="s">
        <v>2077</v>
      </c>
    </row>
    <row r="710" spans="3:5" x14ac:dyDescent="0.35">
      <c r="C710" s="21">
        <v>707</v>
      </c>
      <c r="D710" t="s">
        <v>1080</v>
      </c>
      <c r="E710" t="s">
        <v>2078</v>
      </c>
    </row>
    <row r="711" spans="3:5" x14ac:dyDescent="0.35">
      <c r="C711" s="21">
        <v>708</v>
      </c>
      <c r="D711" t="s">
        <v>1081</v>
      </c>
      <c r="E711" t="s">
        <v>2079</v>
      </c>
    </row>
    <row r="712" spans="3:5" x14ac:dyDescent="0.35">
      <c r="C712" s="21">
        <v>709</v>
      </c>
      <c r="D712" t="s">
        <v>1082</v>
      </c>
      <c r="E712" t="s">
        <v>2080</v>
      </c>
    </row>
    <row r="713" spans="3:5" x14ac:dyDescent="0.35">
      <c r="C713" s="21">
        <v>710</v>
      </c>
      <c r="D713" t="s">
        <v>1083</v>
      </c>
      <c r="E713" t="s">
        <v>2081</v>
      </c>
    </row>
    <row r="714" spans="3:5" x14ac:dyDescent="0.35">
      <c r="C714" s="21">
        <v>711</v>
      </c>
      <c r="D714" t="s">
        <v>1084</v>
      </c>
      <c r="E714" t="s">
        <v>2082</v>
      </c>
    </row>
    <row r="715" spans="3:5" x14ac:dyDescent="0.35">
      <c r="C715" s="21">
        <v>712</v>
      </c>
      <c r="D715" t="s">
        <v>1085</v>
      </c>
      <c r="E715" t="s">
        <v>2083</v>
      </c>
    </row>
    <row r="716" spans="3:5" x14ac:dyDescent="0.35">
      <c r="C716" s="21">
        <v>713</v>
      </c>
      <c r="D716" t="s">
        <v>1086</v>
      </c>
      <c r="E716" t="s">
        <v>2084</v>
      </c>
    </row>
    <row r="717" spans="3:5" x14ac:dyDescent="0.35">
      <c r="C717" s="21">
        <v>714</v>
      </c>
      <c r="D717" t="s">
        <v>1087</v>
      </c>
      <c r="E717" t="s">
        <v>2085</v>
      </c>
    </row>
    <row r="718" spans="3:5" x14ac:dyDescent="0.35">
      <c r="C718" s="21">
        <v>715</v>
      </c>
      <c r="D718" t="s">
        <v>1088</v>
      </c>
      <c r="E718" t="s">
        <v>2086</v>
      </c>
    </row>
    <row r="719" spans="3:5" x14ac:dyDescent="0.35">
      <c r="C719" s="21">
        <v>716</v>
      </c>
      <c r="D719" t="s">
        <v>1089</v>
      </c>
      <c r="E719" t="s">
        <v>2087</v>
      </c>
    </row>
    <row r="720" spans="3:5" x14ac:dyDescent="0.35">
      <c r="C720" s="21">
        <v>717</v>
      </c>
      <c r="D720" t="s">
        <v>1090</v>
      </c>
      <c r="E720" t="s">
        <v>2088</v>
      </c>
    </row>
    <row r="721" spans="3:5" x14ac:dyDescent="0.35">
      <c r="C721" s="21">
        <v>718</v>
      </c>
      <c r="D721" t="s">
        <v>1091</v>
      </c>
      <c r="E721" t="s">
        <v>2089</v>
      </c>
    </row>
    <row r="722" spans="3:5" x14ac:dyDescent="0.35">
      <c r="C722" s="21">
        <v>719</v>
      </c>
      <c r="D722" t="s">
        <v>1092</v>
      </c>
      <c r="E722" t="s">
        <v>2090</v>
      </c>
    </row>
    <row r="723" spans="3:5" x14ac:dyDescent="0.35">
      <c r="C723" s="21">
        <v>720</v>
      </c>
      <c r="D723" t="s">
        <v>1093</v>
      </c>
      <c r="E723" t="s">
        <v>2091</v>
      </c>
    </row>
    <row r="724" spans="3:5" x14ac:dyDescent="0.35">
      <c r="C724" s="21">
        <v>721</v>
      </c>
      <c r="D724" t="s">
        <v>1094</v>
      </c>
      <c r="E724" t="s">
        <v>2092</v>
      </c>
    </row>
    <row r="725" spans="3:5" x14ac:dyDescent="0.35">
      <c r="C725" s="21">
        <v>722</v>
      </c>
      <c r="D725" t="s">
        <v>1095</v>
      </c>
      <c r="E725" t="s">
        <v>2093</v>
      </c>
    </row>
    <row r="726" spans="3:5" x14ac:dyDescent="0.35">
      <c r="C726" s="21">
        <v>723</v>
      </c>
      <c r="D726" t="s">
        <v>1096</v>
      </c>
      <c r="E726" t="s">
        <v>2094</v>
      </c>
    </row>
    <row r="727" spans="3:5" x14ac:dyDescent="0.35">
      <c r="C727" s="21">
        <v>724</v>
      </c>
      <c r="D727" t="s">
        <v>1097</v>
      </c>
      <c r="E727" t="s">
        <v>2095</v>
      </c>
    </row>
    <row r="728" spans="3:5" x14ac:dyDescent="0.35">
      <c r="C728" s="21">
        <v>725</v>
      </c>
      <c r="D728" t="s">
        <v>1098</v>
      </c>
      <c r="E728" t="s">
        <v>2096</v>
      </c>
    </row>
    <row r="729" spans="3:5" x14ac:dyDescent="0.35">
      <c r="C729" s="21">
        <v>726</v>
      </c>
      <c r="D729" t="s">
        <v>1099</v>
      </c>
      <c r="E729" t="s">
        <v>2097</v>
      </c>
    </row>
    <row r="730" spans="3:5" x14ac:dyDescent="0.35">
      <c r="C730" s="21">
        <v>727</v>
      </c>
      <c r="D730" t="s">
        <v>1100</v>
      </c>
      <c r="E730" t="s">
        <v>2098</v>
      </c>
    </row>
    <row r="731" spans="3:5" x14ac:dyDescent="0.35">
      <c r="C731" s="21">
        <v>728</v>
      </c>
      <c r="D731" t="s">
        <v>1101</v>
      </c>
      <c r="E731" t="s">
        <v>2099</v>
      </c>
    </row>
    <row r="732" spans="3:5" x14ac:dyDescent="0.35">
      <c r="C732" s="21">
        <v>729</v>
      </c>
      <c r="D732" t="s">
        <v>1102</v>
      </c>
      <c r="E732" t="s">
        <v>2100</v>
      </c>
    </row>
    <row r="733" spans="3:5" x14ac:dyDescent="0.35">
      <c r="C733" s="21">
        <v>730</v>
      </c>
      <c r="D733" t="s">
        <v>1103</v>
      </c>
      <c r="E733" t="s">
        <v>2101</v>
      </c>
    </row>
    <row r="734" spans="3:5" x14ac:dyDescent="0.35">
      <c r="C734" s="21">
        <v>731</v>
      </c>
      <c r="D734" t="s">
        <v>1104</v>
      </c>
      <c r="E734" t="s">
        <v>2102</v>
      </c>
    </row>
    <row r="735" spans="3:5" x14ac:dyDescent="0.35">
      <c r="C735" s="21">
        <v>732</v>
      </c>
      <c r="D735" t="s">
        <v>1105</v>
      </c>
      <c r="E735" t="s">
        <v>2103</v>
      </c>
    </row>
    <row r="736" spans="3:5" x14ac:dyDescent="0.35">
      <c r="C736" s="21">
        <v>733</v>
      </c>
      <c r="D736" t="s">
        <v>1106</v>
      </c>
      <c r="E736" t="s">
        <v>2104</v>
      </c>
    </row>
    <row r="737" spans="3:5" x14ac:dyDescent="0.35">
      <c r="C737" s="21">
        <v>734</v>
      </c>
      <c r="D737" t="s">
        <v>1107</v>
      </c>
      <c r="E737" t="s">
        <v>2105</v>
      </c>
    </row>
    <row r="738" spans="3:5" x14ac:dyDescent="0.35">
      <c r="C738" s="21">
        <v>735</v>
      </c>
      <c r="D738" t="s">
        <v>1108</v>
      </c>
      <c r="E738" t="s">
        <v>2106</v>
      </c>
    </row>
    <row r="739" spans="3:5" x14ac:dyDescent="0.35">
      <c r="C739" s="21">
        <v>736</v>
      </c>
      <c r="D739" t="s">
        <v>1109</v>
      </c>
      <c r="E739" t="s">
        <v>2107</v>
      </c>
    </row>
    <row r="740" spans="3:5" x14ac:dyDescent="0.35">
      <c r="C740" s="21">
        <v>737</v>
      </c>
      <c r="D740" t="s">
        <v>1110</v>
      </c>
      <c r="E740" t="s">
        <v>2108</v>
      </c>
    </row>
    <row r="741" spans="3:5" x14ac:dyDescent="0.35">
      <c r="C741" s="21">
        <v>738</v>
      </c>
      <c r="D741" t="s">
        <v>1111</v>
      </c>
      <c r="E741" t="s">
        <v>2109</v>
      </c>
    </row>
    <row r="742" spans="3:5" x14ac:dyDescent="0.35">
      <c r="C742" s="21">
        <v>739</v>
      </c>
      <c r="D742" t="s">
        <v>1112</v>
      </c>
      <c r="E742" t="s">
        <v>2110</v>
      </c>
    </row>
    <row r="743" spans="3:5" x14ac:dyDescent="0.35">
      <c r="C743" s="21">
        <v>740</v>
      </c>
      <c r="D743" t="s">
        <v>1113</v>
      </c>
      <c r="E743" t="s">
        <v>2111</v>
      </c>
    </row>
    <row r="744" spans="3:5" x14ac:dyDescent="0.35">
      <c r="C744" s="21">
        <v>741</v>
      </c>
      <c r="D744" t="s">
        <v>1114</v>
      </c>
      <c r="E744" t="s">
        <v>2112</v>
      </c>
    </row>
    <row r="745" spans="3:5" x14ac:dyDescent="0.35">
      <c r="C745" s="21">
        <v>742</v>
      </c>
      <c r="D745" t="s">
        <v>1115</v>
      </c>
      <c r="E745" t="s">
        <v>2113</v>
      </c>
    </row>
    <row r="746" spans="3:5" x14ac:dyDescent="0.35">
      <c r="C746" s="21">
        <v>743</v>
      </c>
      <c r="D746" t="s">
        <v>1116</v>
      </c>
      <c r="E746" t="s">
        <v>2114</v>
      </c>
    </row>
    <row r="747" spans="3:5" x14ac:dyDescent="0.35">
      <c r="C747" s="21">
        <v>744</v>
      </c>
      <c r="D747" t="s">
        <v>1117</v>
      </c>
      <c r="E747" t="s">
        <v>2115</v>
      </c>
    </row>
    <row r="748" spans="3:5" x14ac:dyDescent="0.35">
      <c r="C748" s="21">
        <v>745</v>
      </c>
      <c r="D748" t="s">
        <v>1118</v>
      </c>
      <c r="E748" t="s">
        <v>2116</v>
      </c>
    </row>
    <row r="749" spans="3:5" x14ac:dyDescent="0.35">
      <c r="C749" s="21">
        <v>746</v>
      </c>
      <c r="D749" t="s">
        <v>1119</v>
      </c>
      <c r="E749" t="s">
        <v>2117</v>
      </c>
    </row>
    <row r="750" spans="3:5" x14ac:dyDescent="0.35">
      <c r="C750" s="21">
        <v>747</v>
      </c>
      <c r="D750" t="s">
        <v>1120</v>
      </c>
      <c r="E750" t="s">
        <v>2118</v>
      </c>
    </row>
    <row r="751" spans="3:5" x14ac:dyDescent="0.35">
      <c r="C751" s="21">
        <v>748</v>
      </c>
      <c r="D751" t="s">
        <v>1121</v>
      </c>
      <c r="E751" t="s">
        <v>2119</v>
      </c>
    </row>
    <row r="752" spans="3:5" x14ac:dyDescent="0.35">
      <c r="C752" s="21">
        <v>749</v>
      </c>
      <c r="D752" t="s">
        <v>1122</v>
      </c>
      <c r="E752" t="s">
        <v>2120</v>
      </c>
    </row>
    <row r="753" spans="3:5" x14ac:dyDescent="0.35">
      <c r="C753" s="21">
        <v>750</v>
      </c>
      <c r="D753" t="s">
        <v>1123</v>
      </c>
      <c r="E753" t="s">
        <v>2121</v>
      </c>
    </row>
    <row r="754" spans="3:5" x14ac:dyDescent="0.35">
      <c r="C754" s="21">
        <v>751</v>
      </c>
      <c r="D754" t="s">
        <v>1124</v>
      </c>
      <c r="E754" t="s">
        <v>2122</v>
      </c>
    </row>
    <row r="755" spans="3:5" x14ac:dyDescent="0.35">
      <c r="C755" s="21">
        <v>752</v>
      </c>
      <c r="D755" t="s">
        <v>1125</v>
      </c>
      <c r="E755" t="s">
        <v>2123</v>
      </c>
    </row>
    <row r="756" spans="3:5" x14ac:dyDescent="0.35">
      <c r="C756" s="21">
        <v>753</v>
      </c>
      <c r="D756" t="s">
        <v>1126</v>
      </c>
      <c r="E756" t="s">
        <v>2124</v>
      </c>
    </row>
    <row r="757" spans="3:5" x14ac:dyDescent="0.35">
      <c r="C757" s="21">
        <v>754</v>
      </c>
      <c r="D757" t="s">
        <v>1127</v>
      </c>
      <c r="E757" t="s">
        <v>2125</v>
      </c>
    </row>
    <row r="758" spans="3:5" x14ac:dyDescent="0.35">
      <c r="C758" s="21">
        <v>755</v>
      </c>
      <c r="D758" t="s">
        <v>1128</v>
      </c>
      <c r="E758" t="s">
        <v>2126</v>
      </c>
    </row>
    <row r="759" spans="3:5" x14ac:dyDescent="0.35">
      <c r="C759" s="21">
        <v>756</v>
      </c>
      <c r="D759" t="s">
        <v>1129</v>
      </c>
      <c r="E759" t="s">
        <v>2127</v>
      </c>
    </row>
    <row r="760" spans="3:5" x14ac:dyDescent="0.35">
      <c r="C760" s="21">
        <v>757</v>
      </c>
      <c r="D760" t="s">
        <v>1130</v>
      </c>
      <c r="E760" t="s">
        <v>2128</v>
      </c>
    </row>
    <row r="761" spans="3:5" x14ac:dyDescent="0.35">
      <c r="C761" s="21">
        <v>758</v>
      </c>
      <c r="D761" t="s">
        <v>1131</v>
      </c>
      <c r="E761" t="s">
        <v>2129</v>
      </c>
    </row>
    <row r="762" spans="3:5" x14ac:dyDescent="0.35">
      <c r="C762" s="21">
        <v>759</v>
      </c>
      <c r="D762" t="s">
        <v>1132</v>
      </c>
      <c r="E762" t="s">
        <v>2130</v>
      </c>
    </row>
    <row r="763" spans="3:5" x14ac:dyDescent="0.35">
      <c r="C763" s="21">
        <v>760</v>
      </c>
      <c r="D763" t="s">
        <v>1133</v>
      </c>
      <c r="E763" t="s">
        <v>2131</v>
      </c>
    </row>
    <row r="764" spans="3:5" x14ac:dyDescent="0.35">
      <c r="C764" s="21">
        <v>761</v>
      </c>
      <c r="D764" t="s">
        <v>1134</v>
      </c>
      <c r="E764" t="s">
        <v>2132</v>
      </c>
    </row>
    <row r="765" spans="3:5" x14ac:dyDescent="0.35">
      <c r="C765" s="21">
        <v>762</v>
      </c>
      <c r="D765" t="s">
        <v>1135</v>
      </c>
      <c r="E765" t="s">
        <v>2133</v>
      </c>
    </row>
    <row r="766" spans="3:5" x14ac:dyDescent="0.35">
      <c r="C766" s="21">
        <v>763</v>
      </c>
      <c r="D766" t="s">
        <v>1136</v>
      </c>
      <c r="E766" t="s">
        <v>2134</v>
      </c>
    </row>
    <row r="767" spans="3:5" x14ac:dyDescent="0.35">
      <c r="C767" s="21">
        <v>764</v>
      </c>
      <c r="D767" t="s">
        <v>1137</v>
      </c>
      <c r="E767" t="s">
        <v>2135</v>
      </c>
    </row>
    <row r="768" spans="3:5" x14ac:dyDescent="0.35">
      <c r="C768" s="21">
        <v>765</v>
      </c>
      <c r="D768" t="s">
        <v>1138</v>
      </c>
      <c r="E768" t="s">
        <v>2136</v>
      </c>
    </row>
    <row r="769" spans="3:5" x14ac:dyDescent="0.35">
      <c r="C769" s="21">
        <v>766</v>
      </c>
      <c r="D769" t="s">
        <v>1139</v>
      </c>
      <c r="E769" t="s">
        <v>2137</v>
      </c>
    </row>
    <row r="770" spans="3:5" x14ac:dyDescent="0.35">
      <c r="C770" s="21">
        <v>767</v>
      </c>
      <c r="D770" t="s">
        <v>1140</v>
      </c>
      <c r="E770" t="s">
        <v>2138</v>
      </c>
    </row>
    <row r="771" spans="3:5" x14ac:dyDescent="0.35">
      <c r="C771" s="21">
        <v>768</v>
      </c>
      <c r="D771" t="s">
        <v>1141</v>
      </c>
      <c r="E771" t="s">
        <v>2139</v>
      </c>
    </row>
    <row r="772" spans="3:5" x14ac:dyDescent="0.35">
      <c r="C772" s="21">
        <v>769</v>
      </c>
      <c r="D772" t="s">
        <v>1142</v>
      </c>
      <c r="E772" t="s">
        <v>2140</v>
      </c>
    </row>
    <row r="773" spans="3:5" x14ac:dyDescent="0.35">
      <c r="C773" s="21">
        <v>770</v>
      </c>
      <c r="D773" t="s">
        <v>1143</v>
      </c>
      <c r="E773" t="s">
        <v>2141</v>
      </c>
    </row>
    <row r="774" spans="3:5" x14ac:dyDescent="0.35">
      <c r="C774" s="21">
        <v>771</v>
      </c>
      <c r="D774" t="s">
        <v>1144</v>
      </c>
      <c r="E774" t="s">
        <v>2142</v>
      </c>
    </row>
    <row r="775" spans="3:5" x14ac:dyDescent="0.35">
      <c r="C775" s="21">
        <v>772</v>
      </c>
      <c r="D775" t="s">
        <v>1145</v>
      </c>
      <c r="E775" t="s">
        <v>2143</v>
      </c>
    </row>
    <row r="776" spans="3:5" x14ac:dyDescent="0.35">
      <c r="C776" s="21">
        <v>773</v>
      </c>
      <c r="D776" t="s">
        <v>1146</v>
      </c>
      <c r="E776" t="s">
        <v>2144</v>
      </c>
    </row>
    <row r="777" spans="3:5" x14ac:dyDescent="0.35">
      <c r="C777" s="21">
        <v>774</v>
      </c>
      <c r="D777" t="s">
        <v>1147</v>
      </c>
      <c r="E777" t="s">
        <v>2145</v>
      </c>
    </row>
    <row r="778" spans="3:5" x14ac:dyDescent="0.35">
      <c r="C778" s="21">
        <v>775</v>
      </c>
      <c r="D778" t="s">
        <v>1148</v>
      </c>
      <c r="E778" t="s">
        <v>2146</v>
      </c>
    </row>
    <row r="779" spans="3:5" x14ac:dyDescent="0.35">
      <c r="C779" s="21">
        <v>776</v>
      </c>
      <c r="D779" t="s">
        <v>1149</v>
      </c>
      <c r="E779" t="s">
        <v>2147</v>
      </c>
    </row>
    <row r="780" spans="3:5" x14ac:dyDescent="0.35">
      <c r="C780" s="21">
        <v>777</v>
      </c>
      <c r="D780" t="s">
        <v>1150</v>
      </c>
      <c r="E780" t="s">
        <v>2148</v>
      </c>
    </row>
    <row r="781" spans="3:5" x14ac:dyDescent="0.35">
      <c r="C781" s="21">
        <v>778</v>
      </c>
      <c r="D781" t="s">
        <v>1151</v>
      </c>
      <c r="E781" t="s">
        <v>2149</v>
      </c>
    </row>
    <row r="782" spans="3:5" x14ac:dyDescent="0.35">
      <c r="C782" s="21">
        <v>779</v>
      </c>
      <c r="D782" t="s">
        <v>1152</v>
      </c>
      <c r="E782" t="s">
        <v>2150</v>
      </c>
    </row>
    <row r="783" spans="3:5" x14ac:dyDescent="0.35">
      <c r="C783" s="21">
        <v>780</v>
      </c>
      <c r="D783" t="s">
        <v>1153</v>
      </c>
      <c r="E783" t="s">
        <v>2151</v>
      </c>
    </row>
    <row r="784" spans="3:5" x14ac:dyDescent="0.35">
      <c r="C784" s="21">
        <v>781</v>
      </c>
      <c r="D784" t="s">
        <v>1154</v>
      </c>
      <c r="E784" t="s">
        <v>2152</v>
      </c>
    </row>
    <row r="785" spans="3:5" x14ac:dyDescent="0.35">
      <c r="C785" s="21">
        <v>782</v>
      </c>
      <c r="D785" t="s">
        <v>1155</v>
      </c>
      <c r="E785" t="s">
        <v>2153</v>
      </c>
    </row>
    <row r="786" spans="3:5" x14ac:dyDescent="0.35">
      <c r="C786" s="21">
        <v>783</v>
      </c>
      <c r="D786" t="s">
        <v>1156</v>
      </c>
      <c r="E786" t="s">
        <v>2154</v>
      </c>
    </row>
    <row r="787" spans="3:5" x14ac:dyDescent="0.35">
      <c r="C787" s="21">
        <v>784</v>
      </c>
      <c r="D787" t="s">
        <v>1157</v>
      </c>
      <c r="E787" t="s">
        <v>2155</v>
      </c>
    </row>
    <row r="788" spans="3:5" x14ac:dyDescent="0.35">
      <c r="C788" s="21">
        <v>785</v>
      </c>
      <c r="D788" t="s">
        <v>1158</v>
      </c>
      <c r="E788" t="s">
        <v>2156</v>
      </c>
    </row>
    <row r="789" spans="3:5" x14ac:dyDescent="0.35">
      <c r="C789" s="21">
        <v>786</v>
      </c>
      <c r="D789" t="s">
        <v>1159</v>
      </c>
      <c r="E789" t="s">
        <v>2157</v>
      </c>
    </row>
    <row r="790" spans="3:5" x14ac:dyDescent="0.35">
      <c r="C790" s="21">
        <v>787</v>
      </c>
      <c r="D790" t="s">
        <v>1160</v>
      </c>
      <c r="E790" t="s">
        <v>2158</v>
      </c>
    </row>
    <row r="791" spans="3:5" x14ac:dyDescent="0.35">
      <c r="C791" s="21">
        <v>788</v>
      </c>
      <c r="D791" t="s">
        <v>1161</v>
      </c>
      <c r="E791" t="s">
        <v>2159</v>
      </c>
    </row>
    <row r="792" spans="3:5" x14ac:dyDescent="0.35">
      <c r="C792" s="21">
        <v>789</v>
      </c>
      <c r="D792" t="s">
        <v>1162</v>
      </c>
      <c r="E792" t="s">
        <v>2160</v>
      </c>
    </row>
    <row r="793" spans="3:5" x14ac:dyDescent="0.35">
      <c r="C793" s="21">
        <v>790</v>
      </c>
      <c r="D793" t="s">
        <v>1163</v>
      </c>
      <c r="E793" t="s">
        <v>2161</v>
      </c>
    </row>
    <row r="794" spans="3:5" x14ac:dyDescent="0.35">
      <c r="C794" s="21">
        <v>791</v>
      </c>
      <c r="D794" t="s">
        <v>1164</v>
      </c>
      <c r="E794" t="s">
        <v>2162</v>
      </c>
    </row>
    <row r="795" spans="3:5" x14ac:dyDescent="0.35">
      <c r="C795" s="21">
        <v>792</v>
      </c>
      <c r="D795" t="s">
        <v>1165</v>
      </c>
      <c r="E795" t="s">
        <v>2163</v>
      </c>
    </row>
    <row r="796" spans="3:5" x14ac:dyDescent="0.35">
      <c r="C796" s="21">
        <v>793</v>
      </c>
      <c r="D796" t="s">
        <v>1166</v>
      </c>
      <c r="E796" t="s">
        <v>2164</v>
      </c>
    </row>
    <row r="797" spans="3:5" x14ac:dyDescent="0.35">
      <c r="C797" s="21">
        <v>794</v>
      </c>
      <c r="D797" t="s">
        <v>1167</v>
      </c>
      <c r="E797" t="s">
        <v>2165</v>
      </c>
    </row>
    <row r="798" spans="3:5" x14ac:dyDescent="0.35">
      <c r="C798" s="21">
        <v>795</v>
      </c>
      <c r="D798" t="s">
        <v>1168</v>
      </c>
      <c r="E798" t="s">
        <v>2166</v>
      </c>
    </row>
    <row r="799" spans="3:5" x14ac:dyDescent="0.35">
      <c r="C799" s="21">
        <v>796</v>
      </c>
      <c r="D799" t="s">
        <v>1169</v>
      </c>
      <c r="E799" t="s">
        <v>2167</v>
      </c>
    </row>
    <row r="800" spans="3:5" x14ac:dyDescent="0.35">
      <c r="C800" s="21">
        <v>797</v>
      </c>
      <c r="D800" t="s">
        <v>1170</v>
      </c>
      <c r="E800" t="s">
        <v>2168</v>
      </c>
    </row>
    <row r="801" spans="3:5" x14ac:dyDescent="0.35">
      <c r="C801" s="21">
        <v>798</v>
      </c>
      <c r="D801" t="s">
        <v>1171</v>
      </c>
      <c r="E801" t="s">
        <v>2169</v>
      </c>
    </row>
    <row r="802" spans="3:5" x14ac:dyDescent="0.35">
      <c r="C802" s="21">
        <v>799</v>
      </c>
      <c r="D802" t="s">
        <v>1172</v>
      </c>
      <c r="E802" t="s">
        <v>2170</v>
      </c>
    </row>
    <row r="803" spans="3:5" x14ac:dyDescent="0.35">
      <c r="C803" s="21">
        <v>800</v>
      </c>
      <c r="D803" t="s">
        <v>1173</v>
      </c>
      <c r="E803" t="s">
        <v>2171</v>
      </c>
    </row>
    <row r="804" spans="3:5" x14ac:dyDescent="0.35">
      <c r="C804" s="21">
        <v>801</v>
      </c>
      <c r="D804" t="s">
        <v>1174</v>
      </c>
      <c r="E804" t="s">
        <v>2172</v>
      </c>
    </row>
    <row r="805" spans="3:5" x14ac:dyDescent="0.35">
      <c r="C805" s="21">
        <v>802</v>
      </c>
      <c r="D805" t="s">
        <v>1175</v>
      </c>
      <c r="E805" t="s">
        <v>2173</v>
      </c>
    </row>
    <row r="806" spans="3:5" x14ac:dyDescent="0.35">
      <c r="C806" s="21">
        <v>803</v>
      </c>
      <c r="D806" t="s">
        <v>1176</v>
      </c>
      <c r="E806" t="s">
        <v>2174</v>
      </c>
    </row>
    <row r="807" spans="3:5" x14ac:dyDescent="0.35">
      <c r="C807" s="21">
        <v>804</v>
      </c>
      <c r="D807" t="s">
        <v>1177</v>
      </c>
      <c r="E807" t="s">
        <v>2175</v>
      </c>
    </row>
    <row r="808" spans="3:5" x14ac:dyDescent="0.35">
      <c r="C808" s="21">
        <v>805</v>
      </c>
      <c r="D808" t="s">
        <v>1178</v>
      </c>
      <c r="E808" t="s">
        <v>2176</v>
      </c>
    </row>
    <row r="809" spans="3:5" x14ac:dyDescent="0.35">
      <c r="C809" s="21">
        <v>806</v>
      </c>
      <c r="D809" t="s">
        <v>1179</v>
      </c>
      <c r="E809" t="s">
        <v>2177</v>
      </c>
    </row>
    <row r="810" spans="3:5" x14ac:dyDescent="0.35">
      <c r="C810" s="21">
        <v>807</v>
      </c>
      <c r="D810" t="s">
        <v>1180</v>
      </c>
      <c r="E810" t="s">
        <v>2178</v>
      </c>
    </row>
    <row r="811" spans="3:5" x14ac:dyDescent="0.35">
      <c r="C811" s="21">
        <v>808</v>
      </c>
      <c r="D811" t="s">
        <v>1181</v>
      </c>
      <c r="E811" t="s">
        <v>2179</v>
      </c>
    </row>
    <row r="812" spans="3:5" x14ac:dyDescent="0.35">
      <c r="C812" s="21">
        <v>809</v>
      </c>
      <c r="D812" t="s">
        <v>1182</v>
      </c>
      <c r="E812" t="s">
        <v>2180</v>
      </c>
    </row>
    <row r="813" spans="3:5" x14ac:dyDescent="0.35">
      <c r="C813" s="21">
        <v>810</v>
      </c>
      <c r="D813" t="s">
        <v>1183</v>
      </c>
      <c r="E813" t="s">
        <v>2181</v>
      </c>
    </row>
    <row r="814" spans="3:5" x14ac:dyDescent="0.35">
      <c r="C814" s="21">
        <v>811</v>
      </c>
      <c r="D814" t="s">
        <v>1184</v>
      </c>
      <c r="E814" t="s">
        <v>2182</v>
      </c>
    </row>
    <row r="815" spans="3:5" x14ac:dyDescent="0.35">
      <c r="C815" s="21">
        <v>812</v>
      </c>
      <c r="D815" t="s">
        <v>1185</v>
      </c>
      <c r="E815" t="s">
        <v>2183</v>
      </c>
    </row>
    <row r="816" spans="3:5" x14ac:dyDescent="0.35">
      <c r="C816" s="21">
        <v>813</v>
      </c>
      <c r="D816" t="s">
        <v>1186</v>
      </c>
      <c r="E816" t="s">
        <v>2184</v>
      </c>
    </row>
    <row r="817" spans="3:5" x14ac:dyDescent="0.35">
      <c r="C817" s="21">
        <v>814</v>
      </c>
      <c r="D817" t="s">
        <v>1187</v>
      </c>
      <c r="E817" t="s">
        <v>2185</v>
      </c>
    </row>
    <row r="818" spans="3:5" x14ac:dyDescent="0.35">
      <c r="C818" s="21">
        <v>815</v>
      </c>
      <c r="D818" t="s">
        <v>1188</v>
      </c>
      <c r="E818" t="s">
        <v>2186</v>
      </c>
    </row>
    <row r="819" spans="3:5" x14ac:dyDescent="0.35">
      <c r="C819" s="21">
        <v>816</v>
      </c>
      <c r="D819" t="s">
        <v>1189</v>
      </c>
      <c r="E819" t="s">
        <v>2187</v>
      </c>
    </row>
    <row r="820" spans="3:5" x14ac:dyDescent="0.35">
      <c r="C820" s="21">
        <v>817</v>
      </c>
      <c r="D820" t="s">
        <v>1190</v>
      </c>
      <c r="E820" t="s">
        <v>2188</v>
      </c>
    </row>
    <row r="821" spans="3:5" x14ac:dyDescent="0.35">
      <c r="C821" s="21">
        <v>818</v>
      </c>
      <c r="D821" t="s">
        <v>1191</v>
      </c>
      <c r="E821" t="s">
        <v>2189</v>
      </c>
    </row>
    <row r="822" spans="3:5" x14ac:dyDescent="0.35">
      <c r="C822" s="21">
        <v>819</v>
      </c>
      <c r="D822" t="s">
        <v>1192</v>
      </c>
      <c r="E822" t="s">
        <v>2190</v>
      </c>
    </row>
    <row r="823" spans="3:5" x14ac:dyDescent="0.35">
      <c r="C823" s="21">
        <v>820</v>
      </c>
      <c r="D823" t="s">
        <v>1193</v>
      </c>
      <c r="E823" t="s">
        <v>2191</v>
      </c>
    </row>
    <row r="824" spans="3:5" x14ac:dyDescent="0.35">
      <c r="C824" s="21">
        <v>821</v>
      </c>
      <c r="D824" t="s">
        <v>1194</v>
      </c>
      <c r="E824" t="s">
        <v>2192</v>
      </c>
    </row>
    <row r="825" spans="3:5" x14ac:dyDescent="0.35">
      <c r="C825" s="21">
        <v>822</v>
      </c>
      <c r="D825" t="s">
        <v>1195</v>
      </c>
      <c r="E825" t="s">
        <v>2193</v>
      </c>
    </row>
    <row r="826" spans="3:5" x14ac:dyDescent="0.35">
      <c r="C826" s="21">
        <v>823</v>
      </c>
      <c r="D826" t="s">
        <v>1196</v>
      </c>
      <c r="E826" t="s">
        <v>2194</v>
      </c>
    </row>
    <row r="827" spans="3:5" x14ac:dyDescent="0.35">
      <c r="C827" s="21">
        <v>824</v>
      </c>
      <c r="D827" t="s">
        <v>1197</v>
      </c>
      <c r="E827" t="s">
        <v>2195</v>
      </c>
    </row>
    <row r="828" spans="3:5" x14ac:dyDescent="0.35">
      <c r="C828" s="21">
        <v>825</v>
      </c>
      <c r="D828" t="s">
        <v>1198</v>
      </c>
      <c r="E828" t="s">
        <v>2196</v>
      </c>
    </row>
    <row r="829" spans="3:5" x14ac:dyDescent="0.35">
      <c r="C829" s="21">
        <v>826</v>
      </c>
      <c r="D829" t="s">
        <v>1199</v>
      </c>
      <c r="E829" t="s">
        <v>2197</v>
      </c>
    </row>
    <row r="830" spans="3:5" x14ac:dyDescent="0.35">
      <c r="C830" s="21">
        <v>827</v>
      </c>
      <c r="D830" t="s">
        <v>1200</v>
      </c>
      <c r="E830" t="s">
        <v>2198</v>
      </c>
    </row>
    <row r="831" spans="3:5" x14ac:dyDescent="0.35">
      <c r="C831" s="21">
        <v>828</v>
      </c>
      <c r="D831" t="s">
        <v>1201</v>
      </c>
      <c r="E831" t="s">
        <v>2199</v>
      </c>
    </row>
    <row r="832" spans="3:5" x14ac:dyDescent="0.35">
      <c r="C832" s="21">
        <v>829</v>
      </c>
      <c r="D832" t="s">
        <v>1202</v>
      </c>
      <c r="E832" t="s">
        <v>2200</v>
      </c>
    </row>
    <row r="833" spans="3:5" x14ac:dyDescent="0.35">
      <c r="C833" s="21">
        <v>830</v>
      </c>
      <c r="D833" t="s">
        <v>1203</v>
      </c>
      <c r="E833" t="s">
        <v>2201</v>
      </c>
    </row>
    <row r="834" spans="3:5" x14ac:dyDescent="0.35">
      <c r="C834" s="21">
        <v>831</v>
      </c>
      <c r="D834" t="s">
        <v>1204</v>
      </c>
      <c r="E834" t="s">
        <v>2202</v>
      </c>
    </row>
    <row r="835" spans="3:5" x14ac:dyDescent="0.35">
      <c r="C835" s="21">
        <v>832</v>
      </c>
      <c r="D835" t="s">
        <v>1205</v>
      </c>
      <c r="E835" t="s">
        <v>2203</v>
      </c>
    </row>
    <row r="836" spans="3:5" x14ac:dyDescent="0.35">
      <c r="C836" s="21">
        <v>833</v>
      </c>
      <c r="D836" t="s">
        <v>1206</v>
      </c>
      <c r="E836" t="s">
        <v>2204</v>
      </c>
    </row>
    <row r="837" spans="3:5" x14ac:dyDescent="0.35">
      <c r="C837" s="21">
        <v>834</v>
      </c>
      <c r="D837" t="s">
        <v>1207</v>
      </c>
      <c r="E837" t="s">
        <v>2205</v>
      </c>
    </row>
    <row r="838" spans="3:5" x14ac:dyDescent="0.35">
      <c r="C838" s="21">
        <v>835</v>
      </c>
      <c r="D838" t="s">
        <v>1208</v>
      </c>
      <c r="E838" t="s">
        <v>2206</v>
      </c>
    </row>
    <row r="839" spans="3:5" x14ac:dyDescent="0.35">
      <c r="C839" s="21">
        <v>836</v>
      </c>
      <c r="D839" t="s">
        <v>1209</v>
      </c>
      <c r="E839" t="s">
        <v>2207</v>
      </c>
    </row>
    <row r="840" spans="3:5" x14ac:dyDescent="0.35">
      <c r="C840" s="21">
        <v>837</v>
      </c>
      <c r="D840" t="s">
        <v>1210</v>
      </c>
      <c r="E840" t="s">
        <v>2208</v>
      </c>
    </row>
    <row r="841" spans="3:5" x14ac:dyDescent="0.35">
      <c r="C841" s="21">
        <v>838</v>
      </c>
      <c r="D841" t="s">
        <v>1211</v>
      </c>
      <c r="E841" t="s">
        <v>2209</v>
      </c>
    </row>
    <row r="842" spans="3:5" x14ac:dyDescent="0.35">
      <c r="C842" s="21">
        <v>839</v>
      </c>
      <c r="D842" t="s">
        <v>1212</v>
      </c>
      <c r="E842" t="s">
        <v>2210</v>
      </c>
    </row>
    <row r="843" spans="3:5" x14ac:dyDescent="0.35">
      <c r="C843" s="21">
        <v>840</v>
      </c>
      <c r="D843" t="s">
        <v>1213</v>
      </c>
      <c r="E843" t="s">
        <v>2211</v>
      </c>
    </row>
    <row r="844" spans="3:5" x14ac:dyDescent="0.35">
      <c r="C844" s="21">
        <v>841</v>
      </c>
      <c r="D844" t="s">
        <v>1214</v>
      </c>
      <c r="E844" t="s">
        <v>2212</v>
      </c>
    </row>
    <row r="845" spans="3:5" x14ac:dyDescent="0.35">
      <c r="C845" s="21">
        <v>842</v>
      </c>
      <c r="D845" t="s">
        <v>1215</v>
      </c>
      <c r="E845" t="s">
        <v>2213</v>
      </c>
    </row>
    <row r="846" spans="3:5" x14ac:dyDescent="0.35">
      <c r="C846" s="21">
        <v>843</v>
      </c>
      <c r="D846" t="s">
        <v>1216</v>
      </c>
      <c r="E846" t="s">
        <v>2214</v>
      </c>
    </row>
    <row r="847" spans="3:5" x14ac:dyDescent="0.35">
      <c r="C847" s="21">
        <v>844</v>
      </c>
      <c r="D847" t="s">
        <v>1217</v>
      </c>
      <c r="E847" t="s">
        <v>2215</v>
      </c>
    </row>
    <row r="848" spans="3:5" x14ac:dyDescent="0.35">
      <c r="C848" s="21">
        <v>845</v>
      </c>
      <c r="D848" t="s">
        <v>1218</v>
      </c>
      <c r="E848" t="s">
        <v>2216</v>
      </c>
    </row>
    <row r="849" spans="3:5" x14ac:dyDescent="0.35">
      <c r="C849" s="21">
        <v>846</v>
      </c>
      <c r="D849" t="s">
        <v>1219</v>
      </c>
      <c r="E849" t="s">
        <v>2217</v>
      </c>
    </row>
    <row r="850" spans="3:5" x14ac:dyDescent="0.35">
      <c r="C850" s="21">
        <v>847</v>
      </c>
      <c r="D850" t="s">
        <v>1220</v>
      </c>
      <c r="E850" t="s">
        <v>2218</v>
      </c>
    </row>
    <row r="851" spans="3:5" x14ac:dyDescent="0.35">
      <c r="C851" s="21">
        <v>848</v>
      </c>
      <c r="D851" t="s">
        <v>1221</v>
      </c>
      <c r="E851" t="s">
        <v>2219</v>
      </c>
    </row>
    <row r="852" spans="3:5" x14ac:dyDescent="0.35">
      <c r="C852" s="21">
        <v>849</v>
      </c>
      <c r="D852" t="s">
        <v>1222</v>
      </c>
      <c r="E852" t="s">
        <v>2220</v>
      </c>
    </row>
    <row r="853" spans="3:5" x14ac:dyDescent="0.35">
      <c r="C853" s="21">
        <v>850</v>
      </c>
      <c r="D853" t="s">
        <v>1223</v>
      </c>
      <c r="E853" t="s">
        <v>2221</v>
      </c>
    </row>
    <row r="854" spans="3:5" x14ac:dyDescent="0.35">
      <c r="C854" s="21">
        <v>851</v>
      </c>
      <c r="D854" t="s">
        <v>1224</v>
      </c>
      <c r="E854" t="s">
        <v>2222</v>
      </c>
    </row>
    <row r="855" spans="3:5" x14ac:dyDescent="0.35">
      <c r="C855" s="21">
        <v>852</v>
      </c>
      <c r="D855" t="s">
        <v>1225</v>
      </c>
      <c r="E855" t="s">
        <v>2223</v>
      </c>
    </row>
    <row r="856" spans="3:5" x14ac:dyDescent="0.35">
      <c r="C856" s="21">
        <v>853</v>
      </c>
      <c r="D856" t="s">
        <v>1226</v>
      </c>
      <c r="E856" t="s">
        <v>2224</v>
      </c>
    </row>
    <row r="857" spans="3:5" x14ac:dyDescent="0.35">
      <c r="C857" s="21">
        <v>854</v>
      </c>
      <c r="D857" t="s">
        <v>1227</v>
      </c>
      <c r="E857" t="s">
        <v>2225</v>
      </c>
    </row>
    <row r="858" spans="3:5" x14ac:dyDescent="0.35">
      <c r="C858" s="21">
        <v>855</v>
      </c>
      <c r="D858" t="s">
        <v>1228</v>
      </c>
      <c r="E858" t="s">
        <v>2226</v>
      </c>
    </row>
    <row r="859" spans="3:5" x14ac:dyDescent="0.35">
      <c r="C859" s="21">
        <v>856</v>
      </c>
      <c r="D859" t="s">
        <v>1229</v>
      </c>
      <c r="E859" t="s">
        <v>2227</v>
      </c>
    </row>
    <row r="860" spans="3:5" x14ac:dyDescent="0.35">
      <c r="C860" s="21">
        <v>857</v>
      </c>
      <c r="D860" t="s">
        <v>1230</v>
      </c>
      <c r="E860" t="s">
        <v>2228</v>
      </c>
    </row>
    <row r="861" spans="3:5" x14ac:dyDescent="0.35">
      <c r="C861" s="21">
        <v>858</v>
      </c>
      <c r="D861" t="s">
        <v>1231</v>
      </c>
      <c r="E861" t="s">
        <v>2229</v>
      </c>
    </row>
    <row r="862" spans="3:5" x14ac:dyDescent="0.35">
      <c r="C862" s="21">
        <v>859</v>
      </c>
      <c r="D862" t="s">
        <v>1232</v>
      </c>
      <c r="E862" t="s">
        <v>2230</v>
      </c>
    </row>
    <row r="863" spans="3:5" x14ac:dyDescent="0.35">
      <c r="C863" s="21">
        <v>860</v>
      </c>
      <c r="D863" t="s">
        <v>1233</v>
      </c>
      <c r="E863" t="s">
        <v>2231</v>
      </c>
    </row>
    <row r="864" spans="3:5" x14ac:dyDescent="0.35">
      <c r="C864" s="21">
        <v>861</v>
      </c>
      <c r="D864" t="s">
        <v>1234</v>
      </c>
      <c r="E864" t="s">
        <v>2232</v>
      </c>
    </row>
    <row r="865" spans="3:5" x14ac:dyDescent="0.35">
      <c r="C865" s="21">
        <v>862</v>
      </c>
      <c r="D865" t="s">
        <v>1235</v>
      </c>
      <c r="E865" t="s">
        <v>2233</v>
      </c>
    </row>
    <row r="866" spans="3:5" x14ac:dyDescent="0.35">
      <c r="C866" s="21">
        <v>863</v>
      </c>
      <c r="D866" t="s">
        <v>1236</v>
      </c>
      <c r="E866" t="s">
        <v>2234</v>
      </c>
    </row>
    <row r="867" spans="3:5" x14ac:dyDescent="0.35">
      <c r="C867" s="21">
        <v>864</v>
      </c>
      <c r="D867" t="s">
        <v>1237</v>
      </c>
      <c r="E867" t="s">
        <v>2235</v>
      </c>
    </row>
    <row r="868" spans="3:5" x14ac:dyDescent="0.35">
      <c r="C868" s="21">
        <v>865</v>
      </c>
      <c r="D868" t="s">
        <v>1238</v>
      </c>
      <c r="E868" t="s">
        <v>2236</v>
      </c>
    </row>
    <row r="869" spans="3:5" x14ac:dyDescent="0.35">
      <c r="C869" s="21">
        <v>866</v>
      </c>
      <c r="D869" t="s">
        <v>1239</v>
      </c>
      <c r="E869" t="s">
        <v>2237</v>
      </c>
    </row>
    <row r="870" spans="3:5" x14ac:dyDescent="0.35">
      <c r="C870" s="21">
        <v>867</v>
      </c>
      <c r="D870" t="s">
        <v>1240</v>
      </c>
      <c r="E870" t="s">
        <v>2238</v>
      </c>
    </row>
    <row r="871" spans="3:5" x14ac:dyDescent="0.35">
      <c r="C871" s="21">
        <v>868</v>
      </c>
      <c r="D871" t="s">
        <v>1241</v>
      </c>
      <c r="E871" t="s">
        <v>2239</v>
      </c>
    </row>
    <row r="872" spans="3:5" x14ac:dyDescent="0.35">
      <c r="C872" s="21">
        <v>869</v>
      </c>
      <c r="D872" t="s">
        <v>1242</v>
      </c>
      <c r="E872" t="s">
        <v>2240</v>
      </c>
    </row>
    <row r="873" spans="3:5" x14ac:dyDescent="0.35">
      <c r="C873" s="21">
        <v>870</v>
      </c>
      <c r="D873" t="s">
        <v>1243</v>
      </c>
      <c r="E873" t="s">
        <v>2241</v>
      </c>
    </row>
    <row r="874" spans="3:5" x14ac:dyDescent="0.35">
      <c r="C874" s="21">
        <v>871</v>
      </c>
      <c r="D874" t="s">
        <v>1244</v>
      </c>
      <c r="E874" t="s">
        <v>2242</v>
      </c>
    </row>
    <row r="875" spans="3:5" x14ac:dyDescent="0.35">
      <c r="C875" s="21">
        <v>872</v>
      </c>
      <c r="D875" t="s">
        <v>1245</v>
      </c>
      <c r="E875" t="s">
        <v>2243</v>
      </c>
    </row>
    <row r="876" spans="3:5" x14ac:dyDescent="0.35">
      <c r="C876" s="21">
        <v>873</v>
      </c>
      <c r="D876" t="s">
        <v>1246</v>
      </c>
      <c r="E876" t="s">
        <v>2244</v>
      </c>
    </row>
    <row r="877" spans="3:5" x14ac:dyDescent="0.35">
      <c r="C877" s="21">
        <v>874</v>
      </c>
      <c r="D877" t="s">
        <v>1247</v>
      </c>
      <c r="E877" t="s">
        <v>2245</v>
      </c>
    </row>
    <row r="878" spans="3:5" x14ac:dyDescent="0.35">
      <c r="C878" s="21">
        <v>875</v>
      </c>
      <c r="D878" t="s">
        <v>1248</v>
      </c>
      <c r="E878" t="s">
        <v>2246</v>
      </c>
    </row>
    <row r="879" spans="3:5" x14ac:dyDescent="0.35">
      <c r="C879" s="21">
        <v>876</v>
      </c>
      <c r="D879" t="s">
        <v>1249</v>
      </c>
      <c r="E879" t="s">
        <v>2247</v>
      </c>
    </row>
    <row r="880" spans="3:5" x14ac:dyDescent="0.35">
      <c r="C880" s="21">
        <v>877</v>
      </c>
      <c r="D880" t="s">
        <v>1250</v>
      </c>
      <c r="E880" t="s">
        <v>2248</v>
      </c>
    </row>
    <row r="881" spans="3:5" x14ac:dyDescent="0.35">
      <c r="C881" s="21">
        <v>878</v>
      </c>
      <c r="D881" t="s">
        <v>1251</v>
      </c>
      <c r="E881" t="s">
        <v>2249</v>
      </c>
    </row>
    <row r="882" spans="3:5" x14ac:dyDescent="0.35">
      <c r="C882" s="21">
        <v>879</v>
      </c>
      <c r="D882" t="s">
        <v>1252</v>
      </c>
      <c r="E882" t="s">
        <v>2250</v>
      </c>
    </row>
    <row r="883" spans="3:5" x14ac:dyDescent="0.35">
      <c r="C883" s="21">
        <v>880</v>
      </c>
      <c r="D883" t="s">
        <v>1253</v>
      </c>
      <c r="E883" t="s">
        <v>2251</v>
      </c>
    </row>
    <row r="884" spans="3:5" x14ac:dyDescent="0.35">
      <c r="C884" s="21">
        <v>881</v>
      </c>
      <c r="D884" t="s">
        <v>1254</v>
      </c>
      <c r="E884" t="s">
        <v>2252</v>
      </c>
    </row>
    <row r="885" spans="3:5" x14ac:dyDescent="0.35">
      <c r="C885" s="21">
        <v>882</v>
      </c>
      <c r="D885" t="s">
        <v>1255</v>
      </c>
      <c r="E885" t="s">
        <v>2253</v>
      </c>
    </row>
    <row r="886" spans="3:5" x14ac:dyDescent="0.35">
      <c r="C886" s="21">
        <v>883</v>
      </c>
      <c r="D886" t="s">
        <v>1256</v>
      </c>
      <c r="E886" t="s">
        <v>2254</v>
      </c>
    </row>
    <row r="887" spans="3:5" x14ac:dyDescent="0.35">
      <c r="C887" s="21">
        <v>884</v>
      </c>
      <c r="D887" t="s">
        <v>1257</v>
      </c>
      <c r="E887" t="s">
        <v>2255</v>
      </c>
    </row>
    <row r="888" spans="3:5" x14ac:dyDescent="0.35">
      <c r="C888" s="21">
        <v>885</v>
      </c>
      <c r="D888" t="s">
        <v>1258</v>
      </c>
      <c r="E888" t="s">
        <v>2256</v>
      </c>
    </row>
    <row r="889" spans="3:5" x14ac:dyDescent="0.35">
      <c r="C889" s="21">
        <v>886</v>
      </c>
      <c r="D889" t="s">
        <v>1259</v>
      </c>
      <c r="E889" t="s">
        <v>2257</v>
      </c>
    </row>
    <row r="890" spans="3:5" x14ac:dyDescent="0.35">
      <c r="C890" s="21">
        <v>887</v>
      </c>
      <c r="D890" t="s">
        <v>1260</v>
      </c>
      <c r="E890" t="s">
        <v>2258</v>
      </c>
    </row>
    <row r="891" spans="3:5" x14ac:dyDescent="0.35">
      <c r="C891" s="21">
        <v>888</v>
      </c>
      <c r="D891" t="s">
        <v>1261</v>
      </c>
      <c r="E891" t="s">
        <v>2259</v>
      </c>
    </row>
    <row r="892" spans="3:5" x14ac:dyDescent="0.35">
      <c r="C892" s="21">
        <v>889</v>
      </c>
      <c r="D892" t="s">
        <v>1262</v>
      </c>
      <c r="E892" t="s">
        <v>2260</v>
      </c>
    </row>
    <row r="893" spans="3:5" x14ac:dyDescent="0.35">
      <c r="C893" s="21">
        <v>890</v>
      </c>
      <c r="D893" t="s">
        <v>1263</v>
      </c>
      <c r="E893" t="s">
        <v>2261</v>
      </c>
    </row>
    <row r="894" spans="3:5" x14ac:dyDescent="0.35">
      <c r="C894" s="21">
        <v>891</v>
      </c>
      <c r="D894" t="s">
        <v>1264</v>
      </c>
      <c r="E894" t="s">
        <v>2262</v>
      </c>
    </row>
    <row r="895" spans="3:5" x14ac:dyDescent="0.35">
      <c r="C895" s="21">
        <v>892</v>
      </c>
      <c r="D895" t="s">
        <v>1265</v>
      </c>
      <c r="E895" t="s">
        <v>2263</v>
      </c>
    </row>
    <row r="896" spans="3:5" x14ac:dyDescent="0.35">
      <c r="C896" s="21">
        <v>893</v>
      </c>
      <c r="D896" t="s">
        <v>1266</v>
      </c>
      <c r="E896" t="s">
        <v>2264</v>
      </c>
    </row>
    <row r="897" spans="3:5" x14ac:dyDescent="0.35">
      <c r="C897" s="21">
        <v>894</v>
      </c>
      <c r="D897" t="s">
        <v>1267</v>
      </c>
      <c r="E897" t="s">
        <v>2265</v>
      </c>
    </row>
    <row r="898" spans="3:5" x14ac:dyDescent="0.35">
      <c r="C898" s="21">
        <v>895</v>
      </c>
      <c r="D898" t="s">
        <v>1268</v>
      </c>
      <c r="E898" t="s">
        <v>2266</v>
      </c>
    </row>
    <row r="899" spans="3:5" x14ac:dyDescent="0.35">
      <c r="C899" s="21">
        <v>896</v>
      </c>
      <c r="D899" t="s">
        <v>1269</v>
      </c>
      <c r="E899" t="s">
        <v>2267</v>
      </c>
    </row>
    <row r="900" spans="3:5" x14ac:dyDescent="0.35">
      <c r="C900" s="21">
        <v>897</v>
      </c>
      <c r="D900" t="s">
        <v>1270</v>
      </c>
      <c r="E900" t="s">
        <v>2268</v>
      </c>
    </row>
    <row r="901" spans="3:5" x14ac:dyDescent="0.35">
      <c r="C901" s="21">
        <v>898</v>
      </c>
      <c r="D901" t="s">
        <v>1271</v>
      </c>
      <c r="E901" t="s">
        <v>2269</v>
      </c>
    </row>
    <row r="902" spans="3:5" x14ac:dyDescent="0.35">
      <c r="C902" s="21">
        <v>899</v>
      </c>
      <c r="D902" t="s">
        <v>1272</v>
      </c>
      <c r="E902" t="s">
        <v>2270</v>
      </c>
    </row>
    <row r="903" spans="3:5" x14ac:dyDescent="0.35">
      <c r="C903" s="21">
        <v>900</v>
      </c>
      <c r="D903" t="s">
        <v>1273</v>
      </c>
      <c r="E903" t="s">
        <v>2271</v>
      </c>
    </row>
    <row r="904" spans="3:5" x14ac:dyDescent="0.35">
      <c r="C904" s="21">
        <v>901</v>
      </c>
      <c r="D904" t="s">
        <v>1274</v>
      </c>
      <c r="E904" t="s">
        <v>2272</v>
      </c>
    </row>
    <row r="905" spans="3:5" x14ac:dyDescent="0.35">
      <c r="C905" s="21">
        <v>902</v>
      </c>
      <c r="D905" t="s">
        <v>1275</v>
      </c>
      <c r="E905" t="s">
        <v>2273</v>
      </c>
    </row>
    <row r="906" spans="3:5" x14ac:dyDescent="0.35">
      <c r="C906" s="21">
        <v>903</v>
      </c>
      <c r="D906" t="s">
        <v>1276</v>
      </c>
      <c r="E906" t="s">
        <v>2274</v>
      </c>
    </row>
    <row r="907" spans="3:5" x14ac:dyDescent="0.35">
      <c r="C907" s="21">
        <v>904</v>
      </c>
      <c r="D907" t="s">
        <v>1277</v>
      </c>
      <c r="E907" t="s">
        <v>2275</v>
      </c>
    </row>
    <row r="908" spans="3:5" x14ac:dyDescent="0.35">
      <c r="C908" s="21">
        <v>905</v>
      </c>
      <c r="D908" t="s">
        <v>1278</v>
      </c>
      <c r="E908" t="s">
        <v>2276</v>
      </c>
    </row>
    <row r="909" spans="3:5" x14ac:dyDescent="0.35">
      <c r="C909" s="21">
        <v>906</v>
      </c>
      <c r="D909" t="s">
        <v>1279</v>
      </c>
      <c r="E909" t="s">
        <v>2277</v>
      </c>
    </row>
    <row r="910" spans="3:5" x14ac:dyDescent="0.35">
      <c r="C910" s="21">
        <v>907</v>
      </c>
      <c r="D910" t="s">
        <v>1280</v>
      </c>
      <c r="E910" t="s">
        <v>2278</v>
      </c>
    </row>
    <row r="911" spans="3:5" x14ac:dyDescent="0.35">
      <c r="C911" s="21">
        <v>908</v>
      </c>
      <c r="D911" t="s">
        <v>1281</v>
      </c>
      <c r="E911" t="s">
        <v>2279</v>
      </c>
    </row>
    <row r="912" spans="3:5" x14ac:dyDescent="0.35">
      <c r="C912" s="21">
        <v>909</v>
      </c>
      <c r="D912" t="s">
        <v>1282</v>
      </c>
      <c r="E912" t="s">
        <v>2280</v>
      </c>
    </row>
    <row r="913" spans="3:5" x14ac:dyDescent="0.35">
      <c r="C913" s="21">
        <v>910</v>
      </c>
      <c r="D913" t="s">
        <v>1283</v>
      </c>
      <c r="E913" t="s">
        <v>2281</v>
      </c>
    </row>
    <row r="914" spans="3:5" x14ac:dyDescent="0.35">
      <c r="C914" s="21">
        <v>911</v>
      </c>
      <c r="D914" t="s">
        <v>1284</v>
      </c>
      <c r="E914" t="s">
        <v>2282</v>
      </c>
    </row>
    <row r="915" spans="3:5" x14ac:dyDescent="0.35">
      <c r="C915" s="21">
        <v>912</v>
      </c>
      <c r="D915" t="s">
        <v>1285</v>
      </c>
      <c r="E915" t="s">
        <v>2283</v>
      </c>
    </row>
    <row r="916" spans="3:5" x14ac:dyDescent="0.35">
      <c r="C916" s="21">
        <v>913</v>
      </c>
      <c r="D916" t="s">
        <v>1286</v>
      </c>
      <c r="E916" t="s">
        <v>2284</v>
      </c>
    </row>
    <row r="917" spans="3:5" x14ac:dyDescent="0.35">
      <c r="C917" s="21">
        <v>914</v>
      </c>
      <c r="D917" t="s">
        <v>1287</v>
      </c>
      <c r="E917" t="s">
        <v>2285</v>
      </c>
    </row>
    <row r="918" spans="3:5" x14ac:dyDescent="0.35">
      <c r="C918" s="21">
        <v>915</v>
      </c>
      <c r="D918" t="s">
        <v>1288</v>
      </c>
      <c r="E918" t="s">
        <v>2286</v>
      </c>
    </row>
    <row r="919" spans="3:5" x14ac:dyDescent="0.35">
      <c r="C919" s="21">
        <v>916</v>
      </c>
      <c r="D919" t="s">
        <v>1289</v>
      </c>
      <c r="E919" t="s">
        <v>2287</v>
      </c>
    </row>
    <row r="920" spans="3:5" x14ac:dyDescent="0.35">
      <c r="C920" s="21">
        <v>917</v>
      </c>
      <c r="D920" t="s">
        <v>1290</v>
      </c>
      <c r="E920" t="s">
        <v>2288</v>
      </c>
    </row>
    <row r="921" spans="3:5" x14ac:dyDescent="0.35">
      <c r="C921" s="21">
        <v>918</v>
      </c>
      <c r="D921" t="s">
        <v>1291</v>
      </c>
      <c r="E921" t="s">
        <v>2289</v>
      </c>
    </row>
    <row r="922" spans="3:5" x14ac:dyDescent="0.35">
      <c r="C922" s="21">
        <v>919</v>
      </c>
      <c r="D922" t="s">
        <v>1292</v>
      </c>
      <c r="E922" t="s">
        <v>2290</v>
      </c>
    </row>
    <row r="923" spans="3:5" x14ac:dyDescent="0.35">
      <c r="C923" s="21">
        <v>920</v>
      </c>
      <c r="D923" t="s">
        <v>1293</v>
      </c>
      <c r="E923" t="s">
        <v>2291</v>
      </c>
    </row>
    <row r="924" spans="3:5" x14ac:dyDescent="0.35">
      <c r="C924" s="21">
        <v>921</v>
      </c>
      <c r="D924" t="s">
        <v>1294</v>
      </c>
      <c r="E924" t="s">
        <v>2292</v>
      </c>
    </row>
    <row r="925" spans="3:5" x14ac:dyDescent="0.35">
      <c r="C925" s="21">
        <v>922</v>
      </c>
      <c r="D925" t="s">
        <v>1295</v>
      </c>
      <c r="E925" t="s">
        <v>2293</v>
      </c>
    </row>
    <row r="926" spans="3:5" x14ac:dyDescent="0.35">
      <c r="C926" s="21">
        <v>923</v>
      </c>
      <c r="D926" t="s">
        <v>1296</v>
      </c>
      <c r="E926" t="s">
        <v>2294</v>
      </c>
    </row>
    <row r="927" spans="3:5" x14ac:dyDescent="0.35">
      <c r="C927" s="21">
        <v>924</v>
      </c>
      <c r="D927" t="s">
        <v>1297</v>
      </c>
      <c r="E927" t="s">
        <v>2295</v>
      </c>
    </row>
    <row r="928" spans="3:5" x14ac:dyDescent="0.35">
      <c r="C928" s="21">
        <v>925</v>
      </c>
      <c r="D928" t="s">
        <v>1298</v>
      </c>
      <c r="E928" t="s">
        <v>2296</v>
      </c>
    </row>
    <row r="929" spans="3:5" x14ac:dyDescent="0.35">
      <c r="C929" s="21">
        <v>926</v>
      </c>
      <c r="D929" t="s">
        <v>1299</v>
      </c>
      <c r="E929" t="s">
        <v>2297</v>
      </c>
    </row>
    <row r="930" spans="3:5" x14ac:dyDescent="0.35">
      <c r="C930" s="21">
        <v>927</v>
      </c>
      <c r="D930" t="s">
        <v>1300</v>
      </c>
      <c r="E930" t="s">
        <v>2298</v>
      </c>
    </row>
    <row r="931" spans="3:5" x14ac:dyDescent="0.35">
      <c r="C931" s="21">
        <v>928</v>
      </c>
      <c r="D931" t="s">
        <v>1301</v>
      </c>
      <c r="E931" t="s">
        <v>2299</v>
      </c>
    </row>
    <row r="932" spans="3:5" x14ac:dyDescent="0.35">
      <c r="C932" s="21">
        <v>929</v>
      </c>
      <c r="D932" t="s">
        <v>1302</v>
      </c>
      <c r="E932" t="s">
        <v>2300</v>
      </c>
    </row>
    <row r="933" spans="3:5" x14ac:dyDescent="0.35">
      <c r="C933" s="21">
        <v>930</v>
      </c>
      <c r="D933" t="s">
        <v>1303</v>
      </c>
      <c r="E933" t="s">
        <v>2301</v>
      </c>
    </row>
    <row r="934" spans="3:5" x14ac:dyDescent="0.35">
      <c r="C934" s="21">
        <v>931</v>
      </c>
      <c r="D934" t="s">
        <v>1304</v>
      </c>
      <c r="E934" t="s">
        <v>2302</v>
      </c>
    </row>
    <row r="935" spans="3:5" x14ac:dyDescent="0.35">
      <c r="C935" s="21">
        <v>932</v>
      </c>
      <c r="D935" t="s">
        <v>1305</v>
      </c>
      <c r="E935" t="s">
        <v>2303</v>
      </c>
    </row>
    <row r="936" spans="3:5" x14ac:dyDescent="0.35">
      <c r="C936" s="21">
        <v>933</v>
      </c>
      <c r="D936" t="s">
        <v>1306</v>
      </c>
      <c r="E936" t="s">
        <v>2304</v>
      </c>
    </row>
    <row r="937" spans="3:5" x14ac:dyDescent="0.35">
      <c r="C937" s="21">
        <v>934</v>
      </c>
      <c r="D937" t="s">
        <v>1307</v>
      </c>
      <c r="E937" t="s">
        <v>2305</v>
      </c>
    </row>
    <row r="938" spans="3:5" x14ac:dyDescent="0.35">
      <c r="C938" s="21">
        <v>935</v>
      </c>
      <c r="D938" t="s">
        <v>1308</v>
      </c>
      <c r="E938" t="s">
        <v>2306</v>
      </c>
    </row>
    <row r="939" spans="3:5" x14ac:dyDescent="0.35">
      <c r="C939" s="21">
        <v>936</v>
      </c>
      <c r="D939" t="s">
        <v>1309</v>
      </c>
      <c r="E939" t="s">
        <v>2307</v>
      </c>
    </row>
    <row r="940" spans="3:5" x14ac:dyDescent="0.35">
      <c r="C940" s="21">
        <v>937</v>
      </c>
      <c r="D940" t="s">
        <v>1310</v>
      </c>
      <c r="E940" t="s">
        <v>2308</v>
      </c>
    </row>
    <row r="941" spans="3:5" x14ac:dyDescent="0.35">
      <c r="C941" s="21">
        <v>938</v>
      </c>
      <c r="D941" t="s">
        <v>1311</v>
      </c>
      <c r="E941" t="s">
        <v>2309</v>
      </c>
    </row>
    <row r="942" spans="3:5" x14ac:dyDescent="0.35">
      <c r="C942" s="21">
        <v>939</v>
      </c>
      <c r="D942" t="s">
        <v>1312</v>
      </c>
      <c r="E942" t="s">
        <v>2310</v>
      </c>
    </row>
    <row r="943" spans="3:5" x14ac:dyDescent="0.35">
      <c r="C943" s="21">
        <v>940</v>
      </c>
      <c r="D943" t="s">
        <v>1313</v>
      </c>
      <c r="E943" t="s">
        <v>2311</v>
      </c>
    </row>
    <row r="944" spans="3:5" x14ac:dyDescent="0.35">
      <c r="C944" s="21">
        <v>941</v>
      </c>
      <c r="D944" t="s">
        <v>1314</v>
      </c>
      <c r="E944" t="s">
        <v>2312</v>
      </c>
    </row>
    <row r="945" spans="3:5" x14ac:dyDescent="0.35">
      <c r="C945" s="21">
        <v>942</v>
      </c>
      <c r="D945" t="s">
        <v>1315</v>
      </c>
      <c r="E945" t="s">
        <v>2313</v>
      </c>
    </row>
    <row r="946" spans="3:5" x14ac:dyDescent="0.35">
      <c r="C946" s="21">
        <v>943</v>
      </c>
      <c r="D946" t="s">
        <v>1316</v>
      </c>
      <c r="E946" t="s">
        <v>2314</v>
      </c>
    </row>
    <row r="947" spans="3:5" x14ac:dyDescent="0.35">
      <c r="C947" s="21">
        <v>944</v>
      </c>
      <c r="D947" t="s">
        <v>1317</v>
      </c>
      <c r="E947" t="s">
        <v>2315</v>
      </c>
    </row>
    <row r="948" spans="3:5" x14ac:dyDescent="0.35">
      <c r="C948" s="21">
        <v>945</v>
      </c>
      <c r="D948" t="s">
        <v>1318</v>
      </c>
      <c r="E948" t="s">
        <v>2316</v>
      </c>
    </row>
    <row r="949" spans="3:5" x14ac:dyDescent="0.35">
      <c r="C949" s="21">
        <v>946</v>
      </c>
      <c r="D949" t="s">
        <v>1319</v>
      </c>
      <c r="E949" t="s">
        <v>2317</v>
      </c>
    </row>
    <row r="950" spans="3:5" x14ac:dyDescent="0.35">
      <c r="C950" s="21">
        <v>947</v>
      </c>
      <c r="D950" t="s">
        <v>1320</v>
      </c>
      <c r="E950" t="s">
        <v>2318</v>
      </c>
    </row>
    <row r="951" spans="3:5" x14ac:dyDescent="0.35">
      <c r="C951" s="21">
        <v>948</v>
      </c>
      <c r="D951" t="s">
        <v>1321</v>
      </c>
      <c r="E951" t="s">
        <v>2319</v>
      </c>
    </row>
    <row r="952" spans="3:5" x14ac:dyDescent="0.35">
      <c r="C952" s="21">
        <v>949</v>
      </c>
      <c r="D952" t="s">
        <v>1322</v>
      </c>
      <c r="E952" t="s">
        <v>2320</v>
      </c>
    </row>
    <row r="953" spans="3:5" x14ac:dyDescent="0.35">
      <c r="C953" s="21">
        <v>950</v>
      </c>
      <c r="D953" t="s">
        <v>1323</v>
      </c>
      <c r="E953" t="s">
        <v>2321</v>
      </c>
    </row>
    <row r="954" spans="3:5" x14ac:dyDescent="0.35">
      <c r="C954" s="21">
        <v>951</v>
      </c>
      <c r="D954" t="s">
        <v>1324</v>
      </c>
      <c r="E954" t="s">
        <v>2322</v>
      </c>
    </row>
    <row r="955" spans="3:5" x14ac:dyDescent="0.35">
      <c r="C955" s="21">
        <v>952</v>
      </c>
      <c r="D955" t="s">
        <v>1325</v>
      </c>
      <c r="E955" t="s">
        <v>2323</v>
      </c>
    </row>
    <row r="956" spans="3:5" x14ac:dyDescent="0.35">
      <c r="C956" s="21">
        <v>953</v>
      </c>
      <c r="D956" t="s">
        <v>1326</v>
      </c>
      <c r="E956" t="s">
        <v>2324</v>
      </c>
    </row>
    <row r="957" spans="3:5" x14ac:dyDescent="0.35">
      <c r="C957" s="21">
        <v>954</v>
      </c>
      <c r="D957" t="s">
        <v>1327</v>
      </c>
      <c r="E957" t="s">
        <v>2325</v>
      </c>
    </row>
    <row r="958" spans="3:5" x14ac:dyDescent="0.35">
      <c r="C958" s="21">
        <v>955</v>
      </c>
      <c r="D958" t="s">
        <v>1328</v>
      </c>
      <c r="E958" t="s">
        <v>2326</v>
      </c>
    </row>
    <row r="959" spans="3:5" x14ac:dyDescent="0.35">
      <c r="C959" s="21">
        <v>956</v>
      </c>
      <c r="D959" t="s">
        <v>1329</v>
      </c>
      <c r="E959" t="s">
        <v>2327</v>
      </c>
    </row>
    <row r="960" spans="3:5" x14ac:dyDescent="0.35">
      <c r="C960" s="21">
        <v>957</v>
      </c>
      <c r="D960" t="s">
        <v>1330</v>
      </c>
      <c r="E960" t="s">
        <v>2328</v>
      </c>
    </row>
    <row r="961" spans="3:5" x14ac:dyDescent="0.35">
      <c r="C961" s="21">
        <v>958</v>
      </c>
      <c r="D961" t="s">
        <v>1331</v>
      </c>
      <c r="E961" t="s">
        <v>2329</v>
      </c>
    </row>
    <row r="962" spans="3:5" x14ac:dyDescent="0.35">
      <c r="C962" s="21">
        <v>959</v>
      </c>
      <c r="D962" t="s">
        <v>1332</v>
      </c>
      <c r="E962" t="s">
        <v>2330</v>
      </c>
    </row>
    <row r="963" spans="3:5" x14ac:dyDescent="0.35">
      <c r="C963" s="21">
        <v>960</v>
      </c>
      <c r="D963" t="s">
        <v>1333</v>
      </c>
      <c r="E963" t="s">
        <v>2331</v>
      </c>
    </row>
    <row r="964" spans="3:5" x14ac:dyDescent="0.35">
      <c r="C964" s="21">
        <v>961</v>
      </c>
      <c r="D964" t="s">
        <v>1334</v>
      </c>
      <c r="E964" t="s">
        <v>2332</v>
      </c>
    </row>
    <row r="965" spans="3:5" x14ac:dyDescent="0.35">
      <c r="C965" s="21">
        <v>962</v>
      </c>
      <c r="D965" t="s">
        <v>1335</v>
      </c>
      <c r="E965" t="s">
        <v>2333</v>
      </c>
    </row>
    <row r="966" spans="3:5" x14ac:dyDescent="0.35">
      <c r="C966" s="21">
        <v>963</v>
      </c>
      <c r="D966" t="s">
        <v>1336</v>
      </c>
      <c r="E966" t="s">
        <v>2334</v>
      </c>
    </row>
    <row r="967" spans="3:5" x14ac:dyDescent="0.35">
      <c r="C967" s="21">
        <v>964</v>
      </c>
      <c r="D967" t="s">
        <v>1337</v>
      </c>
      <c r="E967" t="s">
        <v>2335</v>
      </c>
    </row>
    <row r="968" spans="3:5" x14ac:dyDescent="0.35">
      <c r="C968" s="21">
        <v>965</v>
      </c>
      <c r="D968" t="s">
        <v>1338</v>
      </c>
      <c r="E968" t="s">
        <v>2336</v>
      </c>
    </row>
    <row r="969" spans="3:5" x14ac:dyDescent="0.35">
      <c r="C969" s="21">
        <v>966</v>
      </c>
      <c r="D969" t="s">
        <v>1339</v>
      </c>
      <c r="E969" t="s">
        <v>2337</v>
      </c>
    </row>
    <row r="970" spans="3:5" x14ac:dyDescent="0.35">
      <c r="C970" s="21">
        <v>967</v>
      </c>
      <c r="D970" t="s">
        <v>1340</v>
      </c>
      <c r="E970" t="s">
        <v>2338</v>
      </c>
    </row>
    <row r="971" spans="3:5" x14ac:dyDescent="0.35">
      <c r="C971" s="21">
        <v>968</v>
      </c>
      <c r="D971" t="s">
        <v>1341</v>
      </c>
      <c r="E971" t="s">
        <v>2339</v>
      </c>
    </row>
    <row r="972" spans="3:5" x14ac:dyDescent="0.35">
      <c r="C972" s="21">
        <v>969</v>
      </c>
      <c r="D972" t="s">
        <v>1342</v>
      </c>
      <c r="E972" t="s">
        <v>2340</v>
      </c>
    </row>
    <row r="973" spans="3:5" x14ac:dyDescent="0.35">
      <c r="C973" s="21">
        <v>970</v>
      </c>
      <c r="D973" t="s">
        <v>1343</v>
      </c>
      <c r="E973" t="s">
        <v>2341</v>
      </c>
    </row>
    <row r="974" spans="3:5" x14ac:dyDescent="0.35">
      <c r="C974" s="21">
        <v>971</v>
      </c>
      <c r="D974" t="s">
        <v>1344</v>
      </c>
      <c r="E974" t="s">
        <v>2342</v>
      </c>
    </row>
    <row r="975" spans="3:5" x14ac:dyDescent="0.35">
      <c r="C975" s="21">
        <v>972</v>
      </c>
      <c r="D975" t="s">
        <v>1345</v>
      </c>
      <c r="E975" t="s">
        <v>2343</v>
      </c>
    </row>
    <row r="976" spans="3:5" x14ac:dyDescent="0.35">
      <c r="C976" s="21">
        <v>973</v>
      </c>
      <c r="D976" t="s">
        <v>1346</v>
      </c>
      <c r="E976" t="s">
        <v>2344</v>
      </c>
    </row>
    <row r="977" spans="3:5" x14ac:dyDescent="0.35">
      <c r="C977" s="21">
        <v>974</v>
      </c>
      <c r="D977" t="s">
        <v>1347</v>
      </c>
      <c r="E977" t="s">
        <v>2345</v>
      </c>
    </row>
    <row r="978" spans="3:5" x14ac:dyDescent="0.35">
      <c r="C978" s="21">
        <v>975</v>
      </c>
      <c r="D978" t="s">
        <v>1348</v>
      </c>
      <c r="E978" t="s">
        <v>2346</v>
      </c>
    </row>
    <row r="979" spans="3:5" x14ac:dyDescent="0.35">
      <c r="C979" s="21">
        <v>976</v>
      </c>
      <c r="D979" t="s">
        <v>1349</v>
      </c>
      <c r="E979" t="s">
        <v>2347</v>
      </c>
    </row>
    <row r="980" spans="3:5" x14ac:dyDescent="0.35">
      <c r="C980" s="21">
        <v>977</v>
      </c>
      <c r="D980" t="s">
        <v>1350</v>
      </c>
      <c r="E980" t="s">
        <v>2348</v>
      </c>
    </row>
    <row r="981" spans="3:5" x14ac:dyDescent="0.35">
      <c r="C981" s="21">
        <v>978</v>
      </c>
      <c r="D981" t="s">
        <v>1351</v>
      </c>
      <c r="E981" t="s">
        <v>2349</v>
      </c>
    </row>
    <row r="982" spans="3:5" x14ac:dyDescent="0.35">
      <c r="C982" s="21">
        <v>979</v>
      </c>
      <c r="D982" t="s">
        <v>1352</v>
      </c>
      <c r="E982" t="s">
        <v>2350</v>
      </c>
    </row>
    <row r="983" spans="3:5" x14ac:dyDescent="0.35">
      <c r="C983" s="21">
        <v>980</v>
      </c>
      <c r="D983" t="s">
        <v>1353</v>
      </c>
      <c r="E983" t="s">
        <v>2351</v>
      </c>
    </row>
    <row r="984" spans="3:5" x14ac:dyDescent="0.35">
      <c r="C984" s="21">
        <v>981</v>
      </c>
      <c r="D984" t="s">
        <v>1354</v>
      </c>
      <c r="E984" t="s">
        <v>2352</v>
      </c>
    </row>
    <row r="985" spans="3:5" x14ac:dyDescent="0.35">
      <c r="C985" s="21">
        <v>982</v>
      </c>
      <c r="D985" t="s">
        <v>1355</v>
      </c>
      <c r="E985" t="s">
        <v>2353</v>
      </c>
    </row>
    <row r="986" spans="3:5" x14ac:dyDescent="0.35">
      <c r="C986" s="21">
        <v>983</v>
      </c>
      <c r="D986" t="s">
        <v>1356</v>
      </c>
      <c r="E986" t="s">
        <v>2354</v>
      </c>
    </row>
    <row r="987" spans="3:5" x14ac:dyDescent="0.35">
      <c r="C987" s="21">
        <v>984</v>
      </c>
      <c r="D987" t="s">
        <v>1357</v>
      </c>
      <c r="E987" t="s">
        <v>2355</v>
      </c>
    </row>
    <row r="988" spans="3:5" x14ac:dyDescent="0.35">
      <c r="C988" s="21">
        <v>985</v>
      </c>
      <c r="D988" t="s">
        <v>1358</v>
      </c>
      <c r="E988" t="s">
        <v>2356</v>
      </c>
    </row>
    <row r="989" spans="3:5" x14ac:dyDescent="0.35">
      <c r="C989" s="21">
        <v>986</v>
      </c>
      <c r="D989" t="s">
        <v>1359</v>
      </c>
      <c r="E989" t="s">
        <v>2357</v>
      </c>
    </row>
    <row r="990" spans="3:5" x14ac:dyDescent="0.35">
      <c r="C990" s="21">
        <v>987</v>
      </c>
      <c r="D990" t="s">
        <v>1360</v>
      </c>
      <c r="E990" t="s">
        <v>2358</v>
      </c>
    </row>
    <row r="991" spans="3:5" x14ac:dyDescent="0.35">
      <c r="C991" s="21">
        <v>988</v>
      </c>
      <c r="D991" t="s">
        <v>1361</v>
      </c>
      <c r="E991" t="s">
        <v>2359</v>
      </c>
    </row>
    <row r="992" spans="3:5" x14ac:dyDescent="0.35">
      <c r="C992" s="21">
        <v>989</v>
      </c>
      <c r="D992" t="s">
        <v>1362</v>
      </c>
      <c r="E992" t="s">
        <v>2360</v>
      </c>
    </row>
    <row r="993" spans="3:5" x14ac:dyDescent="0.35">
      <c r="C993" s="21">
        <v>990</v>
      </c>
      <c r="D993" t="s">
        <v>1363</v>
      </c>
      <c r="E993" t="s">
        <v>2361</v>
      </c>
    </row>
    <row r="994" spans="3:5" x14ac:dyDescent="0.35">
      <c r="C994" s="21">
        <v>991</v>
      </c>
      <c r="D994" t="s">
        <v>1364</v>
      </c>
      <c r="E994" t="s">
        <v>2362</v>
      </c>
    </row>
    <row r="995" spans="3:5" x14ac:dyDescent="0.35">
      <c r="C995" s="21">
        <v>992</v>
      </c>
      <c r="D995" t="s">
        <v>1365</v>
      </c>
      <c r="E995" t="s">
        <v>2363</v>
      </c>
    </row>
    <row r="996" spans="3:5" x14ac:dyDescent="0.35">
      <c r="C996" s="21">
        <v>993</v>
      </c>
      <c r="D996" t="s">
        <v>1366</v>
      </c>
      <c r="E996" t="s">
        <v>2364</v>
      </c>
    </row>
    <row r="997" spans="3:5" x14ac:dyDescent="0.35">
      <c r="C997" s="21">
        <v>994</v>
      </c>
      <c r="D997" t="s">
        <v>1367</v>
      </c>
      <c r="E997" t="s">
        <v>2365</v>
      </c>
    </row>
    <row r="998" spans="3:5" x14ac:dyDescent="0.35">
      <c r="C998" s="21">
        <v>995</v>
      </c>
      <c r="D998" t="s">
        <v>1368</v>
      </c>
      <c r="E998" t="s">
        <v>2366</v>
      </c>
    </row>
    <row r="999" spans="3:5" x14ac:dyDescent="0.35">
      <c r="C999" s="21">
        <v>996</v>
      </c>
      <c r="D999" t="s">
        <v>1369</v>
      </c>
      <c r="E999" t="s">
        <v>2367</v>
      </c>
    </row>
    <row r="1000" spans="3:5" x14ac:dyDescent="0.35">
      <c r="C1000" s="21">
        <v>997</v>
      </c>
      <c r="D1000" t="s">
        <v>1370</v>
      </c>
      <c r="E1000" t="s">
        <v>2368</v>
      </c>
    </row>
    <row r="1001" spans="3:5" x14ac:dyDescent="0.35">
      <c r="D1001" t="s">
        <v>1371</v>
      </c>
      <c r="E1001" t="s">
        <v>1371</v>
      </c>
    </row>
    <row r="1002" spans="3:5" x14ac:dyDescent="0.35">
      <c r="D1002" t="s">
        <v>1371</v>
      </c>
      <c r="E1002" t="s">
        <v>1371</v>
      </c>
    </row>
    <row r="1003" spans="3:5" x14ac:dyDescent="0.35">
      <c r="D1003" t="s">
        <v>1371</v>
      </c>
      <c r="E1003" t="s">
        <v>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11000</vt:lpstr>
      <vt:lpstr>22000</vt:lpstr>
      <vt:lpstr>33000</vt:lpstr>
      <vt:lpstr>44000</vt:lpstr>
      <vt:lpstr>55000</vt:lpstr>
      <vt:lpstr>Sheet5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2026-06-08T12:43:22Z</dcterms:modified>
</cp:coreProperties>
</file>